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Relaciones" sheetId="2" r:id="rId5"/>
    <sheet state="visible" name="Nodos y Métricas" sheetId="3" r:id="rId6"/>
    <sheet state="visible" name="Ranking Proyectos" sheetId="4" r:id="rId7"/>
    <sheet state="visible" name="Ranking Macroproyectos" sheetId="5" r:id="rId8"/>
    <sheet state="visible" name="Datos para Gráficos" sheetId="6" r:id="rId9"/>
    <sheet state="visible" name="Mapa 17×17" sheetId="7" r:id="rId10"/>
    <sheet state="visible" name="PBI_NODOS" sheetId="8" r:id="rId11"/>
    <sheet state="visible" name="PBI_CONEXIONES" sheetId="9" r:id="rId12"/>
  </sheets>
  <definedNames>
    <definedName hidden="1" localSheetId="1" name="_xlnm._FilterDatabase">Relaciones!$A$3:$Z$61</definedName>
    <definedName hidden="1" localSheetId="2" name="_xlnm._FilterDatabase">'Nodos y Métricas'!$A$3:$K$20</definedName>
  </definedNames>
  <calcPr/>
  <extLst>
    <ext uri="GoogleSheetsCustomDataVersion2">
      <go:sheetsCustomData xmlns:go="http://customooxmlschemas.google.com/" r:id="rId13" roundtripDataChecksum="KyqtLMxBBcuUVSsXpZ4f9CIJhLTqbMk730N7M2vLD9w="/>
    </ext>
  </extLst>
</workbook>
</file>

<file path=xl/sharedStrings.xml><?xml version="1.0" encoding="utf-8"?>
<sst xmlns="http://schemas.openxmlformats.org/spreadsheetml/2006/main" count="898" uniqueCount="256">
  <si>
    <t>Análisis de Interdependencias Estratégicas — PDI 2026–2029</t>
  </si>
  <si>
    <t>¿Qué muestra este archivo? Los 17 proyectos del PDI y cómo se relacionan entre sí. Entre más relaciones tiene un proyecto, mayor coordinación institucional requiere.</t>
  </si>
  <si>
    <t>Indicadores Globales del Sistema</t>
  </si>
  <si>
    <t>Proyectos estratégicos</t>
  </si>
  <si>
    <t>Relaciones identificadas</t>
  </si>
  <si>
    <t>Macroproyectos</t>
  </si>
  <si>
    <t>Relaciones de intensidad Alta  (puntaje 5)</t>
  </si>
  <si>
    <t>Relaciones de intensidad Media  (puntaje 3)</t>
  </si>
  <si>
    <t>Relaciones de intensidad Baja  (puntaje 1)</t>
  </si>
  <si>
    <t>Proyectos por Nivel de Prioridad  (¿a cuáles hay que prestarles más atención?)</t>
  </si>
  <si>
    <t>Prioridad Alta  —  8 o más relaciones</t>
  </si>
  <si>
    <t>Prioridad Media  —  entre 6 y 7 relaciones</t>
  </si>
  <si>
    <t>Prioridad Baja  —  5 o menos relaciones</t>
  </si>
  <si>
    <t>Proyectos por Macroproyecto</t>
  </si>
  <si>
    <t>Propuesta Formativa Integral y de Calidad</t>
  </si>
  <si>
    <t>Redes Multidimensionales del Conocimiento</t>
  </si>
  <si>
    <t>Universidad Sostenible</t>
  </si>
  <si>
    <t>Cultura del Cuidado, la Ética y el Servicio</t>
  </si>
  <si>
    <t>Ecosistema Digital</t>
  </si>
  <si>
    <t>Lectura Rápida del Análisis  (generada automáticamente)</t>
  </si>
  <si>
    <t>Nota Metodológica</t>
  </si>
  <si>
    <t>Esta matriz muestra qué proyectos tienen mayor relación estratégica dentro del PDI. Entre más relaciones tenga un proyecto, mayor articulación y coordinación institucional requiere.</t>
  </si>
  <si>
    <t>Relaciones Estratégicas entre Proyectos — PDI 2026–2029</t>
  </si>
  <si>
    <t>Cada fila es una relación de un proyecto Origen hacia un proyecto Destino.  Puntaje = peso de la relación según intensidad: Alta = 5 · Media = 3 · Baja = 1</t>
  </si>
  <si>
    <t>ID Origen</t>
  </si>
  <si>
    <t>Proyecto Origen</t>
  </si>
  <si>
    <t>Macroproyecto Origen</t>
  </si>
  <si>
    <t>ID Destino</t>
  </si>
  <si>
    <t>Proyecto Destino</t>
  </si>
  <si>
    <t>Macroproyecto Destino</t>
  </si>
  <si>
    <t>Tipo de Relación</t>
  </si>
  <si>
    <t>Intensidad</t>
  </si>
  <si>
    <t>Puntaje</t>
  </si>
  <si>
    <t>Justificación</t>
  </si>
  <si>
    <t>Recomendación</t>
  </si>
  <si>
    <t>M1-P1</t>
  </si>
  <si>
    <t>Travesías del Conocimiento</t>
  </si>
  <si>
    <t>M3-P1</t>
  </si>
  <si>
    <t>Viabilidad Financiera</t>
  </si>
  <si>
    <t>Habilitadora</t>
  </si>
  <si>
    <t>Media</t>
  </si>
  <si>
    <t>La nueva oferta y microcredenciales generan escenarios para ingresos y sostenibilidad financiera.</t>
  </si>
  <si>
    <t>Usar escenarios de demanda y empleabilidad como insumo del modelo financiero.</t>
  </si>
  <si>
    <t>M1-P5</t>
  </si>
  <si>
    <t>Trayectorias de Futuro</t>
  </si>
  <si>
    <t>Alta</t>
  </si>
  <si>
    <t>La oferta académica flexible y microcredenciales alimenta la articulación media-superior.</t>
  </si>
  <si>
    <t>Alinear currículos articulados con rutas de aprendizaje y oferta institucional.</t>
  </si>
  <si>
    <t>M1-P3</t>
  </si>
  <si>
    <t>Tránsito Vital</t>
  </si>
  <si>
    <t>Complementariedad</t>
  </si>
  <si>
    <t>El diseño curricular y ambientes de aprendizaje inciden en permanencia, logro académico y empleabilidad.</t>
  </si>
  <si>
    <t>Asegurar que el modelo de éxito estudiantil dialogue con trayectorias curriculares.</t>
  </si>
  <si>
    <t>M5-P3</t>
  </si>
  <si>
    <t>Herramientas Digitales</t>
  </si>
  <si>
    <t>M1-P1 incluye ambientes virtuales; M5-P3 incluye herramientas de aprendizaje y modelo tecnológico pedagógico híbrido.</t>
  </si>
  <si>
    <t>Unificar indicador, línea base, responsable y alcance de ambientes virtuales.</t>
  </si>
  <si>
    <t>M2-P2</t>
  </si>
  <si>
    <t>Misiones Académicas y Científicas</t>
  </si>
  <si>
    <t>La oferta académica y currículos transdisciplinares pueden articularse con misiones y retos territoriales.</t>
  </si>
  <si>
    <t>Usar misiones como escenarios de aprendizaje interdisciplinar.</t>
  </si>
  <si>
    <t>M2-P3</t>
  </si>
  <si>
    <t>Laboratorios Vivos de Innovación</t>
  </si>
  <si>
    <t>Los laboratorios vivos pueden funcionar como ambientes de aprendizaje territorial y transdisciplinar.</t>
  </si>
  <si>
    <t>Integrar living labs a cursos, rutas y microcredenciales.</t>
  </si>
  <si>
    <t>M1-P2</t>
  </si>
  <si>
    <t>Aseguramiento de la Calidad (SIAC)</t>
  </si>
  <si>
    <t>El SIAC y estándares de calidad orientan creación, actualización y acreditación de programas.</t>
  </si>
  <si>
    <t>Asegurar que nuevos diseños curriculares nazcan alineados con SIAC.</t>
  </si>
  <si>
    <t>La autorregulación y mejora continua soportan estrategias de permanencia y desempeño Saber Pro.</t>
  </si>
  <si>
    <t>Conectar resultados de autoevaluación con indicadores de trayectoria estudiantil.</t>
  </si>
  <si>
    <t>M1-P4</t>
  </si>
  <si>
    <t>Voces y Saberes</t>
  </si>
  <si>
    <t>El SIAC exige capacidades profesorales coherentes con docencia transformadora y estándares de calidad.</t>
  </si>
  <si>
    <t>Cruzar plan profesoral con brechas identificadas en autoevaluación.</t>
  </si>
  <si>
    <t>M3-P2</t>
  </si>
  <si>
    <t>Autorregulación Institucional</t>
  </si>
  <si>
    <t>El SIAC aporta metodología de autorregulación para la reorganización y actualización de procesos.</t>
  </si>
  <si>
    <t>Usar SIAC como marco de seguimiento de procesos reorganizados.</t>
  </si>
  <si>
    <t>M4-P1</t>
  </si>
  <si>
    <t>Cuidado Colectivo</t>
  </si>
  <si>
    <t>Egresados y estudiantes pueden participar en actividades de bienestar bajo modelos de capacidades colectivas.</t>
  </si>
  <si>
    <t>Diseñar oferta de bienestar para estudiantes, graduados y comunidad.</t>
  </si>
  <si>
    <t>La orientación vocacional y transición media-superior se conecta con permanencia y éxito estudiantil.</t>
  </si>
  <si>
    <t>Articular acompañamiento desde educación media hasta primer año universitario.</t>
  </si>
  <si>
    <t>La docencia transformadora y competencias digitales docentes habilitan la nueva propuesta formativa.</t>
  </si>
  <si>
    <t>Programar formación profesoral según cambios curriculares y ambientes de aprendizaje.</t>
  </si>
  <si>
    <t>Ambos proyectos incluyen competencias digitales; M1-P4 en profesores y M5-P3 en toda la comunidad.</t>
  </si>
  <si>
    <t>Definir un solo marco de competencias digitales con responsabilidades diferenciadas.</t>
  </si>
  <si>
    <t>M2-P1</t>
  </si>
  <si>
    <t>Redes del Conocimiento</t>
  </si>
  <si>
    <t>El desarrollo profesoral fortalece capacidades para investigación transdisciplinar y redes.</t>
  </si>
  <si>
    <t>Alinear formación profesoral con capacidades de investigación y redes.</t>
  </si>
  <si>
    <t>Docentes con capacidades transdisciplinares son necesarios para misiones académicas y científicas.</t>
  </si>
  <si>
    <t>Incluir formación en trabajo multiactor y evaluación de impacto.</t>
  </si>
  <si>
    <t>Los laboratorios vivos requieren capacidades docentes en innovación territorial y transdisciplinariedad.</t>
  </si>
  <si>
    <t>Formar equipos profesorales para gestión de living labs.</t>
  </si>
  <si>
    <t>La articulación con educación media alimenta demanda cualificada para nuevos programas y trayectorias.</t>
  </si>
  <si>
    <t>Cruzar información de colegios articulados con inteligencia de mercados.</t>
  </si>
  <si>
    <t>Una transición vocacional y socioemocional temprana puede reducir riesgos de deserción.</t>
  </si>
  <si>
    <t>Incluir variables de estudiantes articulados en modelo de éxito estudiantil.</t>
  </si>
  <si>
    <t>Las redes y alianzas científicas facilitan misiones académicas y científicas multiactor.</t>
  </si>
  <si>
    <t>Conectar mapa de redes con portafolio de misiones.</t>
  </si>
  <si>
    <t>Las redes de conocimiento soportan la conformación de living labs y bioterritorios inteligentes.</t>
  </si>
  <si>
    <t>Usar redes científicas y tecnológicas para fortalecer capacidades de laboratorios vivos.</t>
  </si>
  <si>
    <t>M3-P3</t>
  </si>
  <si>
    <t>Alianzas y Cooperación para la Sostenibilidad</t>
  </si>
  <si>
    <t>Las redes académicas y la visibilidad internacional potencian el posicionamiento institucional en sostenibilidad, fortaleciendo la articulación con rankings, cooperación internacional y acciones alineadas con los ODS.</t>
  </si>
  <si>
    <t>Coordinar internacionalización científica con estrategia de rankings.</t>
  </si>
  <si>
    <t>Misiones y laboratorios vivos comparten enfoque territorial, multiactor y sostenibilidad.</t>
  </si>
  <si>
    <t>Definir frontera: misiones como agenda; living labs como dispositivo territorial.</t>
  </si>
  <si>
    <t>Misiones con sostenibilidad aportan evidencia a ODS, rankings y responsabilidad social.</t>
  </si>
  <si>
    <t>Diseñar desde el inicio trazabilidad de aportes ODS por misión.</t>
  </si>
  <si>
    <t>Los laboratorios vivos son escenarios de implementación y medición de las misiones.</t>
  </si>
  <si>
    <t>Usar laboratorios vivos como plataforma de despliegue de misiones priorizadas.</t>
  </si>
  <si>
    <t>Bioterritorios y living labs aportan a sostenibilidad, impacto territorial y posicionamiento.</t>
  </si>
  <si>
    <t>Codificar contribución ODS y resultados territoriales de cada living lab.</t>
  </si>
  <si>
    <t>La creación y actualización de programas exige análisis de costos y fuentes de financiación.</t>
  </si>
  <si>
    <t>Vincular modelo de costos a decisiones de apertura/actualización de oferta.</t>
  </si>
  <si>
    <t>La investigación y redes requieren apalancamiento externo y sostenibilidad financiera.</t>
  </si>
  <si>
    <t>Articular recursos de I+D+i con estrategia financiera.</t>
  </si>
  <si>
    <t>Las misiones requieren fuentes de financiación y modelos de sostenibilidad.</t>
  </si>
  <si>
    <t>Estructurar portafolio de financiación para misiones priorizadas.</t>
  </si>
  <si>
    <t>Los laboratorios vivos demandan recursos y esquemas de sostenibilidad territorial.</t>
  </si>
  <si>
    <t>Definir modelo de sostenibilidad por laboratorio vivo.</t>
  </si>
  <si>
    <t>M5-P1</t>
  </si>
  <si>
    <t>Madurez Digital Institucional</t>
  </si>
  <si>
    <t>La madurez digital requiere inversión sostenible y priorización financiera.</t>
  </si>
  <si>
    <t>Incluir criterios de costo total de propiedad en hoja de ruta digital.</t>
  </si>
  <si>
    <t>M5-P2</t>
  </si>
  <si>
    <t>Infraestructura Tecnológica</t>
  </si>
  <si>
    <t>La infraestructura tecnológica depende de recursos de inversión, renovación y sostenibilidad.</t>
  </si>
  <si>
    <t>Conectar plan de renovación tecnológica con presupuesto plurianual.</t>
  </si>
  <si>
    <t>Herramientas digitales requieren presupuesto, licencias y evaluación de retorno.</t>
  </si>
  <si>
    <t>Evaluar costo-beneficio y adopción antes de adquirir nuevas plataformas.</t>
  </si>
  <si>
    <t>M5-P4</t>
  </si>
  <si>
    <t>Universidad Ágil</t>
  </si>
  <si>
    <t>La reorganización actualiza procesos y marco normativo; Universidad Ágil rediseña y optimiza procesos.</t>
  </si>
  <si>
    <t>Coordinar mapa de procesos para evitar doble intervención sobre las mismas áreas.</t>
  </si>
  <si>
    <t>M4-P2</t>
  </si>
  <si>
    <t>Cultura del Servicio</t>
  </si>
  <si>
    <t>La reorganización institucional incide en responsabilidades de servicio.</t>
  </si>
  <si>
    <t>Ajustar roles y protocolos de servicio en el marco de la reorganización.</t>
  </si>
  <si>
    <t>El modelo de bienestar/cuidado puede requerir ajustes de procesos y marco normativo.</t>
  </si>
  <si>
    <t>Validar implicaciones normativas del modelo de capacidades colectivas.</t>
  </si>
  <si>
    <t>La autorregulación institucional y el SIAC comparten lógica de mejora continua y normatividad.</t>
  </si>
  <si>
    <t>Definir frontera entre política/proceso institucional y sistema de calidad.</t>
  </si>
  <si>
    <t>Los rankings de sostenibilidad pueden abrir cooperación y alianzas internacionales.</t>
  </si>
  <si>
    <t>Usar ranking y Pacto Global como canales de visibilidad para redes.</t>
  </si>
  <si>
    <t>Bienestar, capacidades colectivas y salud mental son condiciones para permanencia y éxito estudiantil.</t>
  </si>
  <si>
    <t>Integrar variables de bienestar y salud mental al modelo de éxito estudiantil.</t>
  </si>
  <si>
    <t>Cuidado colectivo y servicio comparten dimensión cultural y experiencia institucional.</t>
  </si>
  <si>
    <t>Evitar campañas separadas; construir narrativa común de cultura institucional.</t>
  </si>
  <si>
    <t>La cultura del servicio mejora la experiencia del estudiante y la oportunidad de respuesta institucional.</t>
  </si>
  <si>
    <t>Medir experiencia estudiantil y PQR como señales de riesgo de permanencia.</t>
  </si>
  <si>
    <t>La cultura del servicio y Universidad Ágil comparten aprendizaje rápido e innovación continua.</t>
  </si>
  <si>
    <t>Integrar métricas de servicio a la priorización de procesos ágiles.</t>
  </si>
  <si>
    <t>La hoja de ruta de madurez digital orienta el plan de renovación tecnológica y ciberseguridad.</t>
  </si>
  <si>
    <t>Alinear cronograma de infraestructura tecnológica con la hoja de ruta de madurez digital.</t>
  </si>
  <si>
    <t>La gobernanza digital, datos y seguridad condicionan la adopción integrada de herramientas.</t>
  </si>
  <si>
    <t>Aplicar criterios institucionales comunes de interoperabilidad, datos y seguridad.</t>
  </si>
  <si>
    <t>La calidad institucional requiere datos gobernados, seguridad de información e interoperabilidad.</t>
  </si>
  <si>
    <t>Incorporar gobernanza de datos al SIAC y a procesos de autoevaluación.</t>
  </si>
  <si>
    <t>Éxito estudiantil y egresados requieren información integrada, analítica y trazabilidad.</t>
  </si>
  <si>
    <t>Definir modelo de datos de trayectoria estudiantil y egresados.</t>
  </si>
  <si>
    <t>Reportes ODS y rankings dependen de información institucional confiable y trazable.</t>
  </si>
  <si>
    <t>Definir responsables de datos para reportes externos de sostenibilidad.</t>
  </si>
  <si>
    <t>Las herramientas digitales requieren infraestructura modernizada, conectividad y seguridad.</t>
  </si>
  <si>
    <t>Definir prerrequisitos tecnológicos por herramienta antes de comprometer metas.</t>
  </si>
  <si>
    <t>La automatización de procesos con BPM/RPA habilita la Universidad Ágil.</t>
  </si>
  <si>
    <t>Priorizar procesos de alto impacto en un portafolio único de automatización.</t>
  </si>
  <si>
    <t>Herramientas digitales permiten ambientes virtuales, innovación curricular y modelo híbrido.</t>
  </si>
  <si>
    <t>Gestionar AVA como componente conjunto académico-tecnológico.</t>
  </si>
  <si>
    <t>Las herramientas digitales habilitan competencias digitales docentes.</t>
  </si>
  <si>
    <t>Coordinar formación con plan profesoral para evitar doble oferta de capacitación.</t>
  </si>
  <si>
    <t>El sistema de gestión de investigación soporta redes, producción y visibilidad científica.</t>
  </si>
  <si>
    <t>Definir interoperabilidad entre sistema de investigación y reportes institucionales.</t>
  </si>
  <si>
    <t>La evaluación de impacto de misiones requiere herramientas digitales de seguimiento.</t>
  </si>
  <si>
    <t>Diseñar tablero de misiones y evidencias de impacto.</t>
  </si>
  <si>
    <t>Los living labs requieren herramientas para gestión, trazabilidad territorial e indicadores.</t>
  </si>
  <si>
    <t>Construir tablero de laboratorios vivos y bioterritorios.</t>
  </si>
  <si>
    <t>Universidad Ágil puede operar como metodología para materializar la reorganización institucional.</t>
  </si>
  <si>
    <t>Usar equipos ágiles para implementar ajustes normativos y de procesos.</t>
  </si>
  <si>
    <t>La mejora de procesos y automatización habilitan mejor servicio y oportunidad en PQR.</t>
  </si>
  <si>
    <t>Priorizar procesos visibles para estudiantes, profesores y usuarios externos.</t>
  </si>
  <si>
    <t>La mejora continua y gobernanza de datos apoyan procesos de calidad y autoevaluación.</t>
  </si>
  <si>
    <t>Priorizar procesos de autoevaluación y renovación de registros/acreditación.</t>
  </si>
  <si>
    <t>Procesos ágiles y automatización pueden mejorar eficiencia y optimización de recursos.</t>
  </si>
  <si>
    <t>Medir ahorros de tiempo/costo en procesos priorizados.</t>
  </si>
  <si>
    <t>Leyenda de Tipos de Relación e Intensidades</t>
  </si>
  <si>
    <t>Relación en la que un proyecto genera condiciones, capacidades, insumos o soportes que facilitan y potencian el desarrollo o cumplimiento de otro proyecto.</t>
  </si>
  <si>
    <t>Relación en la que dos proyectos se articulan y fortalecen mutuamente, generando aportes recíprocos para el cumplimiento de objetivos comunes.</t>
  </si>
  <si>
    <t>Dependencia</t>
  </si>
  <si>
    <t>Relación en la que el avance, desarrollo o cumplimiento de un proyecto está condicionado parcial o totalmente por los resultados, insumos o avances generados por otro proyecto.</t>
  </si>
  <si>
    <t>Alta (Puntaje 5)</t>
  </si>
  <si>
    <t>Vínculo fuerte y directo — gestión prioritaria.</t>
  </si>
  <si>
    <t>Media (Puntaje 3)</t>
  </si>
  <si>
    <t>Vínculo relevante — articular en el seguimiento del PDI.</t>
  </si>
  <si>
    <t>Métricas de Conectividad por Proyecto — PDI 2026–2029</t>
  </si>
  <si>
    <t>¿Cómo leer esta hoja?  'Relaciones que genera' = cuántos proyectos recibe el impacto de este.  'Relaciones que recibe' = de cuántos proyectos depende.  'Puntaje Total' = suma ponderada (Alta=5, Media=3, Baja=1).</t>
  </si>
  <si>
    <t>Código</t>
  </si>
  <si>
    <t>Proyecto</t>
  </si>
  <si>
    <t>Macro</t>
  </si>
  <si>
    <t>Macroproyecto</t>
  </si>
  <si>
    <t>Relaciones
que genera</t>
  </si>
  <si>
    <t>Relaciones
que recibe</t>
  </si>
  <si>
    <t>Total
Relaciones</t>
  </si>
  <si>
    <t>Puntaje
Total</t>
  </si>
  <si>
    <t>Nivel de
Articulación</t>
  </si>
  <si>
    <t>Prioridad
de Gestión</t>
  </si>
  <si>
    <t>Lectura
Rápida</t>
  </si>
  <si>
    <t>M1</t>
  </si>
  <si>
    <t>M2</t>
  </si>
  <si>
    <t>M3</t>
  </si>
  <si>
    <t>M4</t>
  </si>
  <si>
    <t>M5</t>
  </si>
  <si>
    <t>Ranking de Proyectos por Conectividad — PDI 2026–2029</t>
  </si>
  <si>
    <t>Ordenados de mayor a menor Puntaje Total. El ranking se recalcula automáticamente si cambian las relaciones en la hoja 'Relaciones'.</t>
  </si>
  <si>
    <t>#</t>
  </si>
  <si>
    <t>Ranking de Macroproyectos — PDI 2026–2029</t>
  </si>
  <si>
    <t>Agrega puntajes y relaciones de todos los proyectos que pertenecen a cada macroproyecto.</t>
  </si>
  <si>
    <t>N° Proyectos</t>
  </si>
  <si>
    <t>Puntaje
Ponderado Total</t>
  </si>
  <si>
    <t>NODOS — Proyectos estratégicos PDI 2026–2029  (17 proyectos · fuente: Nodos y Métricas)</t>
  </si>
  <si>
    <t>ID_Proyecto</t>
  </si>
  <si>
    <t>Puntaje_Total</t>
  </si>
  <si>
    <t>Nivel_Articulacion</t>
  </si>
  <si>
    <t>Prioridad_Gestion</t>
  </si>
  <si>
    <t>CONEXIONES — Relaciones estratégicas entre proyectos  (fuente: Relaciones · buffer 300 filas)</t>
  </si>
  <si>
    <t>Proyecto_Origen</t>
  </si>
  <si>
    <t>Proyecto_Destino</t>
  </si>
  <si>
    <t>Tipo_Relacion</t>
  </si>
  <si>
    <t>Mapa de Interdependencias 17×17 — PDI 2026–2029</t>
  </si>
  <si>
    <t>Tipo: H = Habilitadora  ·  C = Complementariedad  ·  D = Dependencia  ·  S = Solapamiento     |     Intensidad: A = Alta  ·  M = Media     |     Celda vacía = Sin relación directa identificada</t>
  </si>
  <si>
    <t>Origen → Destino ↓</t>
  </si>
  <si>
    <t>●</t>
  </si>
  <si>
    <t>C-A</t>
  </si>
  <si>
    <t>H-A</t>
  </si>
  <si>
    <t>C-M</t>
  </si>
  <si>
    <t>D-M</t>
  </si>
  <si>
    <t>S-A</t>
  </si>
  <si>
    <t>H-M</t>
  </si>
  <si>
    <t>Valores calculados con 58 relaciones desde la hoja Relaciones.  ✔ Mapa actualizado — si modifica Relaciones, ejecute la macro de refresco o actualice este mapa manualmente.</t>
  </si>
  <si>
    <t>Tránsito Vital  [Propuesta Formativa Integral y de Calidad]</t>
  </si>
  <si>
    <t>Cuidado Colectivo  [Cultura del Cuidado, la Ética y el Servicio]</t>
  </si>
  <si>
    <t>Voces y Saberes  [Propuesta Formativa Integral y de Calidad]</t>
  </si>
  <si>
    <t>Cultura del Servicio  [Cultura del Cuidado, la Ética y el Servicio]</t>
  </si>
  <si>
    <t>Trayectorias de Futuro  [Propuesta Formativa Integral y de Calidad]</t>
  </si>
  <si>
    <t>Madurez Digital Institucional  [Ecosistema Digital]</t>
  </si>
  <si>
    <t>Redes del Conocimiento  [Redes Multidimensionales del Conocimiento]</t>
  </si>
  <si>
    <t>Infraestructura Tecnológica  [Ecosistema Digital]</t>
  </si>
  <si>
    <t>Misiones Académicas y Científicas  [Redes Multidimensionales del Conocimiento]</t>
  </si>
  <si>
    <t>Herramientas Digitales  [Ecosistema Digital]</t>
  </si>
  <si>
    <t>Laboratorios Vivos de Innovación  [Redes Multidimensionales del Conocimiento]</t>
  </si>
  <si>
    <t>Universidad Ágil  [Ecosistema Digital]</t>
  </si>
  <si>
    <t>Viabilidad Financiera  [Universidad Sostenible]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</si>
</sst>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888888"/>
      <name val="Calibri"/>
    </font>
    <font>
      <sz val="10.0"/>
      <color theme="1"/>
      <name val="Calibri"/>
    </font>
    <font>
      <b/>
      <sz val="10.0"/>
      <color rgb="FFFFFFFF"/>
      <name val="Calibri"/>
    </font>
    <font>
      <sz val="9.0"/>
      <color rgb="FF1B3A6B"/>
      <name val="Calibri"/>
    </font>
    <font>
      <b/>
      <sz val="12.0"/>
      <color rgb="FF1B3A6B"/>
      <name val="Calibri"/>
    </font>
    <font>
      <sz val="9.0"/>
      <color rgb="FF222222"/>
      <name val="Calibri"/>
    </font>
    <font>
      <i/>
      <sz val="9.0"/>
      <color rgb="FF555555"/>
      <name val="Calibri"/>
    </font>
    <font>
      <b/>
      <sz val="9.0"/>
      <color rgb="FF1B5E20"/>
      <name val="Calibri"/>
    </font>
    <font>
      <sz val="11.0"/>
      <color theme="1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9.0"/>
      <color rgb="FF1B3A6B"/>
      <name val="Calibri"/>
    </font>
    <font>
      <sz val="9.0"/>
      <color rgb="FF333333"/>
      <name val="Calibri"/>
    </font>
    <font>
      <b/>
      <sz val="9.0"/>
      <color theme="1"/>
      <name val="Calibri"/>
    </font>
    <font>
      <i/>
      <sz val="9.0"/>
      <color rgb="FF1B3A6B"/>
      <name val="Calibri"/>
    </font>
    <font>
      <b/>
      <sz val="9.0"/>
      <color rgb="FF222222"/>
      <name val="Calibri"/>
    </font>
    <font>
      <b/>
      <sz val="10.0"/>
      <color rgb="FF1B3A6B"/>
      <name val="Calibri"/>
    </font>
    <font>
      <sz val="10.0"/>
      <color rgb="FF222222"/>
      <name val="Calibri"/>
    </font>
    <font>
      <sz val="9.0"/>
      <color rgb="FF111111"/>
      <name val="Calibri"/>
    </font>
    <font>
      <b/>
      <sz val="8.0"/>
      <color rgb="FFFFFFFF"/>
      <name val="Calibri"/>
    </font>
    <font>
      <sz val="9.0"/>
      <color rgb="FF888888"/>
      <name val="Calibri"/>
    </font>
    <font>
      <sz val="8.0"/>
      <color rgb="FF999999"/>
      <name val="Calibri"/>
    </font>
    <font>
      <b/>
      <sz val="8.0"/>
      <color rgb="FF1B3A6B"/>
      <name val="Calibri"/>
    </font>
    <font>
      <sz val="8.0"/>
      <color theme="1"/>
      <name val="Calibri"/>
    </font>
    <font>
      <b/>
      <sz val="9.0"/>
      <color rgb="FF375623"/>
      <name val="Calibri"/>
    </font>
    <font>
      <b/>
      <sz val="9.0"/>
      <color rgb="FF11111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EBF4FC"/>
        <bgColor rgb="FFEBF4FC"/>
      </patternFill>
    </fill>
    <fill>
      <patternFill patternType="solid">
        <fgColor rgb="FFFFFFFF"/>
        <bgColor rgb="FFFFFFFF"/>
      </patternFill>
    </fill>
    <fill>
      <patternFill patternType="solid">
        <fgColor rgb="FF2563A8"/>
        <bgColor rgb="FF2563A8"/>
      </patternFill>
    </fill>
    <fill>
      <patternFill patternType="solid">
        <fgColor rgb="FFF4F4F4"/>
        <bgColor rgb="FFF4F4F4"/>
      </patternFill>
    </fill>
    <fill>
      <patternFill patternType="solid">
        <fgColor rgb="FF888888"/>
        <bgColor rgb="FF888888"/>
      </patternFill>
    </fill>
    <fill>
      <patternFill patternType="solid">
        <fgColor rgb="FFFAFAFA"/>
        <bgColor rgb="FFFAFAFA"/>
      </patternFill>
    </fill>
    <fill>
      <patternFill patternType="solid">
        <fgColor rgb="FFE8F5E9"/>
        <bgColor rgb="FFE8F5E9"/>
      </patternFill>
    </fill>
    <fill>
      <patternFill patternType="solid">
        <fgColor rgb="FFEEEEEE"/>
        <bgColor rgb="FFEEEEEE"/>
      </patternFill>
    </fill>
    <fill>
      <patternFill patternType="solid">
        <fgColor rgb="FFD0E4F5"/>
        <bgColor rgb="FFD0E4F5"/>
      </patternFill>
    </fill>
  </fills>
  <borders count="20">
    <border/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FFDDDDDD"/>
      </left>
      <bottom style="thin">
        <color rgb="FFDDDDDD"/>
      </bottom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left/>
      <top/>
      <bottom/>
    </border>
    <border>
      <top/>
      <bottom/>
    </border>
    <border>
      <right/>
      <top/>
      <bottom/>
    </border>
    <border>
      <right/>
      <top style="thin">
        <color rgb="FFDDDDDD"/>
      </top>
      <bottom style="thin">
        <color rgb="FFDDDDDD"/>
      </bottom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DDDDDD"/>
      </top>
      <bottom style="thin">
        <color rgb="FFDDDDDD"/>
      </bottom>
    </border>
    <border>
      <left style="thin">
        <color rgb="FFDDDDDD"/>
      </left>
      <right/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Border="1" applyFill="1" applyFont="1"/>
    <xf borderId="1" fillId="5" fontId="5" numFmtId="0" xfId="0" applyAlignment="1" applyBorder="1" applyFill="1" applyFont="1">
      <alignment horizontal="left" vertical="center"/>
    </xf>
    <xf borderId="4" fillId="3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1" fillId="6" fontId="8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left" vertical="center"/>
    </xf>
    <xf borderId="5" fillId="8" fontId="9" numFmtId="0" xfId="0" applyAlignment="1" applyBorder="1" applyFill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9" fontId="10" numFmtId="0" xfId="0" applyAlignment="1" applyBorder="1" applyFill="1" applyFont="1">
      <alignment horizontal="center" vertical="center"/>
    </xf>
    <xf borderId="0" fillId="0" fontId="11" numFmtId="0" xfId="0" applyFont="1"/>
    <xf borderId="11" fillId="2" fontId="1" numFmtId="0" xfId="0" applyAlignment="1" applyBorder="1" applyFont="1">
      <alignment horizontal="left" vertical="center"/>
    </xf>
    <xf borderId="12" fillId="0" fontId="2" numFmtId="0" xfId="0" applyBorder="1" applyFont="1"/>
    <xf borderId="13" fillId="0" fontId="2" numFmtId="0" xfId="0" applyBorder="1" applyFont="1"/>
    <xf borderId="11" fillId="3" fontId="3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5" fontId="12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left" readingOrder="0" shrinkToFit="0" vertical="center" wrapText="1"/>
    </xf>
    <xf borderId="11" fillId="5" fontId="5" numFmtId="0" xfId="0" applyAlignment="1" applyBorder="1" applyFont="1">
      <alignment horizontal="left" vertical="center"/>
    </xf>
    <xf borderId="4" fillId="3" fontId="14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readingOrder="0" shrinkToFit="0" wrapText="0"/>
    </xf>
    <xf borderId="14" fillId="0" fontId="2" numFmtId="0" xfId="0" applyBorder="1" applyFont="1"/>
    <xf borderId="4" fillId="3" fontId="14" numFmtId="0" xfId="0" applyAlignment="1" applyBorder="1" applyFont="1">
      <alignment horizontal="left" readingOrder="0" shrinkToFit="0" vertical="center" wrapText="0"/>
    </xf>
    <xf borderId="2" fillId="6" fontId="15" numFmtId="0" xfId="0" applyAlignment="1" applyBorder="1" applyFont="1">
      <alignment horizontal="left" readingOrder="0"/>
    </xf>
    <xf borderId="1" fillId="6" fontId="15" numFmtId="0" xfId="0" applyAlignment="1" applyBorder="1" applyFont="1">
      <alignment horizontal="left" vertical="center"/>
    </xf>
    <xf borderId="11" fillId="3" fontId="3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vertical="center"/>
    </xf>
    <xf borderId="4" fillId="6" fontId="16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center" vertical="center"/>
    </xf>
    <xf borderId="4" fillId="4" fontId="16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left" shrinkToFit="0" vertical="center" wrapText="1"/>
    </xf>
    <xf borderId="15" fillId="2" fontId="1" numFmtId="0" xfId="0" applyAlignment="1" applyBorder="1" applyFont="1">
      <alignment horizontal="left" vertical="center"/>
    </xf>
    <xf borderId="4" fillId="4" fontId="14" numFmtId="0" xfId="0" applyAlignment="1" applyBorder="1" applyFont="1">
      <alignment horizontal="center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6" fontId="1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15" fillId="3" fontId="3" numFmtId="0" xfId="0" applyAlignment="1" applyBorder="1" applyFont="1">
      <alignment horizontal="left" vertical="center"/>
    </xf>
    <xf borderId="4" fillId="6" fontId="19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left" shrinkToFit="0" vertical="center" wrapText="1"/>
    </xf>
    <xf borderId="4" fillId="6" fontId="20" numFmtId="0" xfId="0" applyAlignment="1" applyBorder="1" applyFont="1">
      <alignment horizontal="center" vertical="center"/>
    </xf>
    <xf borderId="4" fillId="4" fontId="19" numFmtId="0" xfId="0" applyAlignment="1" applyBorder="1" applyFont="1">
      <alignment horizontal="center" vertical="center"/>
    </xf>
    <xf borderId="4" fillId="4" fontId="19" numFmtId="0" xfId="0" applyAlignment="1" applyBorder="1" applyFont="1">
      <alignment horizontal="left" shrinkToFit="0" vertical="center" wrapText="1"/>
    </xf>
    <xf borderId="4" fillId="4" fontId="20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5" fontId="13" numFmtId="0" xfId="0" applyBorder="1" applyFont="1"/>
    <xf borderId="4" fillId="2" fontId="12" numFmtId="0" xfId="0" applyAlignment="1" applyBorder="1" applyFont="1">
      <alignment horizontal="left" vertical="center"/>
    </xf>
    <xf borderId="4" fillId="4" fontId="14" numFmtId="0" xfId="0" applyAlignment="1" applyBorder="1" applyFont="1">
      <alignment horizontal="center" vertical="center"/>
    </xf>
    <xf borderId="4" fillId="4" fontId="21" numFmtId="0" xfId="0" applyAlignment="1" applyBorder="1" applyFont="1">
      <alignment horizontal="left" vertical="center"/>
    </xf>
    <xf borderId="4" fillId="4" fontId="21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21" numFmtId="0" xfId="0" applyAlignment="1" applyBorder="1" applyFont="1">
      <alignment horizontal="left" vertical="center"/>
    </xf>
    <xf borderId="4" fillId="6" fontId="21" numFmtId="0" xfId="0" applyAlignment="1" applyBorder="1" applyFont="1">
      <alignment horizontal="center" vertical="center"/>
    </xf>
    <xf borderId="4" fillId="4" fontId="13" numFmtId="0" xfId="0" applyBorder="1" applyFont="1"/>
    <xf borderId="4" fillId="4" fontId="13" numFmtId="0" xfId="0" applyAlignment="1" applyBorder="1" applyFont="1">
      <alignment horizontal="left" vertical="center"/>
    </xf>
    <xf borderId="4" fillId="6" fontId="13" numFmtId="0" xfId="0" applyAlignment="1" applyBorder="1" applyFont="1">
      <alignment horizontal="left" vertical="center"/>
    </xf>
    <xf borderId="4" fillId="2" fontId="22" numFmtId="0" xfId="0" applyAlignment="1" applyBorder="1" applyFont="1">
      <alignment horizontal="center" shrinkToFit="0" vertical="center" wrapText="1"/>
    </xf>
    <xf borderId="16" fillId="5" fontId="22" numFmtId="0" xfId="0" applyAlignment="1" applyBorder="1" applyFont="1">
      <alignment horizontal="center" vertical="center"/>
    </xf>
    <xf borderId="4" fillId="10" fontId="23" numFmtId="0" xfId="0" applyAlignment="1" applyBorder="1" applyFill="1" applyFont="1">
      <alignment horizontal="center" vertical="center"/>
    </xf>
    <xf borderId="4" fillId="4" fontId="24" numFmtId="0" xfId="0" applyAlignment="1" applyBorder="1" applyFont="1">
      <alignment horizontal="center" vertical="center"/>
    </xf>
    <xf borderId="4" fillId="11" fontId="25" numFmtId="0" xfId="0" applyAlignment="1" applyBorder="1" applyFill="1" applyFont="1">
      <alignment horizontal="center" vertical="center"/>
    </xf>
    <xf borderId="4" fillId="6" fontId="25" numFmtId="0" xfId="0" applyAlignment="1" applyBorder="1" applyFont="1">
      <alignment horizontal="center" vertical="center"/>
    </xf>
    <xf borderId="17" fillId="4" fontId="26" numFmtId="0" xfId="0" applyAlignment="1" applyBorder="1" applyFont="1">
      <alignment horizontal="center" vertical="center"/>
    </xf>
    <xf borderId="1" fillId="9" fontId="27" numFmtId="0" xfId="0" applyAlignment="1" applyBorder="1" applyFont="1">
      <alignment horizontal="center" vertical="center"/>
    </xf>
    <xf borderId="18" fillId="0" fontId="2" numFmtId="0" xfId="0" applyBorder="1" applyFont="1"/>
    <xf borderId="4" fillId="3" fontId="14" numFmtId="0" xfId="0" applyAlignment="1" applyBorder="1" applyFont="1">
      <alignment horizontal="center" vertical="center"/>
    </xf>
    <xf borderId="19" fillId="6" fontId="8" numFmtId="0" xfId="0" applyAlignment="1" applyBorder="1" applyFont="1">
      <alignment horizontal="left" shrinkToFit="0" vertical="center" wrapText="1"/>
    </xf>
    <xf borderId="4" fillId="6" fontId="28" numFmtId="0" xfId="0" applyAlignment="1" applyBorder="1" applyFont="1">
      <alignment horizontal="center" vertical="center"/>
    </xf>
    <xf borderId="4" fillId="4" fontId="2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30.0"/>
    <col customWidth="1" min="4" max="4" width="16.0"/>
    <col customWidth="1" min="5" max="5" width="30.0"/>
    <col customWidth="1" min="6" max="6" width="16.0"/>
    <col customWidth="1" min="7" max="26" width="8.57"/>
  </cols>
  <sheetData>
    <row r="1" ht="33.7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6.0" customHeight="1">
      <c r="A3" s="5"/>
      <c r="B3" s="5"/>
      <c r="C3" s="5"/>
      <c r="D3" s="5"/>
      <c r="E3" s="5"/>
      <c r="F3" s="5"/>
    </row>
    <row r="4" ht="21.75" customHeight="1">
      <c r="A4" s="6" t="s">
        <v>2</v>
      </c>
      <c r="B4" s="2"/>
      <c r="C4" s="2"/>
      <c r="D4" s="2"/>
      <c r="E4" s="2"/>
      <c r="F4" s="3"/>
    </row>
    <row r="5" ht="27.75" customHeight="1">
      <c r="A5" s="7" t="s">
        <v>3</v>
      </c>
      <c r="B5" s="8">
        <f>COUNTA('Nodos y Métricas'!A4:A20)</f>
        <v>17</v>
      </c>
      <c r="C5" s="7" t="s">
        <v>4</v>
      </c>
      <c r="D5" s="8">
        <f>COUNTIF(Relaciones!A4:A1048575,"M?-P?")</f>
        <v>58</v>
      </c>
      <c r="E5" s="7" t="s">
        <v>5</v>
      </c>
      <c r="F5" s="8">
        <f>COUNTA('Ranking Macroproyectos'!B4:B8)</f>
        <v>5</v>
      </c>
    </row>
    <row r="6" ht="27.75" customHeight="1">
      <c r="A6" s="7" t="s">
        <v>6</v>
      </c>
      <c r="B6" s="8">
        <f>COUNTIF(Relaciones!H4:H1048575,"Alta")</f>
        <v>28</v>
      </c>
      <c r="C6" s="7" t="s">
        <v>7</v>
      </c>
      <c r="D6" s="8">
        <f>COUNTIF(Relaciones!H4:H1048575,"Media")</f>
        <v>30</v>
      </c>
      <c r="E6" s="7" t="s">
        <v>8</v>
      </c>
      <c r="F6" s="8">
        <f>COUNTIF(Relaciones!H4:H1048575,"Baja")</f>
        <v>0</v>
      </c>
    </row>
    <row r="7" ht="6.0" customHeight="1">
      <c r="A7" s="5"/>
      <c r="B7" s="5"/>
      <c r="C7" s="5"/>
      <c r="D7" s="5"/>
      <c r="E7" s="5"/>
      <c r="F7" s="5"/>
    </row>
    <row r="8" ht="21.75" customHeight="1">
      <c r="A8" s="6" t="s">
        <v>9</v>
      </c>
      <c r="B8" s="2"/>
      <c r="C8" s="2"/>
      <c r="D8" s="2"/>
      <c r="E8" s="2"/>
      <c r="F8" s="3"/>
    </row>
    <row r="9" ht="27.75" customHeight="1">
      <c r="A9" s="7" t="s">
        <v>10</v>
      </c>
      <c r="B9" s="8">
        <f>COUNTIF('Nodos y Métricas'!J4:J20,"Prioridad Alta")</f>
        <v>6</v>
      </c>
      <c r="C9" s="7" t="s">
        <v>11</v>
      </c>
      <c r="D9" s="8">
        <f>COUNTIF('Nodos y Métricas'!J4:J20,"Prioridad Media")</f>
        <v>6</v>
      </c>
      <c r="E9" s="7" t="s">
        <v>12</v>
      </c>
      <c r="F9" s="8">
        <f>COUNTIF('Nodos y Métricas'!J4:J20,"Prioridad Baja")</f>
        <v>5</v>
      </c>
    </row>
    <row r="10" ht="6.0" customHeight="1">
      <c r="A10" s="5"/>
      <c r="B10" s="5"/>
      <c r="C10" s="5"/>
      <c r="D10" s="5"/>
      <c r="E10" s="5"/>
      <c r="F10" s="5"/>
    </row>
    <row r="11" ht="21.75" customHeight="1">
      <c r="A11" s="6" t="s">
        <v>13</v>
      </c>
      <c r="B11" s="2"/>
      <c r="C11" s="2"/>
      <c r="D11" s="2"/>
      <c r="E11" s="2"/>
      <c r="F11" s="3"/>
    </row>
    <row r="12" ht="27.75" customHeight="1">
      <c r="A12" s="7" t="s">
        <v>14</v>
      </c>
      <c r="B12" s="8">
        <f>COUNTIF('Nodos y Métricas'!$C$4:$C$20,"M1")</f>
        <v>5</v>
      </c>
      <c r="C12" s="7" t="s">
        <v>15</v>
      </c>
      <c r="D12" s="8">
        <f>COUNTIF('Nodos y Métricas'!$C$4:$C$20,"M2")</f>
        <v>3</v>
      </c>
      <c r="E12" s="5"/>
      <c r="F12" s="5"/>
    </row>
    <row r="13" ht="27.75" customHeight="1">
      <c r="A13" s="7" t="s">
        <v>16</v>
      </c>
      <c r="B13" s="8">
        <f>COUNTIF('Nodos y Métricas'!$C$4:$C$20,"M3")</f>
        <v>3</v>
      </c>
      <c r="C13" s="7" t="s">
        <v>17</v>
      </c>
      <c r="D13" s="8">
        <f>COUNTIF('Nodos y Métricas'!$C$4:$C$20,"M4")</f>
        <v>2</v>
      </c>
      <c r="E13" s="5"/>
      <c r="F13" s="5"/>
    </row>
    <row r="14" ht="27.75" customHeight="1">
      <c r="A14" s="7" t="s">
        <v>18</v>
      </c>
      <c r="B14" s="8">
        <f>COUNTIF('Nodos y Métricas'!$C$4:$C$20,"M5")</f>
        <v>4</v>
      </c>
      <c r="C14" s="5"/>
      <c r="D14" s="5"/>
      <c r="E14" s="9"/>
      <c r="F14" s="10"/>
    </row>
    <row r="15" ht="6.0" customHeight="1">
      <c r="A15" s="5"/>
      <c r="B15" s="5"/>
      <c r="C15" s="5"/>
      <c r="D15" s="5"/>
      <c r="E15" s="5"/>
      <c r="F15" s="5"/>
    </row>
    <row r="16" ht="21.75" customHeight="1">
      <c r="A16" s="6" t="s">
        <v>19</v>
      </c>
      <c r="B16" s="2"/>
      <c r="C16" s="2"/>
      <c r="D16" s="2"/>
      <c r="E16" s="2"/>
      <c r="F16" s="3"/>
    </row>
    <row r="17" ht="51.75" customHeight="1">
      <c r="A17" s="11" t="str">
        <f t="array" ref="A17">IFERROR("El macroproyecto con mayor articulación es " &amp; INDEX('Ranking Macroproyectos'!C:C,MATCH(MAX('Ranking Macroproyectos'!E:E),'Ranking Macroproyectos'!E:E,0)) &amp; " (" &amp; INDEX('Ranking Macroproyectos'!B:B,MATCH(MAX('Ranking Macroproyectos'!E:E),'Ranking Macroproyectos'!E:E,0)) &amp; "), con un puntaje total de " &amp; MAX('Ranking Macroproyectos'!E:E) &amp; " puntos y " &amp; INDEX('Ranking Macroproyectos'!F:F,MATCH(MAX('Ranking Macroproyectos'!E:E),'Ranking Macroproyectos'!E:E,0)) &amp; " relaciones totales. Sus proyectos actúan como habilitadores transversales clave del PDI: un retraso en ellos puede generar efecto dominó sobre múltiples frentes estratégicos.","Datos insuficientes para generar lectura automática.")</f>
        <v>El macroproyecto con mayor articulación es Propuesta Formativa Integral y de Calidad (M1), con un puntaje total de 143 puntos y 37 relaciones totales. Sus proyectos actúan como habilitadores transversales clave del PDI: un retraso en ellos puede generar efecto dominó sobre múltiples frentes estratégicos.</v>
      </c>
      <c r="B17" s="2"/>
      <c r="C17" s="2"/>
      <c r="D17" s="2"/>
      <c r="E17" s="2"/>
      <c r="F17" s="3"/>
    </row>
    <row r="18" ht="6.0" customHeight="1">
      <c r="A18" s="5"/>
      <c r="B18" s="5"/>
      <c r="C18" s="5"/>
      <c r="D18" s="5"/>
      <c r="E18" s="5"/>
      <c r="F18" s="5"/>
    </row>
    <row r="19" ht="21.75" customHeight="1">
      <c r="A19" s="12" t="s">
        <v>20</v>
      </c>
      <c r="B19" s="2"/>
      <c r="C19" s="2"/>
      <c r="D19" s="2"/>
      <c r="E19" s="2"/>
      <c r="F19" s="3"/>
    </row>
    <row r="20" ht="39.75" customHeight="1">
      <c r="A20" s="13" t="s">
        <v>21</v>
      </c>
      <c r="B20" s="14"/>
      <c r="C20" s="14"/>
      <c r="D20" s="14"/>
      <c r="E20" s="14"/>
      <c r="F20" s="15"/>
    </row>
    <row r="21" ht="15.0" customHeight="1">
      <c r="A21" s="16"/>
      <c r="B21" s="17"/>
      <c r="C21" s="17"/>
      <c r="D21" s="17"/>
      <c r="E21" s="17"/>
      <c r="F21" s="18"/>
    </row>
    <row r="22" ht="19.5" customHeight="1">
      <c r="A22" s="19" t="str">
        <f>IF(AND(COUNTIF('Nodos y Métricas'!J:J,"Prioridad Alta")+COUNTIF('Nodos y Métricas'!J:J,"Prioridad Media")+COUNTIF('Nodos y Métricas'!J:J,"Prioridad Baja")=17,COUNTA(Relaciones!A:A)-1&gt;0),"✔ Modelo correcto — todos los indicadores calculados","⚠ Revisar inconsistencias en fórmulas o datos")</f>
        <v>✔ Modelo correcto — todos los indicadores calculados</v>
      </c>
      <c r="B22" s="2"/>
      <c r="C22" s="2"/>
      <c r="D22" s="2"/>
      <c r="E22" s="2"/>
      <c r="F22" s="3"/>
    </row>
    <row r="23" ht="15.0" customHeight="1">
      <c r="A23" s="5"/>
      <c r="B23" s="5"/>
      <c r="C23" s="5"/>
      <c r="D23" s="5"/>
      <c r="E23" s="5"/>
      <c r="F23" s="5"/>
    </row>
    <row r="24" ht="15.0" customHeight="1">
      <c r="A24" s="5"/>
      <c r="B24" s="5"/>
      <c r="C24" s="5"/>
      <c r="D24" s="5"/>
      <c r="E24" s="5"/>
      <c r="F24" s="5"/>
    </row>
    <row r="25" ht="15.0" customHeight="1">
      <c r="A25" s="5"/>
      <c r="B25" s="5"/>
      <c r="C25" s="5"/>
      <c r="D25" s="5"/>
      <c r="E25" s="5"/>
      <c r="F25" s="5"/>
    </row>
    <row r="26" ht="14.25" customHeight="1">
      <c r="A26" s="20"/>
      <c r="B26" s="20"/>
      <c r="C26" s="20"/>
      <c r="D26" s="20"/>
      <c r="E26" s="20"/>
      <c r="F26" s="20"/>
    </row>
    <row r="27" ht="14.25" customHeight="1">
      <c r="A27" s="20"/>
      <c r="B27" s="20"/>
      <c r="C27" s="20"/>
      <c r="D27" s="20"/>
      <c r="E27" s="20"/>
      <c r="F27" s="20"/>
    </row>
    <row r="28" ht="14.25" customHeight="1">
      <c r="A28" s="20"/>
      <c r="B28" s="20"/>
      <c r="C28" s="20"/>
      <c r="D28" s="20"/>
      <c r="E28" s="20"/>
      <c r="F28" s="20"/>
    </row>
    <row r="29" ht="14.25" customHeight="1">
      <c r="A29" s="20"/>
      <c r="B29" s="20"/>
      <c r="C29" s="20"/>
      <c r="D29" s="20"/>
      <c r="E29" s="20"/>
      <c r="F29" s="20"/>
    </row>
    <row r="30" ht="14.25" customHeight="1">
      <c r="A30" s="20"/>
      <c r="B30" s="20"/>
      <c r="C30" s="20"/>
      <c r="D30" s="20"/>
      <c r="E30" s="20"/>
      <c r="F30" s="20"/>
    </row>
    <row r="31" ht="14.25" customHeight="1">
      <c r="A31" s="20"/>
      <c r="B31" s="20"/>
      <c r="C31" s="20"/>
      <c r="D31" s="20"/>
      <c r="E31" s="20"/>
      <c r="F31" s="20"/>
    </row>
    <row r="32" ht="14.25" customHeight="1">
      <c r="A32" s="20"/>
      <c r="B32" s="20"/>
      <c r="C32" s="20"/>
      <c r="D32" s="20"/>
      <c r="E32" s="20"/>
      <c r="F32" s="20"/>
    </row>
    <row r="33" ht="14.25" customHeight="1">
      <c r="A33" s="20"/>
      <c r="B33" s="20"/>
      <c r="C33" s="20"/>
      <c r="D33" s="20"/>
      <c r="E33" s="20"/>
      <c r="F33" s="20"/>
    </row>
    <row r="34" ht="14.25" customHeight="1">
      <c r="A34" s="20"/>
      <c r="B34" s="20"/>
      <c r="C34" s="20"/>
      <c r="D34" s="20"/>
      <c r="E34" s="20"/>
      <c r="F34" s="20"/>
    </row>
    <row r="35" ht="14.25" customHeight="1">
      <c r="A35" s="20"/>
      <c r="B35" s="20"/>
      <c r="C35" s="20"/>
      <c r="D35" s="20"/>
      <c r="E35" s="20"/>
      <c r="F35" s="20"/>
    </row>
    <row r="36" ht="14.25" customHeight="1">
      <c r="A36" s="20"/>
      <c r="B36" s="20"/>
      <c r="C36" s="20"/>
      <c r="D36" s="20"/>
      <c r="E36" s="20"/>
      <c r="F36" s="20"/>
    </row>
    <row r="37" ht="14.25" customHeight="1">
      <c r="A37" s="20"/>
      <c r="B37" s="20"/>
      <c r="C37" s="20"/>
      <c r="D37" s="20"/>
      <c r="E37" s="20"/>
      <c r="F37" s="20"/>
    </row>
    <row r="38" ht="14.25" customHeight="1">
      <c r="A38" s="20"/>
      <c r="B38" s="20"/>
      <c r="C38" s="20"/>
      <c r="D38" s="20"/>
      <c r="E38" s="20"/>
      <c r="F38" s="20"/>
    </row>
    <row r="39" ht="14.25" customHeight="1">
      <c r="A39" s="20"/>
      <c r="B39" s="20"/>
      <c r="C39" s="20"/>
      <c r="D39" s="20"/>
      <c r="E39" s="20"/>
      <c r="F39" s="20"/>
    </row>
    <row r="40" ht="14.25" customHeight="1">
      <c r="A40" s="20"/>
      <c r="B40" s="20"/>
      <c r="C40" s="20"/>
      <c r="D40" s="20"/>
      <c r="E40" s="20"/>
      <c r="F40" s="20"/>
    </row>
    <row r="41" ht="14.25" customHeight="1">
      <c r="A41" s="20"/>
      <c r="B41" s="20"/>
      <c r="C41" s="20"/>
      <c r="D41" s="20"/>
      <c r="E41" s="20"/>
      <c r="F41" s="20"/>
    </row>
    <row r="42" ht="14.25" customHeight="1">
      <c r="A42" s="20"/>
      <c r="B42" s="20"/>
      <c r="C42" s="20"/>
      <c r="D42" s="20"/>
      <c r="E42" s="20"/>
      <c r="F42" s="20"/>
    </row>
    <row r="43" ht="14.25" customHeight="1">
      <c r="A43" s="20"/>
      <c r="B43" s="20"/>
      <c r="C43" s="20"/>
      <c r="D43" s="20"/>
      <c r="E43" s="20"/>
      <c r="F43" s="20"/>
    </row>
    <row r="44" ht="14.25" customHeight="1">
      <c r="A44" s="20"/>
      <c r="B44" s="20"/>
      <c r="C44" s="20"/>
      <c r="D44" s="20"/>
      <c r="E44" s="20"/>
      <c r="F44" s="20"/>
    </row>
    <row r="45" ht="14.25" customHeight="1">
      <c r="A45" s="20"/>
      <c r="B45" s="20"/>
      <c r="C45" s="20"/>
      <c r="D45" s="20"/>
      <c r="E45" s="20"/>
      <c r="F45" s="20"/>
    </row>
    <row r="46" ht="14.25" customHeight="1">
      <c r="A46" s="20"/>
      <c r="B46" s="20"/>
      <c r="C46" s="20"/>
      <c r="D46" s="20"/>
      <c r="E46" s="20"/>
      <c r="F46" s="20"/>
    </row>
    <row r="47" ht="14.25" customHeight="1">
      <c r="A47" s="20"/>
      <c r="B47" s="20"/>
      <c r="C47" s="20"/>
      <c r="D47" s="20"/>
      <c r="E47" s="20"/>
      <c r="F47" s="20"/>
    </row>
    <row r="48" ht="14.25" customHeight="1">
      <c r="A48" s="20"/>
      <c r="B48" s="20"/>
      <c r="C48" s="20"/>
      <c r="D48" s="20"/>
      <c r="E48" s="20"/>
      <c r="F48" s="20"/>
    </row>
    <row r="49" ht="14.25" customHeight="1">
      <c r="A49" s="20"/>
      <c r="B49" s="20"/>
      <c r="C49" s="20"/>
      <c r="D49" s="20"/>
      <c r="E49" s="20"/>
      <c r="F49" s="20"/>
    </row>
    <row r="50" ht="14.25" customHeight="1">
      <c r="A50" s="20"/>
      <c r="B50" s="20"/>
      <c r="C50" s="20"/>
      <c r="D50" s="20"/>
      <c r="E50" s="20"/>
      <c r="F50" s="20"/>
    </row>
    <row r="51" ht="14.25" customHeight="1">
      <c r="A51" s="20"/>
      <c r="B51" s="20"/>
      <c r="C51" s="20"/>
      <c r="D51" s="20"/>
      <c r="E51" s="20"/>
      <c r="F51" s="20"/>
    </row>
    <row r="52" ht="14.25" customHeight="1">
      <c r="A52" s="20"/>
      <c r="B52" s="20"/>
      <c r="C52" s="20"/>
      <c r="D52" s="20"/>
      <c r="E52" s="20"/>
      <c r="F52" s="20"/>
    </row>
    <row r="53" ht="14.25" customHeight="1">
      <c r="A53" s="20"/>
      <c r="B53" s="20"/>
      <c r="C53" s="20"/>
      <c r="D53" s="20"/>
      <c r="E53" s="20"/>
      <c r="F53" s="20"/>
    </row>
    <row r="54" ht="14.25" customHeight="1">
      <c r="A54" s="20"/>
      <c r="B54" s="20"/>
      <c r="C54" s="20"/>
      <c r="D54" s="20"/>
      <c r="E54" s="20"/>
      <c r="F54" s="20"/>
    </row>
    <row r="55" ht="14.25" customHeight="1">
      <c r="A55" s="20"/>
      <c r="B55" s="20"/>
      <c r="C55" s="20"/>
      <c r="D55" s="20"/>
      <c r="E55" s="20"/>
      <c r="F55" s="20"/>
    </row>
    <row r="56" ht="14.25" customHeight="1">
      <c r="A56" s="20"/>
      <c r="B56" s="20"/>
      <c r="C56" s="20"/>
      <c r="D56" s="20"/>
      <c r="E56" s="20"/>
      <c r="F56" s="20"/>
    </row>
    <row r="57" ht="14.25" customHeight="1">
      <c r="A57" s="20"/>
      <c r="B57" s="20"/>
      <c r="C57" s="20"/>
      <c r="D57" s="20"/>
      <c r="E57" s="20"/>
      <c r="F57" s="20"/>
    </row>
    <row r="58" ht="14.25" customHeight="1">
      <c r="A58" s="20"/>
      <c r="B58" s="20"/>
      <c r="C58" s="20"/>
      <c r="D58" s="20"/>
      <c r="E58" s="20"/>
      <c r="F58" s="20"/>
    </row>
    <row r="59" ht="14.25" customHeight="1">
      <c r="A59" s="20"/>
      <c r="B59" s="20"/>
      <c r="C59" s="20"/>
      <c r="D59" s="20"/>
      <c r="E59" s="20"/>
      <c r="F59" s="20"/>
    </row>
    <row r="60" ht="14.25" customHeight="1">
      <c r="A60" s="20"/>
      <c r="B60" s="20"/>
      <c r="C60" s="20"/>
      <c r="D60" s="20"/>
      <c r="E60" s="20"/>
      <c r="F60" s="20"/>
    </row>
    <row r="61" ht="14.25" customHeight="1">
      <c r="A61" s="20"/>
      <c r="B61" s="20"/>
      <c r="C61" s="20"/>
      <c r="D61" s="20"/>
      <c r="E61" s="20"/>
      <c r="F61" s="20"/>
    </row>
    <row r="62" ht="14.25" customHeight="1">
      <c r="A62" s="20"/>
      <c r="B62" s="20"/>
      <c r="C62" s="20"/>
      <c r="D62" s="20"/>
      <c r="E62" s="20"/>
      <c r="F62" s="20"/>
    </row>
    <row r="63" ht="14.25" customHeight="1">
      <c r="A63" s="20"/>
      <c r="B63" s="20"/>
      <c r="C63" s="20"/>
      <c r="D63" s="20"/>
      <c r="E63" s="20"/>
      <c r="F63" s="20"/>
    </row>
    <row r="64" ht="14.25" customHeight="1">
      <c r="A64" s="20"/>
      <c r="B64" s="20"/>
      <c r="C64" s="20"/>
      <c r="D64" s="20"/>
      <c r="E64" s="20"/>
      <c r="F64" s="20"/>
    </row>
    <row r="65" ht="14.25" customHeight="1">
      <c r="A65" s="20"/>
      <c r="B65" s="20"/>
      <c r="C65" s="20"/>
      <c r="D65" s="20"/>
      <c r="E65" s="20"/>
      <c r="F65" s="20"/>
    </row>
    <row r="66" ht="14.25" customHeight="1">
      <c r="A66" s="20"/>
      <c r="B66" s="20"/>
      <c r="C66" s="20"/>
      <c r="D66" s="20"/>
      <c r="E66" s="20"/>
      <c r="F66" s="20"/>
    </row>
    <row r="67" ht="14.25" customHeight="1">
      <c r="A67" s="20"/>
      <c r="B67" s="20"/>
      <c r="C67" s="20"/>
      <c r="D67" s="20"/>
      <c r="E67" s="20"/>
      <c r="F67" s="20"/>
    </row>
    <row r="68" ht="14.25" customHeight="1">
      <c r="A68" s="20"/>
      <c r="B68" s="20"/>
      <c r="C68" s="20"/>
      <c r="D68" s="20"/>
      <c r="E68" s="20"/>
      <c r="F68" s="20"/>
    </row>
    <row r="69" ht="14.25" customHeight="1">
      <c r="A69" s="20"/>
      <c r="B69" s="20"/>
      <c r="C69" s="20"/>
      <c r="D69" s="20"/>
      <c r="E69" s="20"/>
      <c r="F69" s="20"/>
    </row>
    <row r="70" ht="14.25" customHeight="1">
      <c r="A70" s="20"/>
      <c r="B70" s="20"/>
      <c r="C70" s="20"/>
      <c r="D70" s="20"/>
      <c r="E70" s="20"/>
      <c r="F70" s="20"/>
    </row>
    <row r="71" ht="14.25" customHeight="1">
      <c r="A71" s="20"/>
      <c r="B71" s="20"/>
      <c r="C71" s="20"/>
      <c r="D71" s="20"/>
      <c r="E71" s="20"/>
      <c r="F71" s="20"/>
    </row>
    <row r="72" ht="14.25" customHeight="1">
      <c r="A72" s="20"/>
      <c r="B72" s="20"/>
      <c r="C72" s="20"/>
      <c r="D72" s="20"/>
      <c r="E72" s="20"/>
      <c r="F72" s="20"/>
    </row>
    <row r="73" ht="14.25" customHeight="1">
      <c r="A73" s="20"/>
      <c r="B73" s="20"/>
      <c r="C73" s="20"/>
      <c r="D73" s="20"/>
      <c r="E73" s="20"/>
      <c r="F73" s="20"/>
    </row>
    <row r="74" ht="14.25" customHeight="1">
      <c r="A74" s="20"/>
      <c r="B74" s="20"/>
      <c r="C74" s="20"/>
      <c r="D74" s="20"/>
      <c r="E74" s="20"/>
      <c r="F74" s="20"/>
    </row>
    <row r="75" ht="14.25" customHeight="1">
      <c r="A75" s="20"/>
      <c r="B75" s="20"/>
      <c r="C75" s="20"/>
      <c r="D75" s="20"/>
      <c r="E75" s="20"/>
      <c r="F75" s="20"/>
    </row>
    <row r="76" ht="14.25" customHeight="1">
      <c r="A76" s="20"/>
      <c r="B76" s="20"/>
      <c r="C76" s="20"/>
      <c r="D76" s="20"/>
      <c r="E76" s="20"/>
      <c r="F76" s="20"/>
    </row>
    <row r="77" ht="14.25" customHeight="1">
      <c r="A77" s="20"/>
      <c r="B77" s="20"/>
      <c r="C77" s="20"/>
      <c r="D77" s="20"/>
      <c r="E77" s="20"/>
      <c r="F77" s="20"/>
    </row>
    <row r="78" ht="14.25" customHeight="1">
      <c r="A78" s="20"/>
      <c r="B78" s="20"/>
      <c r="C78" s="20"/>
      <c r="D78" s="20"/>
      <c r="E78" s="20"/>
      <c r="F78" s="20"/>
    </row>
    <row r="79" ht="14.25" customHeight="1">
      <c r="A79" s="20"/>
      <c r="B79" s="20"/>
      <c r="C79" s="20"/>
      <c r="D79" s="20"/>
      <c r="E79" s="20"/>
      <c r="F79" s="20"/>
    </row>
    <row r="80" ht="14.25" customHeight="1">
      <c r="A80" s="20"/>
      <c r="B80" s="20"/>
      <c r="C80" s="20"/>
      <c r="D80" s="20"/>
      <c r="E80" s="20"/>
      <c r="F80" s="20"/>
    </row>
    <row r="81" ht="14.25" customHeight="1">
      <c r="A81" s="20"/>
      <c r="B81" s="20"/>
      <c r="C81" s="20"/>
      <c r="D81" s="20"/>
      <c r="E81" s="20"/>
      <c r="F81" s="20"/>
    </row>
    <row r="82" ht="14.25" customHeight="1">
      <c r="A82" s="20"/>
      <c r="B82" s="20"/>
      <c r="C82" s="20"/>
      <c r="D82" s="20"/>
      <c r="E82" s="20"/>
      <c r="F82" s="20"/>
    </row>
    <row r="83" ht="14.25" customHeight="1">
      <c r="A83" s="20"/>
      <c r="B83" s="20"/>
      <c r="C83" s="20"/>
      <c r="D83" s="20"/>
      <c r="E83" s="20"/>
      <c r="F83" s="20"/>
    </row>
    <row r="84" ht="14.25" customHeight="1">
      <c r="A84" s="20"/>
      <c r="B84" s="20"/>
      <c r="C84" s="20"/>
      <c r="D84" s="20"/>
      <c r="E84" s="20"/>
      <c r="F84" s="20"/>
    </row>
    <row r="85" ht="14.25" customHeight="1">
      <c r="A85" s="20"/>
      <c r="B85" s="20"/>
      <c r="C85" s="20"/>
      <c r="D85" s="20"/>
      <c r="E85" s="20"/>
      <c r="F85" s="20"/>
    </row>
    <row r="86" ht="14.25" customHeight="1">
      <c r="A86" s="20"/>
      <c r="B86" s="20"/>
      <c r="C86" s="20"/>
      <c r="D86" s="20"/>
      <c r="E86" s="20"/>
      <c r="F86" s="20"/>
    </row>
    <row r="87" ht="14.25" customHeight="1">
      <c r="A87" s="20"/>
      <c r="B87" s="20"/>
      <c r="C87" s="20"/>
      <c r="D87" s="20"/>
      <c r="E87" s="20"/>
      <c r="F87" s="20"/>
    </row>
    <row r="88" ht="14.25" customHeight="1">
      <c r="A88" s="20"/>
      <c r="B88" s="20"/>
      <c r="C88" s="20"/>
      <c r="D88" s="20"/>
      <c r="E88" s="20"/>
      <c r="F88" s="20"/>
    </row>
    <row r="89" ht="14.25" customHeight="1">
      <c r="A89" s="20"/>
      <c r="B89" s="20"/>
      <c r="C89" s="20"/>
      <c r="D89" s="20"/>
      <c r="E89" s="20"/>
      <c r="F89" s="20"/>
    </row>
    <row r="90" ht="14.25" customHeight="1">
      <c r="A90" s="20"/>
      <c r="B90" s="20"/>
      <c r="C90" s="20"/>
      <c r="D90" s="20"/>
      <c r="E90" s="20"/>
      <c r="F90" s="20"/>
    </row>
    <row r="91" ht="14.25" customHeight="1">
      <c r="A91" s="20"/>
      <c r="B91" s="20"/>
      <c r="C91" s="20"/>
      <c r="D91" s="20"/>
      <c r="E91" s="20"/>
      <c r="F91" s="20"/>
    </row>
    <row r="92" ht="14.25" customHeight="1">
      <c r="A92" s="20"/>
      <c r="B92" s="20"/>
      <c r="C92" s="20"/>
      <c r="D92" s="20"/>
      <c r="E92" s="20"/>
      <c r="F92" s="20"/>
    </row>
    <row r="93" ht="14.25" customHeight="1">
      <c r="A93" s="20"/>
      <c r="B93" s="20"/>
      <c r="C93" s="20"/>
      <c r="D93" s="20"/>
      <c r="E93" s="20"/>
      <c r="F93" s="20"/>
    </row>
    <row r="94" ht="14.25" customHeight="1">
      <c r="A94" s="20"/>
      <c r="B94" s="20"/>
      <c r="C94" s="20"/>
      <c r="D94" s="20"/>
      <c r="E94" s="20"/>
      <c r="F94" s="20"/>
    </row>
    <row r="95" ht="14.25" customHeight="1">
      <c r="A95" s="20"/>
      <c r="B95" s="20"/>
      <c r="C95" s="20"/>
      <c r="D95" s="20"/>
      <c r="E95" s="20"/>
      <c r="F95" s="20"/>
    </row>
    <row r="96" ht="14.25" customHeight="1">
      <c r="A96" s="20"/>
      <c r="B96" s="20"/>
      <c r="C96" s="20"/>
      <c r="D96" s="20"/>
      <c r="E96" s="20"/>
      <c r="F96" s="20"/>
    </row>
    <row r="97" ht="14.25" customHeight="1">
      <c r="A97" s="20"/>
      <c r="B97" s="20"/>
      <c r="C97" s="20"/>
      <c r="D97" s="20"/>
      <c r="E97" s="20"/>
      <c r="F97" s="20"/>
    </row>
    <row r="98" ht="14.25" customHeight="1">
      <c r="A98" s="20"/>
      <c r="B98" s="20"/>
      <c r="C98" s="20"/>
      <c r="D98" s="20"/>
      <c r="E98" s="20"/>
      <c r="F98" s="20"/>
    </row>
    <row r="99" ht="14.25" customHeight="1">
      <c r="A99" s="20"/>
      <c r="B99" s="20"/>
      <c r="C99" s="20"/>
      <c r="D99" s="20"/>
      <c r="E99" s="20"/>
      <c r="F99" s="20"/>
    </row>
    <row r="100" ht="14.25" customHeight="1">
      <c r="A100" s="20"/>
      <c r="B100" s="20"/>
      <c r="C100" s="20"/>
      <c r="D100" s="20"/>
      <c r="E100" s="20"/>
      <c r="F100" s="20"/>
    </row>
    <row r="101" ht="14.25" customHeight="1">
      <c r="A101" s="20"/>
      <c r="B101" s="20"/>
      <c r="C101" s="20"/>
      <c r="D101" s="20"/>
      <c r="E101" s="20"/>
      <c r="F101" s="20"/>
    </row>
    <row r="102" ht="14.25" customHeight="1">
      <c r="A102" s="20"/>
      <c r="B102" s="20"/>
      <c r="C102" s="20"/>
      <c r="D102" s="20"/>
      <c r="E102" s="20"/>
      <c r="F102" s="20"/>
    </row>
    <row r="103" ht="14.25" customHeight="1">
      <c r="A103" s="20"/>
      <c r="B103" s="20"/>
      <c r="C103" s="20"/>
      <c r="D103" s="20"/>
      <c r="E103" s="20"/>
      <c r="F103" s="20"/>
    </row>
    <row r="104" ht="14.25" customHeight="1">
      <c r="A104" s="20"/>
      <c r="B104" s="20"/>
      <c r="C104" s="20"/>
      <c r="D104" s="20"/>
      <c r="E104" s="20"/>
      <c r="F104" s="20"/>
    </row>
    <row r="105" ht="14.25" customHeight="1">
      <c r="A105" s="20"/>
      <c r="B105" s="20"/>
      <c r="C105" s="20"/>
      <c r="D105" s="20"/>
      <c r="E105" s="20"/>
      <c r="F105" s="20"/>
    </row>
    <row r="106" ht="14.25" customHeight="1">
      <c r="A106" s="20"/>
      <c r="B106" s="20"/>
      <c r="C106" s="20"/>
      <c r="D106" s="20"/>
      <c r="E106" s="20"/>
      <c r="F106" s="20"/>
    </row>
    <row r="107" ht="14.25" customHeight="1">
      <c r="A107" s="20"/>
      <c r="B107" s="20"/>
      <c r="C107" s="20"/>
      <c r="D107" s="20"/>
      <c r="E107" s="20"/>
      <c r="F107" s="20"/>
    </row>
    <row r="108" ht="14.25" customHeight="1">
      <c r="A108" s="20"/>
      <c r="B108" s="20"/>
      <c r="C108" s="20"/>
      <c r="D108" s="20"/>
      <c r="E108" s="20"/>
      <c r="F108" s="20"/>
    </row>
    <row r="109" ht="14.25" customHeight="1">
      <c r="A109" s="20"/>
      <c r="B109" s="20"/>
      <c r="C109" s="20"/>
      <c r="D109" s="20"/>
      <c r="E109" s="20"/>
      <c r="F109" s="20"/>
    </row>
    <row r="110" ht="14.25" customHeight="1">
      <c r="A110" s="20"/>
      <c r="B110" s="20"/>
      <c r="C110" s="20"/>
      <c r="D110" s="20"/>
      <c r="E110" s="20"/>
      <c r="F110" s="20"/>
    </row>
    <row r="111" ht="14.25" customHeight="1">
      <c r="A111" s="20"/>
      <c r="B111" s="20"/>
      <c r="C111" s="20"/>
      <c r="D111" s="20"/>
      <c r="E111" s="20"/>
      <c r="F111" s="20"/>
    </row>
    <row r="112" ht="14.25" customHeight="1">
      <c r="A112" s="20"/>
      <c r="B112" s="20"/>
      <c r="C112" s="20"/>
      <c r="D112" s="20"/>
      <c r="E112" s="20"/>
      <c r="F112" s="20"/>
    </row>
    <row r="113" ht="14.25" customHeight="1">
      <c r="A113" s="20"/>
      <c r="B113" s="20"/>
      <c r="C113" s="20"/>
      <c r="D113" s="20"/>
      <c r="E113" s="20"/>
      <c r="F113" s="20"/>
    </row>
    <row r="114" ht="14.25" customHeight="1">
      <c r="A114" s="20"/>
      <c r="B114" s="20"/>
      <c r="C114" s="20"/>
      <c r="D114" s="20"/>
      <c r="E114" s="20"/>
      <c r="F114" s="20"/>
    </row>
    <row r="115" ht="14.25" customHeight="1">
      <c r="A115" s="20"/>
      <c r="B115" s="20"/>
      <c r="C115" s="20"/>
      <c r="D115" s="20"/>
      <c r="E115" s="20"/>
      <c r="F115" s="20"/>
    </row>
    <row r="116" ht="14.25" customHeight="1">
      <c r="A116" s="20"/>
      <c r="B116" s="20"/>
      <c r="C116" s="20"/>
      <c r="D116" s="20"/>
      <c r="E116" s="20"/>
      <c r="F116" s="20"/>
    </row>
    <row r="117" ht="14.25" customHeight="1">
      <c r="A117" s="20"/>
      <c r="B117" s="20"/>
      <c r="C117" s="20"/>
      <c r="D117" s="20"/>
      <c r="E117" s="20"/>
      <c r="F117" s="20"/>
    </row>
    <row r="118" ht="14.25" customHeight="1">
      <c r="A118" s="20"/>
      <c r="B118" s="20"/>
      <c r="C118" s="20"/>
      <c r="D118" s="20"/>
      <c r="E118" s="20"/>
      <c r="F118" s="20"/>
    </row>
    <row r="119" ht="14.25" customHeight="1">
      <c r="A119" s="20"/>
      <c r="B119" s="20"/>
      <c r="C119" s="20"/>
      <c r="D119" s="20"/>
      <c r="E119" s="20"/>
      <c r="F119" s="20"/>
    </row>
    <row r="120" ht="14.25" customHeight="1">
      <c r="A120" s="20"/>
      <c r="B120" s="20"/>
      <c r="C120" s="20"/>
      <c r="D120" s="20"/>
      <c r="E120" s="20"/>
      <c r="F120" s="20"/>
    </row>
    <row r="121" ht="14.25" customHeight="1">
      <c r="A121" s="20"/>
      <c r="B121" s="20"/>
      <c r="C121" s="20"/>
      <c r="D121" s="20"/>
      <c r="E121" s="20"/>
      <c r="F121" s="20"/>
    </row>
    <row r="122" ht="14.25" customHeight="1">
      <c r="A122" s="20"/>
      <c r="B122" s="20"/>
      <c r="C122" s="20"/>
      <c r="D122" s="20"/>
      <c r="E122" s="20"/>
      <c r="F122" s="20"/>
    </row>
    <row r="123" ht="14.25" customHeight="1">
      <c r="A123" s="20"/>
      <c r="B123" s="20"/>
      <c r="C123" s="20"/>
      <c r="D123" s="20"/>
      <c r="E123" s="20"/>
      <c r="F123" s="20"/>
    </row>
    <row r="124" ht="14.25" customHeight="1">
      <c r="A124" s="20"/>
      <c r="B124" s="20"/>
      <c r="C124" s="20"/>
      <c r="D124" s="20"/>
      <c r="E124" s="20"/>
      <c r="F124" s="20"/>
    </row>
    <row r="125" ht="14.25" customHeight="1">
      <c r="A125" s="20"/>
      <c r="B125" s="20"/>
      <c r="C125" s="20"/>
      <c r="D125" s="20"/>
      <c r="E125" s="20"/>
      <c r="F125" s="20"/>
    </row>
    <row r="126" ht="14.25" customHeight="1">
      <c r="A126" s="20"/>
      <c r="B126" s="20"/>
      <c r="C126" s="20"/>
      <c r="D126" s="20"/>
      <c r="E126" s="20"/>
      <c r="F126" s="20"/>
    </row>
    <row r="127" ht="14.25" customHeight="1">
      <c r="A127" s="20"/>
      <c r="B127" s="20"/>
      <c r="C127" s="20"/>
      <c r="D127" s="20"/>
      <c r="E127" s="20"/>
      <c r="F127" s="20"/>
    </row>
    <row r="128" ht="14.25" customHeight="1">
      <c r="A128" s="20"/>
      <c r="B128" s="20"/>
      <c r="C128" s="20"/>
      <c r="D128" s="20"/>
      <c r="E128" s="20"/>
      <c r="F128" s="20"/>
    </row>
    <row r="129" ht="14.25" customHeight="1">
      <c r="A129" s="20"/>
      <c r="B129" s="20"/>
      <c r="C129" s="20"/>
      <c r="D129" s="20"/>
      <c r="E129" s="20"/>
      <c r="F129" s="20"/>
    </row>
    <row r="130" ht="14.25" customHeight="1">
      <c r="A130" s="20"/>
      <c r="B130" s="20"/>
      <c r="C130" s="20"/>
      <c r="D130" s="20"/>
      <c r="E130" s="20"/>
      <c r="F130" s="20"/>
    </row>
    <row r="131" ht="14.25" customHeight="1">
      <c r="A131" s="20"/>
      <c r="B131" s="20"/>
      <c r="C131" s="20"/>
      <c r="D131" s="20"/>
      <c r="E131" s="20"/>
      <c r="F131" s="20"/>
    </row>
    <row r="132" ht="14.25" customHeight="1">
      <c r="A132" s="20"/>
      <c r="B132" s="20"/>
      <c r="C132" s="20"/>
      <c r="D132" s="20"/>
      <c r="E132" s="20"/>
      <c r="F132" s="20"/>
    </row>
    <row r="133" ht="14.25" customHeight="1">
      <c r="A133" s="20"/>
      <c r="B133" s="20"/>
      <c r="C133" s="20"/>
      <c r="D133" s="20"/>
      <c r="E133" s="20"/>
      <c r="F133" s="20"/>
    </row>
    <row r="134" ht="14.25" customHeight="1">
      <c r="A134" s="20"/>
      <c r="B134" s="20"/>
      <c r="C134" s="20"/>
      <c r="D134" s="20"/>
      <c r="E134" s="20"/>
      <c r="F134" s="20"/>
    </row>
    <row r="135" ht="14.25" customHeight="1">
      <c r="A135" s="20"/>
      <c r="B135" s="20"/>
      <c r="C135" s="20"/>
      <c r="D135" s="20"/>
      <c r="E135" s="20"/>
      <c r="F135" s="20"/>
    </row>
    <row r="136" ht="14.25" customHeight="1">
      <c r="A136" s="20"/>
      <c r="B136" s="20"/>
      <c r="C136" s="20"/>
      <c r="D136" s="20"/>
      <c r="E136" s="20"/>
      <c r="F136" s="20"/>
    </row>
    <row r="137" ht="14.25" customHeight="1">
      <c r="A137" s="20"/>
      <c r="B137" s="20"/>
      <c r="C137" s="20"/>
      <c r="D137" s="20"/>
      <c r="E137" s="20"/>
      <c r="F137" s="20"/>
    </row>
    <row r="138" ht="14.25" customHeight="1">
      <c r="A138" s="20"/>
      <c r="B138" s="20"/>
      <c r="C138" s="20"/>
      <c r="D138" s="20"/>
      <c r="E138" s="20"/>
      <c r="F138" s="20"/>
    </row>
    <row r="139" ht="14.25" customHeight="1">
      <c r="A139" s="20"/>
      <c r="B139" s="20"/>
      <c r="C139" s="20"/>
      <c r="D139" s="20"/>
      <c r="E139" s="20"/>
      <c r="F139" s="20"/>
    </row>
    <row r="140" ht="14.25" customHeight="1">
      <c r="A140" s="20"/>
      <c r="B140" s="20"/>
      <c r="C140" s="20"/>
      <c r="D140" s="20"/>
      <c r="E140" s="20"/>
      <c r="F140" s="20"/>
    </row>
    <row r="141" ht="14.25" customHeight="1">
      <c r="A141" s="20"/>
      <c r="B141" s="20"/>
      <c r="C141" s="20"/>
      <c r="D141" s="20"/>
      <c r="E141" s="20"/>
      <c r="F141" s="20"/>
    </row>
    <row r="142" ht="14.25" customHeight="1">
      <c r="A142" s="20"/>
      <c r="B142" s="20"/>
      <c r="C142" s="20"/>
      <c r="D142" s="20"/>
      <c r="E142" s="20"/>
      <c r="F142" s="20"/>
    </row>
    <row r="143" ht="14.25" customHeight="1">
      <c r="A143" s="20"/>
      <c r="B143" s="20"/>
      <c r="C143" s="20"/>
      <c r="D143" s="20"/>
      <c r="E143" s="20"/>
      <c r="F143" s="20"/>
    </row>
    <row r="144" ht="14.25" customHeight="1">
      <c r="A144" s="20"/>
      <c r="B144" s="20"/>
      <c r="C144" s="20"/>
      <c r="D144" s="20"/>
      <c r="E144" s="20"/>
      <c r="F144" s="20"/>
    </row>
    <row r="145" ht="14.25" customHeight="1">
      <c r="A145" s="20"/>
      <c r="B145" s="20"/>
      <c r="C145" s="20"/>
      <c r="D145" s="20"/>
      <c r="E145" s="20"/>
      <c r="F145" s="20"/>
    </row>
    <row r="146" ht="14.25" customHeight="1">
      <c r="A146" s="20"/>
      <c r="B146" s="20"/>
      <c r="C146" s="20"/>
      <c r="D146" s="20"/>
      <c r="E146" s="20"/>
      <c r="F146" s="20"/>
    </row>
    <row r="147" ht="14.25" customHeight="1">
      <c r="A147" s="20"/>
      <c r="B147" s="20"/>
      <c r="C147" s="20"/>
      <c r="D147" s="20"/>
      <c r="E147" s="20"/>
      <c r="F147" s="20"/>
    </row>
    <row r="148" ht="14.25" customHeight="1">
      <c r="A148" s="20"/>
      <c r="B148" s="20"/>
      <c r="C148" s="20"/>
      <c r="D148" s="20"/>
      <c r="E148" s="20"/>
      <c r="F148" s="20"/>
    </row>
    <row r="149" ht="14.25" customHeight="1">
      <c r="A149" s="20"/>
      <c r="B149" s="20"/>
      <c r="C149" s="20"/>
      <c r="D149" s="20"/>
      <c r="E149" s="20"/>
      <c r="F149" s="20"/>
    </row>
    <row r="150" ht="14.25" customHeight="1">
      <c r="A150" s="20"/>
      <c r="B150" s="20"/>
      <c r="C150" s="20"/>
      <c r="D150" s="20"/>
      <c r="E150" s="20"/>
      <c r="F150" s="20"/>
    </row>
    <row r="151" ht="14.25" customHeight="1">
      <c r="A151" s="20"/>
      <c r="B151" s="20"/>
      <c r="C151" s="20"/>
      <c r="D151" s="20"/>
      <c r="E151" s="20"/>
      <c r="F151" s="20"/>
    </row>
    <row r="152" ht="14.25" customHeight="1">
      <c r="A152" s="20"/>
      <c r="B152" s="20"/>
      <c r="C152" s="20"/>
      <c r="D152" s="20"/>
      <c r="E152" s="20"/>
      <c r="F152" s="20"/>
    </row>
    <row r="153" ht="14.25" customHeight="1">
      <c r="A153" s="20"/>
      <c r="B153" s="20"/>
      <c r="C153" s="20"/>
      <c r="D153" s="20"/>
      <c r="E153" s="20"/>
      <c r="F153" s="20"/>
    </row>
    <row r="154" ht="14.25" customHeight="1">
      <c r="A154" s="20"/>
      <c r="B154" s="20"/>
      <c r="C154" s="20"/>
      <c r="D154" s="20"/>
      <c r="E154" s="20"/>
      <c r="F154" s="20"/>
    </row>
    <row r="155" ht="14.25" customHeight="1">
      <c r="A155" s="20"/>
      <c r="B155" s="20"/>
      <c r="C155" s="20"/>
      <c r="D155" s="20"/>
      <c r="E155" s="20"/>
      <c r="F155" s="20"/>
    </row>
    <row r="156" ht="14.25" customHeight="1">
      <c r="A156" s="20"/>
      <c r="B156" s="20"/>
      <c r="C156" s="20"/>
      <c r="D156" s="20"/>
      <c r="E156" s="20"/>
      <c r="F156" s="20"/>
    </row>
    <row r="157" ht="14.25" customHeight="1">
      <c r="A157" s="20"/>
      <c r="B157" s="20"/>
      <c r="C157" s="20"/>
      <c r="D157" s="20"/>
      <c r="E157" s="20"/>
      <c r="F157" s="20"/>
    </row>
    <row r="158" ht="14.25" customHeight="1">
      <c r="A158" s="20"/>
      <c r="B158" s="20"/>
      <c r="C158" s="20"/>
      <c r="D158" s="20"/>
      <c r="E158" s="20"/>
      <c r="F158" s="20"/>
    </row>
    <row r="159" ht="14.25" customHeight="1">
      <c r="A159" s="20"/>
      <c r="B159" s="20"/>
      <c r="C159" s="20"/>
      <c r="D159" s="20"/>
      <c r="E159" s="20"/>
      <c r="F159" s="20"/>
    </row>
    <row r="160" ht="14.25" customHeight="1">
      <c r="A160" s="20"/>
      <c r="B160" s="20"/>
      <c r="C160" s="20"/>
      <c r="D160" s="20"/>
      <c r="E160" s="20"/>
      <c r="F160" s="20"/>
    </row>
    <row r="161" ht="14.25" customHeight="1">
      <c r="A161" s="20"/>
      <c r="B161" s="20"/>
      <c r="C161" s="20"/>
      <c r="D161" s="20"/>
      <c r="E161" s="20"/>
      <c r="F161" s="20"/>
    </row>
    <row r="162" ht="14.25" customHeight="1">
      <c r="A162" s="20"/>
      <c r="B162" s="20"/>
      <c r="C162" s="20"/>
      <c r="D162" s="20"/>
      <c r="E162" s="20"/>
      <c r="F162" s="20"/>
    </row>
    <row r="163" ht="14.25" customHeight="1">
      <c r="A163" s="20"/>
      <c r="B163" s="20"/>
      <c r="C163" s="20"/>
      <c r="D163" s="20"/>
      <c r="E163" s="20"/>
      <c r="F163" s="20"/>
    </row>
    <row r="164" ht="14.25" customHeight="1">
      <c r="A164" s="20"/>
      <c r="B164" s="20"/>
      <c r="C164" s="20"/>
      <c r="D164" s="20"/>
      <c r="E164" s="20"/>
      <c r="F164" s="20"/>
    </row>
    <row r="165" ht="14.25" customHeight="1">
      <c r="A165" s="20"/>
      <c r="B165" s="20"/>
      <c r="C165" s="20"/>
      <c r="D165" s="20"/>
      <c r="E165" s="20"/>
      <c r="F165" s="20"/>
    </row>
    <row r="166" ht="14.25" customHeight="1">
      <c r="A166" s="20"/>
      <c r="B166" s="20"/>
      <c r="C166" s="20"/>
      <c r="D166" s="20"/>
      <c r="E166" s="20"/>
      <c r="F166" s="20"/>
    </row>
    <row r="167" ht="14.25" customHeight="1">
      <c r="A167" s="20"/>
      <c r="B167" s="20"/>
      <c r="C167" s="20"/>
      <c r="D167" s="20"/>
      <c r="E167" s="20"/>
      <c r="F167" s="20"/>
    </row>
    <row r="168" ht="14.25" customHeight="1">
      <c r="A168" s="20"/>
      <c r="B168" s="20"/>
      <c r="C168" s="20"/>
      <c r="D168" s="20"/>
      <c r="E168" s="20"/>
      <c r="F168" s="20"/>
    </row>
    <row r="169" ht="14.25" customHeight="1">
      <c r="A169" s="20"/>
      <c r="B169" s="20"/>
      <c r="C169" s="20"/>
      <c r="D169" s="20"/>
      <c r="E169" s="20"/>
      <c r="F169" s="20"/>
    </row>
    <row r="170" ht="14.25" customHeight="1">
      <c r="A170" s="20"/>
      <c r="B170" s="20"/>
      <c r="C170" s="20"/>
      <c r="D170" s="20"/>
      <c r="E170" s="20"/>
      <c r="F170" s="20"/>
    </row>
    <row r="171" ht="14.25" customHeight="1">
      <c r="A171" s="20"/>
      <c r="B171" s="20"/>
      <c r="C171" s="20"/>
      <c r="D171" s="20"/>
      <c r="E171" s="20"/>
      <c r="F171" s="20"/>
    </row>
    <row r="172" ht="14.25" customHeight="1">
      <c r="A172" s="20"/>
      <c r="B172" s="20"/>
      <c r="C172" s="20"/>
      <c r="D172" s="20"/>
      <c r="E172" s="20"/>
      <c r="F172" s="20"/>
    </row>
    <row r="173" ht="14.25" customHeight="1">
      <c r="A173" s="20"/>
      <c r="B173" s="20"/>
      <c r="C173" s="20"/>
      <c r="D173" s="20"/>
      <c r="E173" s="20"/>
      <c r="F173" s="20"/>
    </row>
    <row r="174" ht="14.25" customHeight="1">
      <c r="A174" s="20"/>
      <c r="B174" s="20"/>
      <c r="C174" s="20"/>
      <c r="D174" s="20"/>
      <c r="E174" s="20"/>
      <c r="F174" s="20"/>
    </row>
    <row r="175" ht="14.25" customHeight="1">
      <c r="A175" s="20"/>
      <c r="B175" s="20"/>
      <c r="C175" s="20"/>
      <c r="D175" s="20"/>
      <c r="E175" s="20"/>
      <c r="F175" s="20"/>
    </row>
    <row r="176" ht="14.25" customHeight="1">
      <c r="A176" s="20"/>
      <c r="B176" s="20"/>
      <c r="C176" s="20"/>
      <c r="D176" s="20"/>
      <c r="E176" s="20"/>
      <c r="F176" s="20"/>
    </row>
    <row r="177" ht="14.25" customHeight="1">
      <c r="A177" s="20"/>
      <c r="B177" s="20"/>
      <c r="C177" s="20"/>
      <c r="D177" s="20"/>
      <c r="E177" s="20"/>
      <c r="F177" s="20"/>
    </row>
    <row r="178" ht="14.25" customHeight="1">
      <c r="A178" s="20"/>
      <c r="B178" s="20"/>
      <c r="C178" s="20"/>
      <c r="D178" s="20"/>
      <c r="E178" s="20"/>
      <c r="F178" s="20"/>
    </row>
    <row r="179" ht="14.25" customHeight="1">
      <c r="A179" s="20"/>
      <c r="B179" s="20"/>
      <c r="C179" s="20"/>
      <c r="D179" s="20"/>
      <c r="E179" s="20"/>
      <c r="F179" s="20"/>
    </row>
    <row r="180" ht="14.25" customHeight="1">
      <c r="A180" s="20"/>
      <c r="B180" s="20"/>
      <c r="C180" s="20"/>
      <c r="D180" s="20"/>
      <c r="E180" s="20"/>
      <c r="F180" s="20"/>
    </row>
    <row r="181" ht="14.25" customHeight="1">
      <c r="A181" s="20"/>
      <c r="B181" s="20"/>
      <c r="C181" s="20"/>
      <c r="D181" s="20"/>
      <c r="E181" s="20"/>
      <c r="F181" s="20"/>
    </row>
    <row r="182" ht="14.25" customHeight="1">
      <c r="A182" s="20"/>
      <c r="B182" s="20"/>
      <c r="C182" s="20"/>
      <c r="D182" s="20"/>
      <c r="E182" s="20"/>
      <c r="F182" s="20"/>
    </row>
    <row r="183" ht="14.25" customHeight="1">
      <c r="A183" s="20"/>
      <c r="B183" s="20"/>
      <c r="C183" s="20"/>
      <c r="D183" s="20"/>
      <c r="E183" s="20"/>
      <c r="F183" s="20"/>
    </row>
    <row r="184" ht="14.25" customHeight="1">
      <c r="A184" s="20"/>
      <c r="B184" s="20"/>
      <c r="C184" s="20"/>
      <c r="D184" s="20"/>
      <c r="E184" s="20"/>
      <c r="F184" s="20"/>
    </row>
    <row r="185" ht="14.25" customHeight="1">
      <c r="A185" s="20"/>
      <c r="B185" s="20"/>
      <c r="C185" s="20"/>
      <c r="D185" s="20"/>
      <c r="E185" s="20"/>
      <c r="F185" s="20"/>
    </row>
    <row r="186" ht="14.25" customHeight="1">
      <c r="A186" s="20"/>
      <c r="B186" s="20"/>
      <c r="C186" s="20"/>
      <c r="D186" s="20"/>
      <c r="E186" s="20"/>
      <c r="F186" s="20"/>
    </row>
    <row r="187" ht="14.25" customHeight="1">
      <c r="A187" s="20"/>
      <c r="B187" s="20"/>
      <c r="C187" s="20"/>
      <c r="D187" s="20"/>
      <c r="E187" s="20"/>
      <c r="F187" s="20"/>
    </row>
    <row r="188" ht="14.25" customHeight="1">
      <c r="A188" s="20"/>
      <c r="B188" s="20"/>
      <c r="C188" s="20"/>
      <c r="D188" s="20"/>
      <c r="E188" s="20"/>
      <c r="F188" s="20"/>
    </row>
    <row r="189" ht="14.25" customHeight="1">
      <c r="A189" s="20"/>
      <c r="B189" s="20"/>
      <c r="C189" s="20"/>
      <c r="D189" s="20"/>
      <c r="E189" s="20"/>
      <c r="F189" s="20"/>
    </row>
    <row r="190" ht="14.25" customHeight="1">
      <c r="A190" s="20"/>
      <c r="B190" s="20"/>
      <c r="C190" s="20"/>
      <c r="D190" s="20"/>
      <c r="E190" s="20"/>
      <c r="F190" s="20"/>
    </row>
    <row r="191" ht="14.25" customHeight="1">
      <c r="A191" s="20"/>
      <c r="B191" s="20"/>
      <c r="C191" s="20"/>
      <c r="D191" s="20"/>
      <c r="E191" s="20"/>
      <c r="F191" s="20"/>
    </row>
    <row r="192" ht="14.25" customHeight="1">
      <c r="A192" s="20"/>
      <c r="B192" s="20"/>
      <c r="C192" s="20"/>
      <c r="D192" s="20"/>
      <c r="E192" s="20"/>
      <c r="F192" s="20"/>
    </row>
    <row r="193" ht="14.25" customHeight="1">
      <c r="A193" s="20"/>
      <c r="B193" s="20"/>
      <c r="C193" s="20"/>
      <c r="D193" s="20"/>
      <c r="E193" s="20"/>
      <c r="F193" s="20"/>
    </row>
    <row r="194" ht="14.25" customHeight="1">
      <c r="A194" s="20"/>
      <c r="B194" s="20"/>
      <c r="C194" s="20"/>
      <c r="D194" s="20"/>
      <c r="E194" s="20"/>
      <c r="F194" s="20"/>
    </row>
    <row r="195" ht="14.25" customHeight="1">
      <c r="A195" s="20"/>
      <c r="B195" s="20"/>
      <c r="C195" s="20"/>
      <c r="D195" s="20"/>
      <c r="E195" s="20"/>
      <c r="F195" s="20"/>
    </row>
    <row r="196" ht="14.25" customHeight="1">
      <c r="A196" s="20"/>
      <c r="B196" s="20"/>
      <c r="C196" s="20"/>
      <c r="D196" s="20"/>
      <c r="E196" s="20"/>
      <c r="F196" s="20"/>
    </row>
    <row r="197" ht="14.25" customHeight="1">
      <c r="A197" s="20"/>
      <c r="B197" s="20"/>
      <c r="C197" s="20"/>
      <c r="D197" s="20"/>
      <c r="E197" s="20"/>
      <c r="F197" s="20"/>
    </row>
    <row r="198" ht="14.25" customHeight="1">
      <c r="A198" s="20"/>
      <c r="B198" s="20"/>
      <c r="C198" s="20"/>
      <c r="D198" s="20"/>
      <c r="E198" s="20"/>
      <c r="F198" s="20"/>
    </row>
    <row r="199" ht="14.25" customHeight="1">
      <c r="A199" s="20"/>
      <c r="B199" s="20"/>
      <c r="C199" s="20"/>
      <c r="D199" s="20"/>
      <c r="E199" s="20"/>
      <c r="F199" s="20"/>
    </row>
    <row r="200" ht="14.25" customHeight="1">
      <c r="A200" s="20"/>
      <c r="B200" s="20"/>
      <c r="C200" s="20"/>
      <c r="D200" s="20"/>
      <c r="E200" s="20"/>
      <c r="F200" s="20"/>
    </row>
    <row r="201" ht="14.25" customHeight="1">
      <c r="A201" s="20"/>
      <c r="B201" s="20"/>
      <c r="C201" s="20"/>
      <c r="D201" s="20"/>
      <c r="E201" s="20"/>
      <c r="F201" s="20"/>
    </row>
    <row r="202" ht="14.25" customHeight="1">
      <c r="A202" s="20"/>
      <c r="B202" s="20"/>
      <c r="C202" s="20"/>
      <c r="D202" s="20"/>
      <c r="E202" s="20"/>
      <c r="F202" s="20"/>
    </row>
    <row r="203" ht="14.25" customHeight="1">
      <c r="A203" s="20"/>
      <c r="B203" s="20"/>
      <c r="C203" s="20"/>
      <c r="D203" s="20"/>
      <c r="E203" s="20"/>
      <c r="F203" s="20"/>
    </row>
    <row r="204" ht="14.25" customHeight="1">
      <c r="A204" s="20"/>
      <c r="B204" s="20"/>
      <c r="C204" s="20"/>
      <c r="D204" s="20"/>
      <c r="E204" s="20"/>
      <c r="F204" s="20"/>
    </row>
    <row r="205" ht="14.25" customHeight="1">
      <c r="A205" s="20"/>
      <c r="B205" s="20"/>
      <c r="C205" s="20"/>
      <c r="D205" s="20"/>
      <c r="E205" s="20"/>
      <c r="F205" s="20"/>
    </row>
    <row r="206" ht="14.25" customHeight="1">
      <c r="A206" s="20"/>
      <c r="B206" s="20"/>
      <c r="C206" s="20"/>
      <c r="D206" s="20"/>
      <c r="E206" s="20"/>
      <c r="F206" s="20"/>
    </row>
    <row r="207" ht="14.25" customHeight="1">
      <c r="A207" s="20"/>
      <c r="B207" s="20"/>
      <c r="C207" s="20"/>
      <c r="D207" s="20"/>
      <c r="E207" s="20"/>
      <c r="F207" s="20"/>
    </row>
    <row r="208" ht="14.25" customHeight="1">
      <c r="A208" s="20"/>
      <c r="B208" s="20"/>
      <c r="C208" s="20"/>
      <c r="D208" s="20"/>
      <c r="E208" s="20"/>
      <c r="F208" s="20"/>
    </row>
    <row r="209" ht="14.25" customHeight="1">
      <c r="A209" s="20"/>
      <c r="B209" s="20"/>
      <c r="C209" s="20"/>
      <c r="D209" s="20"/>
      <c r="E209" s="20"/>
      <c r="F209" s="20"/>
    </row>
    <row r="210" ht="14.25" customHeight="1">
      <c r="A210" s="20"/>
      <c r="B210" s="20"/>
      <c r="C210" s="20"/>
      <c r="D210" s="20"/>
      <c r="E210" s="20"/>
      <c r="F210" s="20"/>
    </row>
    <row r="211" ht="14.25" customHeight="1">
      <c r="A211" s="20"/>
      <c r="B211" s="20"/>
      <c r="C211" s="20"/>
      <c r="D211" s="20"/>
      <c r="E211" s="20"/>
      <c r="F211" s="20"/>
    </row>
    <row r="212" ht="14.25" customHeight="1">
      <c r="A212" s="20"/>
      <c r="B212" s="20"/>
      <c r="C212" s="20"/>
      <c r="D212" s="20"/>
      <c r="E212" s="20"/>
      <c r="F212" s="20"/>
    </row>
    <row r="213" ht="14.25" customHeight="1">
      <c r="A213" s="20"/>
      <c r="B213" s="20"/>
      <c r="C213" s="20"/>
      <c r="D213" s="20"/>
      <c r="E213" s="20"/>
      <c r="F213" s="20"/>
    </row>
    <row r="214" ht="14.25" customHeight="1">
      <c r="A214" s="20"/>
      <c r="B214" s="20"/>
      <c r="C214" s="20"/>
      <c r="D214" s="20"/>
      <c r="E214" s="20"/>
      <c r="F214" s="20"/>
    </row>
    <row r="215" ht="14.25" customHeight="1">
      <c r="A215" s="20"/>
      <c r="B215" s="20"/>
      <c r="C215" s="20"/>
      <c r="D215" s="20"/>
      <c r="E215" s="20"/>
      <c r="F215" s="20"/>
    </row>
    <row r="216" ht="14.25" customHeight="1">
      <c r="A216" s="20"/>
      <c r="B216" s="20"/>
      <c r="C216" s="20"/>
      <c r="D216" s="20"/>
      <c r="E216" s="20"/>
      <c r="F216" s="20"/>
    </row>
    <row r="217" ht="14.25" customHeight="1">
      <c r="A217" s="20"/>
      <c r="B217" s="20"/>
      <c r="C217" s="20"/>
      <c r="D217" s="20"/>
      <c r="E217" s="20"/>
      <c r="F217" s="20"/>
    </row>
    <row r="218" ht="14.25" customHeight="1">
      <c r="A218" s="20"/>
      <c r="B218" s="20"/>
      <c r="C218" s="20"/>
      <c r="D218" s="20"/>
      <c r="E218" s="20"/>
      <c r="F218" s="20"/>
    </row>
    <row r="219" ht="14.25" customHeight="1">
      <c r="A219" s="20"/>
      <c r="B219" s="20"/>
      <c r="C219" s="20"/>
      <c r="D219" s="20"/>
      <c r="E219" s="20"/>
      <c r="F219" s="20"/>
    </row>
    <row r="220" ht="14.25" customHeight="1">
      <c r="A220" s="20"/>
      <c r="B220" s="20"/>
      <c r="C220" s="20"/>
      <c r="D220" s="20"/>
      <c r="E220" s="20"/>
      <c r="F220" s="20"/>
    </row>
    <row r="221" ht="14.25" customHeight="1">
      <c r="A221" s="20"/>
      <c r="B221" s="20"/>
      <c r="C221" s="20"/>
      <c r="D221" s="20"/>
      <c r="E221" s="20"/>
      <c r="F221" s="20"/>
    </row>
    <row r="222" ht="14.25" customHeight="1">
      <c r="A222" s="20"/>
      <c r="B222" s="20"/>
      <c r="C222" s="20"/>
      <c r="D222" s="20"/>
      <c r="E222" s="20"/>
      <c r="F222" s="20"/>
    </row>
    <row r="223" ht="14.25" customHeight="1">
      <c r="A223" s="20"/>
      <c r="B223" s="20"/>
      <c r="C223" s="20"/>
      <c r="D223" s="20"/>
      <c r="E223" s="20"/>
      <c r="F223" s="20"/>
    </row>
    <row r="224" ht="14.25" customHeight="1">
      <c r="A224" s="20"/>
      <c r="B224" s="20"/>
      <c r="C224" s="20"/>
      <c r="D224" s="20"/>
      <c r="E224" s="20"/>
      <c r="F224" s="20"/>
    </row>
    <row r="225" ht="14.25" customHeight="1">
      <c r="A225" s="20"/>
      <c r="B225" s="20"/>
      <c r="C225" s="20"/>
      <c r="D225" s="20"/>
      <c r="E225" s="20"/>
      <c r="F225" s="20"/>
    </row>
    <row r="226" ht="14.25" customHeight="1">
      <c r="A226" s="20"/>
      <c r="B226" s="20"/>
      <c r="C226" s="20"/>
      <c r="D226" s="20"/>
      <c r="E226" s="20"/>
      <c r="F226" s="20"/>
    </row>
    <row r="227" ht="14.25" customHeight="1">
      <c r="A227" s="20"/>
      <c r="B227" s="20"/>
      <c r="C227" s="20"/>
      <c r="D227" s="20"/>
      <c r="E227" s="20"/>
      <c r="F227" s="20"/>
    </row>
    <row r="228" ht="14.25" customHeight="1">
      <c r="A228" s="20"/>
      <c r="B228" s="20"/>
      <c r="C228" s="20"/>
      <c r="D228" s="20"/>
      <c r="E228" s="20"/>
      <c r="F228" s="20"/>
    </row>
    <row r="229" ht="14.25" customHeight="1">
      <c r="A229" s="20"/>
      <c r="B229" s="20"/>
      <c r="C229" s="20"/>
      <c r="D229" s="20"/>
      <c r="E229" s="20"/>
      <c r="F229" s="20"/>
    </row>
    <row r="230" ht="14.25" customHeight="1">
      <c r="A230" s="20"/>
      <c r="B230" s="20"/>
      <c r="C230" s="20"/>
      <c r="D230" s="20"/>
      <c r="E230" s="20"/>
      <c r="F230" s="20"/>
    </row>
    <row r="231" ht="14.25" customHeight="1">
      <c r="A231" s="20"/>
      <c r="B231" s="20"/>
      <c r="C231" s="20"/>
      <c r="D231" s="20"/>
      <c r="E231" s="20"/>
      <c r="F231" s="20"/>
    </row>
    <row r="232" ht="14.25" customHeight="1">
      <c r="A232" s="20"/>
      <c r="B232" s="20"/>
      <c r="C232" s="20"/>
      <c r="D232" s="20"/>
      <c r="E232" s="20"/>
      <c r="F232" s="20"/>
    </row>
    <row r="233" ht="14.25" customHeight="1">
      <c r="A233" s="20"/>
      <c r="B233" s="20"/>
      <c r="C233" s="20"/>
      <c r="D233" s="20"/>
      <c r="E233" s="20"/>
      <c r="F233" s="20"/>
    </row>
    <row r="234" ht="14.25" customHeight="1">
      <c r="A234" s="20"/>
      <c r="B234" s="20"/>
      <c r="C234" s="20"/>
      <c r="D234" s="20"/>
      <c r="E234" s="20"/>
      <c r="F234" s="20"/>
    </row>
    <row r="235" ht="14.25" customHeight="1">
      <c r="A235" s="20"/>
      <c r="B235" s="20"/>
      <c r="C235" s="20"/>
      <c r="D235" s="20"/>
      <c r="E235" s="20"/>
      <c r="F235" s="20"/>
    </row>
    <row r="236" ht="14.25" customHeight="1">
      <c r="A236" s="20"/>
      <c r="B236" s="20"/>
      <c r="C236" s="20"/>
      <c r="D236" s="20"/>
      <c r="E236" s="20"/>
      <c r="F236" s="20"/>
    </row>
    <row r="237" ht="14.25" customHeight="1">
      <c r="A237" s="20"/>
      <c r="B237" s="20"/>
      <c r="C237" s="20"/>
      <c r="D237" s="20"/>
      <c r="E237" s="20"/>
      <c r="F237" s="20"/>
    </row>
    <row r="238" ht="14.25" customHeight="1">
      <c r="A238" s="20"/>
      <c r="B238" s="20"/>
      <c r="C238" s="20"/>
      <c r="D238" s="20"/>
      <c r="E238" s="20"/>
      <c r="F238" s="20"/>
    </row>
    <row r="239" ht="14.25" customHeight="1">
      <c r="A239" s="20"/>
      <c r="B239" s="20"/>
      <c r="C239" s="20"/>
      <c r="D239" s="20"/>
      <c r="E239" s="20"/>
      <c r="F239" s="20"/>
    </row>
    <row r="240" ht="14.25" customHeight="1">
      <c r="A240" s="20"/>
      <c r="B240" s="20"/>
      <c r="C240" s="20"/>
      <c r="D240" s="20"/>
      <c r="E240" s="20"/>
      <c r="F240" s="20"/>
    </row>
    <row r="241" ht="14.25" customHeight="1">
      <c r="A241" s="20"/>
      <c r="B241" s="20"/>
      <c r="C241" s="20"/>
      <c r="D241" s="20"/>
      <c r="E241" s="20"/>
      <c r="F241" s="20"/>
    </row>
    <row r="242" ht="14.25" customHeight="1">
      <c r="A242" s="20"/>
      <c r="B242" s="20"/>
      <c r="C242" s="20"/>
      <c r="D242" s="20"/>
      <c r="E242" s="20"/>
      <c r="F242" s="20"/>
    </row>
    <row r="243" ht="14.25" customHeight="1">
      <c r="A243" s="20"/>
      <c r="B243" s="20"/>
      <c r="C243" s="20"/>
      <c r="D243" s="20"/>
      <c r="E243" s="20"/>
      <c r="F243" s="20"/>
    </row>
    <row r="244" ht="14.25" customHeight="1">
      <c r="A244" s="20"/>
      <c r="B244" s="20"/>
      <c r="C244" s="20"/>
      <c r="D244" s="20"/>
      <c r="E244" s="20"/>
      <c r="F244" s="20"/>
    </row>
    <row r="245" ht="14.25" customHeight="1">
      <c r="A245" s="20"/>
      <c r="B245" s="20"/>
      <c r="C245" s="20"/>
      <c r="D245" s="20"/>
      <c r="E245" s="20"/>
      <c r="F245" s="20"/>
    </row>
    <row r="246" ht="14.25" customHeight="1">
      <c r="A246" s="20"/>
      <c r="B246" s="20"/>
      <c r="C246" s="20"/>
      <c r="D246" s="20"/>
      <c r="E246" s="20"/>
      <c r="F246" s="20"/>
    </row>
    <row r="247" ht="14.25" customHeight="1">
      <c r="A247" s="20"/>
      <c r="B247" s="20"/>
      <c r="C247" s="20"/>
      <c r="D247" s="20"/>
      <c r="E247" s="20"/>
      <c r="F247" s="20"/>
    </row>
    <row r="248" ht="14.25" customHeight="1">
      <c r="A248" s="20"/>
      <c r="B248" s="20"/>
      <c r="C248" s="20"/>
      <c r="D248" s="20"/>
      <c r="E248" s="20"/>
      <c r="F248" s="20"/>
    </row>
    <row r="249" ht="14.25" customHeight="1">
      <c r="A249" s="20"/>
      <c r="B249" s="20"/>
      <c r="C249" s="20"/>
      <c r="D249" s="20"/>
      <c r="E249" s="20"/>
      <c r="F249" s="20"/>
    </row>
    <row r="250" ht="14.25" customHeight="1">
      <c r="A250" s="20"/>
      <c r="B250" s="20"/>
      <c r="C250" s="20"/>
      <c r="D250" s="20"/>
      <c r="E250" s="20"/>
      <c r="F250" s="20"/>
    </row>
    <row r="251" ht="14.25" customHeight="1">
      <c r="A251" s="20"/>
      <c r="B251" s="20"/>
      <c r="C251" s="20"/>
      <c r="D251" s="20"/>
      <c r="E251" s="20"/>
      <c r="F251" s="20"/>
    </row>
    <row r="252" ht="14.25" customHeight="1">
      <c r="A252" s="20"/>
      <c r="B252" s="20"/>
      <c r="C252" s="20"/>
      <c r="D252" s="20"/>
      <c r="E252" s="20"/>
      <c r="F252" s="20"/>
    </row>
    <row r="253" ht="14.25" customHeight="1">
      <c r="A253" s="20"/>
      <c r="B253" s="20"/>
      <c r="C253" s="20"/>
      <c r="D253" s="20"/>
      <c r="E253" s="20"/>
      <c r="F253" s="20"/>
    </row>
    <row r="254" ht="14.25" customHeight="1">
      <c r="A254" s="20"/>
      <c r="B254" s="20"/>
      <c r="C254" s="20"/>
      <c r="D254" s="20"/>
      <c r="E254" s="20"/>
      <c r="F254" s="20"/>
    </row>
    <row r="255" ht="14.25" customHeight="1">
      <c r="A255" s="20"/>
      <c r="B255" s="20"/>
      <c r="C255" s="20"/>
      <c r="D255" s="20"/>
      <c r="E255" s="20"/>
      <c r="F255" s="20"/>
    </row>
    <row r="256" ht="14.25" customHeight="1">
      <c r="A256" s="20"/>
      <c r="B256" s="20"/>
      <c r="C256" s="20"/>
      <c r="D256" s="20"/>
      <c r="E256" s="20"/>
      <c r="F256" s="20"/>
    </row>
    <row r="257" ht="14.25" customHeight="1">
      <c r="A257" s="20"/>
      <c r="B257" s="20"/>
      <c r="C257" s="20"/>
      <c r="D257" s="20"/>
      <c r="E257" s="20"/>
      <c r="F257" s="20"/>
    </row>
    <row r="258" ht="14.25" customHeight="1">
      <c r="A258" s="20"/>
      <c r="B258" s="20"/>
      <c r="C258" s="20"/>
      <c r="D258" s="20"/>
      <c r="E258" s="20"/>
      <c r="F258" s="20"/>
    </row>
    <row r="259" ht="14.25" customHeight="1">
      <c r="A259" s="20"/>
      <c r="B259" s="20"/>
      <c r="C259" s="20"/>
      <c r="D259" s="20"/>
      <c r="E259" s="20"/>
      <c r="F259" s="20"/>
    </row>
    <row r="260" ht="14.25" customHeight="1">
      <c r="A260" s="20"/>
      <c r="B260" s="20"/>
      <c r="C260" s="20"/>
      <c r="D260" s="20"/>
      <c r="E260" s="20"/>
      <c r="F260" s="20"/>
    </row>
    <row r="261" ht="14.25" customHeight="1">
      <c r="A261" s="20"/>
      <c r="B261" s="20"/>
      <c r="C261" s="20"/>
      <c r="D261" s="20"/>
      <c r="E261" s="20"/>
      <c r="F261" s="20"/>
    </row>
    <row r="262" ht="14.25" customHeight="1">
      <c r="A262" s="20"/>
      <c r="B262" s="20"/>
      <c r="C262" s="20"/>
      <c r="D262" s="20"/>
      <c r="E262" s="20"/>
      <c r="F262" s="20"/>
    </row>
    <row r="263" ht="14.25" customHeight="1">
      <c r="A263" s="20"/>
      <c r="B263" s="20"/>
      <c r="C263" s="20"/>
      <c r="D263" s="20"/>
      <c r="E263" s="20"/>
      <c r="F263" s="20"/>
    </row>
    <row r="264" ht="14.25" customHeight="1">
      <c r="A264" s="20"/>
      <c r="B264" s="20"/>
      <c r="C264" s="20"/>
      <c r="D264" s="20"/>
      <c r="E264" s="20"/>
      <c r="F264" s="20"/>
    </row>
    <row r="265" ht="14.25" customHeight="1">
      <c r="A265" s="20"/>
      <c r="B265" s="20"/>
      <c r="C265" s="20"/>
      <c r="D265" s="20"/>
      <c r="E265" s="20"/>
      <c r="F265" s="20"/>
    </row>
    <row r="266" ht="14.25" customHeight="1">
      <c r="A266" s="20"/>
      <c r="B266" s="20"/>
      <c r="C266" s="20"/>
      <c r="D266" s="20"/>
      <c r="E266" s="20"/>
      <c r="F266" s="20"/>
    </row>
    <row r="267" ht="14.25" customHeight="1">
      <c r="A267" s="20"/>
      <c r="B267" s="20"/>
      <c r="C267" s="20"/>
      <c r="D267" s="20"/>
      <c r="E267" s="20"/>
      <c r="F267" s="20"/>
    </row>
    <row r="268" ht="14.25" customHeight="1">
      <c r="A268" s="20"/>
      <c r="B268" s="20"/>
      <c r="C268" s="20"/>
      <c r="D268" s="20"/>
      <c r="E268" s="20"/>
      <c r="F268" s="20"/>
    </row>
    <row r="269" ht="14.25" customHeight="1">
      <c r="A269" s="20"/>
      <c r="B269" s="20"/>
      <c r="C269" s="20"/>
      <c r="D269" s="20"/>
      <c r="E269" s="20"/>
      <c r="F269" s="20"/>
    </row>
    <row r="270" ht="14.25" customHeight="1">
      <c r="A270" s="20"/>
      <c r="B270" s="20"/>
      <c r="C270" s="20"/>
      <c r="D270" s="20"/>
      <c r="E270" s="20"/>
      <c r="F270" s="20"/>
    </row>
    <row r="271" ht="14.25" customHeight="1">
      <c r="A271" s="20"/>
      <c r="B271" s="20"/>
      <c r="C271" s="20"/>
      <c r="D271" s="20"/>
      <c r="E271" s="20"/>
      <c r="F271" s="20"/>
    </row>
    <row r="272" ht="14.25" customHeight="1">
      <c r="A272" s="20"/>
      <c r="B272" s="20"/>
      <c r="C272" s="20"/>
      <c r="D272" s="20"/>
      <c r="E272" s="20"/>
      <c r="F272" s="20"/>
    </row>
    <row r="273" ht="14.25" customHeight="1">
      <c r="A273" s="20"/>
      <c r="B273" s="20"/>
      <c r="C273" s="20"/>
      <c r="D273" s="20"/>
      <c r="E273" s="20"/>
      <c r="F273" s="20"/>
    </row>
    <row r="274" ht="14.25" customHeight="1">
      <c r="A274" s="20"/>
      <c r="B274" s="20"/>
      <c r="C274" s="20"/>
      <c r="D274" s="20"/>
      <c r="E274" s="20"/>
      <c r="F274" s="20"/>
    </row>
    <row r="275" ht="14.25" customHeight="1">
      <c r="A275" s="20"/>
      <c r="B275" s="20"/>
      <c r="C275" s="20"/>
      <c r="D275" s="20"/>
      <c r="E275" s="20"/>
      <c r="F275" s="20"/>
    </row>
    <row r="276" ht="14.25" customHeight="1">
      <c r="A276" s="20"/>
      <c r="B276" s="20"/>
      <c r="C276" s="20"/>
      <c r="D276" s="20"/>
      <c r="E276" s="20"/>
      <c r="F276" s="20"/>
    </row>
    <row r="277" ht="14.25" customHeight="1">
      <c r="A277" s="20"/>
      <c r="B277" s="20"/>
      <c r="C277" s="20"/>
      <c r="D277" s="20"/>
      <c r="E277" s="20"/>
      <c r="F277" s="20"/>
    </row>
    <row r="278" ht="14.25" customHeight="1">
      <c r="A278" s="20"/>
      <c r="B278" s="20"/>
      <c r="C278" s="20"/>
      <c r="D278" s="20"/>
      <c r="E278" s="20"/>
      <c r="F278" s="20"/>
    </row>
    <row r="279" ht="14.25" customHeight="1">
      <c r="A279" s="20"/>
      <c r="B279" s="20"/>
      <c r="C279" s="20"/>
      <c r="D279" s="20"/>
      <c r="E279" s="20"/>
      <c r="F279" s="20"/>
    </row>
    <row r="280" ht="14.25" customHeight="1">
      <c r="A280" s="20"/>
      <c r="B280" s="20"/>
      <c r="C280" s="20"/>
      <c r="D280" s="20"/>
      <c r="E280" s="20"/>
      <c r="F280" s="20"/>
    </row>
    <row r="281" ht="14.25" customHeight="1">
      <c r="A281" s="20"/>
      <c r="B281" s="20"/>
      <c r="C281" s="20"/>
      <c r="D281" s="20"/>
      <c r="E281" s="20"/>
      <c r="F281" s="20"/>
    </row>
    <row r="282" ht="14.25" customHeight="1">
      <c r="A282" s="20"/>
      <c r="B282" s="20"/>
      <c r="C282" s="20"/>
      <c r="D282" s="20"/>
      <c r="E282" s="20"/>
      <c r="F282" s="20"/>
    </row>
    <row r="283" ht="14.25" customHeight="1">
      <c r="A283" s="20"/>
      <c r="B283" s="20"/>
      <c r="C283" s="20"/>
      <c r="D283" s="20"/>
      <c r="E283" s="20"/>
      <c r="F283" s="20"/>
    </row>
    <row r="284" ht="14.25" customHeight="1">
      <c r="A284" s="20"/>
      <c r="B284" s="20"/>
      <c r="C284" s="20"/>
      <c r="D284" s="20"/>
      <c r="E284" s="20"/>
      <c r="F284" s="20"/>
    </row>
    <row r="285" ht="14.25" customHeight="1">
      <c r="A285" s="20"/>
      <c r="B285" s="20"/>
      <c r="C285" s="20"/>
      <c r="D285" s="20"/>
      <c r="E285" s="20"/>
      <c r="F285" s="20"/>
    </row>
    <row r="286" ht="14.25" customHeight="1">
      <c r="A286" s="20"/>
      <c r="B286" s="20"/>
      <c r="C286" s="20"/>
      <c r="D286" s="20"/>
      <c r="E286" s="20"/>
      <c r="F286" s="20"/>
    </row>
    <row r="287" ht="14.25" customHeight="1">
      <c r="A287" s="20"/>
      <c r="B287" s="20"/>
      <c r="C287" s="20"/>
      <c r="D287" s="20"/>
      <c r="E287" s="20"/>
      <c r="F287" s="20"/>
    </row>
    <row r="288" ht="14.25" customHeight="1">
      <c r="A288" s="20"/>
      <c r="B288" s="20"/>
      <c r="C288" s="20"/>
      <c r="D288" s="20"/>
      <c r="E288" s="20"/>
      <c r="F288" s="20"/>
    </row>
    <row r="289" ht="14.25" customHeight="1">
      <c r="A289" s="20"/>
      <c r="B289" s="20"/>
      <c r="C289" s="20"/>
      <c r="D289" s="20"/>
      <c r="E289" s="20"/>
      <c r="F289" s="20"/>
    </row>
    <row r="290" ht="14.25" customHeight="1">
      <c r="A290" s="20"/>
      <c r="B290" s="20"/>
      <c r="C290" s="20"/>
      <c r="D290" s="20"/>
      <c r="E290" s="20"/>
      <c r="F290" s="20"/>
    </row>
    <row r="291" ht="14.25" customHeight="1">
      <c r="A291" s="20"/>
      <c r="B291" s="20"/>
      <c r="C291" s="20"/>
      <c r="D291" s="20"/>
      <c r="E291" s="20"/>
      <c r="F291" s="20"/>
    </row>
    <row r="292" ht="14.25" customHeight="1">
      <c r="A292" s="20"/>
      <c r="B292" s="20"/>
      <c r="C292" s="20"/>
      <c r="D292" s="20"/>
      <c r="E292" s="20"/>
      <c r="F292" s="20"/>
    </row>
    <row r="293" ht="14.25" customHeight="1">
      <c r="A293" s="20"/>
      <c r="B293" s="20"/>
      <c r="C293" s="20"/>
      <c r="D293" s="20"/>
      <c r="E293" s="20"/>
      <c r="F293" s="20"/>
    </row>
    <row r="294" ht="14.25" customHeight="1">
      <c r="A294" s="20"/>
      <c r="B294" s="20"/>
      <c r="C294" s="20"/>
      <c r="D294" s="20"/>
      <c r="E294" s="20"/>
      <c r="F294" s="20"/>
    </row>
    <row r="295" ht="14.25" customHeight="1">
      <c r="A295" s="20"/>
      <c r="B295" s="20"/>
      <c r="C295" s="20"/>
      <c r="D295" s="20"/>
      <c r="E295" s="20"/>
      <c r="F295" s="20"/>
    </row>
    <row r="296" ht="14.25" customHeight="1">
      <c r="A296" s="20"/>
      <c r="B296" s="20"/>
      <c r="C296" s="20"/>
      <c r="D296" s="20"/>
      <c r="E296" s="20"/>
      <c r="F296" s="20"/>
    </row>
    <row r="297" ht="14.25" customHeight="1">
      <c r="A297" s="20"/>
      <c r="B297" s="20"/>
      <c r="C297" s="20"/>
      <c r="D297" s="20"/>
      <c r="E297" s="20"/>
      <c r="F297" s="20"/>
    </row>
    <row r="298" ht="14.25" customHeight="1">
      <c r="A298" s="20"/>
      <c r="B298" s="20"/>
      <c r="C298" s="20"/>
      <c r="D298" s="20"/>
      <c r="E298" s="20"/>
      <c r="F298" s="20"/>
    </row>
    <row r="299" ht="14.25" customHeight="1">
      <c r="A299" s="20"/>
      <c r="B299" s="20"/>
      <c r="C299" s="20"/>
      <c r="D299" s="20"/>
      <c r="E299" s="20"/>
      <c r="F299" s="20"/>
    </row>
    <row r="300" ht="14.25" customHeight="1">
      <c r="A300" s="20"/>
      <c r="B300" s="20"/>
      <c r="C300" s="20"/>
      <c r="D300" s="20"/>
      <c r="E300" s="20"/>
      <c r="F300" s="20"/>
    </row>
    <row r="301" ht="14.25" customHeight="1">
      <c r="A301" s="20"/>
      <c r="B301" s="20"/>
      <c r="C301" s="20"/>
      <c r="D301" s="20"/>
      <c r="E301" s="20"/>
      <c r="F301" s="20"/>
    </row>
    <row r="302" ht="14.25" customHeight="1">
      <c r="A302" s="20"/>
      <c r="B302" s="20"/>
      <c r="C302" s="20"/>
      <c r="D302" s="20"/>
      <c r="E302" s="20"/>
      <c r="F302" s="20"/>
    </row>
    <row r="303" ht="14.25" customHeight="1">
      <c r="A303" s="20"/>
      <c r="B303" s="20"/>
      <c r="C303" s="20"/>
      <c r="D303" s="20"/>
      <c r="E303" s="20"/>
      <c r="F303" s="20"/>
    </row>
    <row r="304" ht="14.25" customHeight="1">
      <c r="A304" s="20"/>
      <c r="B304" s="20"/>
      <c r="C304" s="20"/>
      <c r="D304" s="20"/>
      <c r="E304" s="20"/>
      <c r="F304" s="20"/>
    </row>
    <row r="305" ht="14.25" customHeight="1">
      <c r="A305" s="20"/>
      <c r="B305" s="20"/>
      <c r="C305" s="20"/>
      <c r="D305" s="20"/>
      <c r="E305" s="20"/>
      <c r="F305" s="20"/>
    </row>
    <row r="306" ht="14.25" customHeight="1">
      <c r="A306" s="20"/>
      <c r="B306" s="20"/>
      <c r="C306" s="20"/>
      <c r="D306" s="20"/>
      <c r="E306" s="20"/>
      <c r="F306" s="20"/>
    </row>
    <row r="307" ht="14.25" customHeight="1">
      <c r="A307" s="20"/>
      <c r="B307" s="20"/>
      <c r="C307" s="20"/>
      <c r="D307" s="20"/>
      <c r="E307" s="20"/>
      <c r="F307" s="20"/>
    </row>
    <row r="308" ht="14.25" customHeight="1">
      <c r="A308" s="20"/>
      <c r="B308" s="20"/>
      <c r="C308" s="20"/>
      <c r="D308" s="20"/>
      <c r="E308" s="20"/>
      <c r="F308" s="20"/>
    </row>
    <row r="309" ht="14.25" customHeight="1">
      <c r="A309" s="20"/>
      <c r="B309" s="20"/>
      <c r="C309" s="20"/>
      <c r="D309" s="20"/>
      <c r="E309" s="20"/>
      <c r="F309" s="20"/>
    </row>
    <row r="310" ht="14.25" customHeight="1">
      <c r="A310" s="20"/>
      <c r="B310" s="20"/>
      <c r="C310" s="20"/>
      <c r="D310" s="20"/>
      <c r="E310" s="20"/>
      <c r="F310" s="20"/>
    </row>
    <row r="311" ht="14.25" customHeight="1">
      <c r="A311" s="20"/>
      <c r="B311" s="20"/>
      <c r="C311" s="20"/>
      <c r="D311" s="20"/>
      <c r="E311" s="20"/>
      <c r="F311" s="20"/>
    </row>
    <row r="312" ht="14.25" customHeight="1">
      <c r="A312" s="20"/>
      <c r="B312" s="20"/>
      <c r="C312" s="20"/>
      <c r="D312" s="20"/>
      <c r="E312" s="20"/>
      <c r="F312" s="20"/>
    </row>
    <row r="313" ht="14.25" customHeight="1">
      <c r="A313" s="20"/>
      <c r="B313" s="20"/>
      <c r="C313" s="20"/>
      <c r="D313" s="20"/>
      <c r="E313" s="20"/>
      <c r="F313" s="20"/>
    </row>
    <row r="314" ht="14.25" customHeight="1">
      <c r="A314" s="20"/>
      <c r="B314" s="20"/>
      <c r="C314" s="20"/>
      <c r="D314" s="20"/>
      <c r="E314" s="20"/>
      <c r="F314" s="20"/>
    </row>
    <row r="315" ht="14.25" customHeight="1">
      <c r="A315" s="20"/>
      <c r="B315" s="20"/>
      <c r="C315" s="20"/>
      <c r="D315" s="20"/>
      <c r="E315" s="20"/>
      <c r="F315" s="20"/>
    </row>
    <row r="316" ht="14.25" customHeight="1">
      <c r="A316" s="20"/>
      <c r="B316" s="20"/>
      <c r="C316" s="20"/>
      <c r="D316" s="20"/>
      <c r="E316" s="20"/>
      <c r="F316" s="20"/>
    </row>
    <row r="317" ht="14.25" customHeight="1">
      <c r="A317" s="20"/>
      <c r="B317" s="20"/>
      <c r="C317" s="20"/>
      <c r="D317" s="20"/>
      <c r="E317" s="20"/>
      <c r="F317" s="20"/>
    </row>
    <row r="318" ht="14.25" customHeight="1">
      <c r="A318" s="20"/>
      <c r="B318" s="20"/>
      <c r="C318" s="20"/>
      <c r="D318" s="20"/>
      <c r="E318" s="20"/>
      <c r="F318" s="20"/>
    </row>
    <row r="319" ht="14.25" customHeight="1">
      <c r="A319" s="20"/>
      <c r="B319" s="20"/>
      <c r="C319" s="20"/>
      <c r="D319" s="20"/>
      <c r="E319" s="20"/>
      <c r="F319" s="20"/>
    </row>
    <row r="320" ht="14.25" customHeight="1">
      <c r="A320" s="20"/>
      <c r="B320" s="20"/>
      <c r="C320" s="20"/>
      <c r="D320" s="20"/>
      <c r="E320" s="20"/>
      <c r="F320" s="20"/>
    </row>
    <row r="321" ht="14.25" customHeight="1">
      <c r="A321" s="20"/>
      <c r="B321" s="20"/>
      <c r="C321" s="20"/>
      <c r="D321" s="20"/>
      <c r="E321" s="20"/>
      <c r="F321" s="20"/>
    </row>
    <row r="322" ht="14.25" customHeight="1">
      <c r="A322" s="20"/>
      <c r="B322" s="20"/>
      <c r="C322" s="20"/>
      <c r="D322" s="20"/>
      <c r="E322" s="20"/>
      <c r="F322" s="20"/>
    </row>
    <row r="323" ht="14.25" customHeight="1">
      <c r="A323" s="20"/>
      <c r="B323" s="20"/>
      <c r="C323" s="20"/>
      <c r="D323" s="20"/>
      <c r="E323" s="20"/>
      <c r="F323" s="20"/>
    </row>
    <row r="324" ht="14.25" customHeight="1">
      <c r="A324" s="20"/>
      <c r="B324" s="20"/>
      <c r="C324" s="20"/>
      <c r="D324" s="20"/>
      <c r="E324" s="20"/>
      <c r="F324" s="20"/>
    </row>
    <row r="325" ht="14.25" customHeight="1">
      <c r="A325" s="20"/>
      <c r="B325" s="20"/>
      <c r="C325" s="20"/>
      <c r="D325" s="20"/>
      <c r="E325" s="20"/>
      <c r="F325" s="20"/>
    </row>
    <row r="326" ht="14.25" customHeight="1">
      <c r="A326" s="20"/>
      <c r="B326" s="20"/>
      <c r="C326" s="20"/>
      <c r="D326" s="20"/>
      <c r="E326" s="20"/>
      <c r="F326" s="20"/>
    </row>
    <row r="327" ht="14.25" customHeight="1">
      <c r="A327" s="20"/>
      <c r="B327" s="20"/>
      <c r="C327" s="20"/>
      <c r="D327" s="20"/>
      <c r="E327" s="20"/>
      <c r="F327" s="20"/>
    </row>
    <row r="328" ht="14.25" customHeight="1">
      <c r="A328" s="20"/>
      <c r="B328" s="20"/>
      <c r="C328" s="20"/>
      <c r="D328" s="20"/>
      <c r="E328" s="20"/>
      <c r="F328" s="20"/>
    </row>
    <row r="329" ht="14.25" customHeight="1">
      <c r="A329" s="20"/>
      <c r="B329" s="20"/>
      <c r="C329" s="20"/>
      <c r="D329" s="20"/>
      <c r="E329" s="20"/>
      <c r="F329" s="20"/>
    </row>
    <row r="330" ht="14.25" customHeight="1">
      <c r="A330" s="20"/>
      <c r="B330" s="20"/>
      <c r="C330" s="20"/>
      <c r="D330" s="20"/>
      <c r="E330" s="20"/>
      <c r="F330" s="20"/>
    </row>
    <row r="331" ht="14.25" customHeight="1">
      <c r="A331" s="20"/>
      <c r="B331" s="20"/>
      <c r="C331" s="20"/>
      <c r="D331" s="20"/>
      <c r="E331" s="20"/>
      <c r="F331" s="20"/>
    </row>
    <row r="332" ht="14.25" customHeight="1">
      <c r="A332" s="20"/>
      <c r="B332" s="20"/>
      <c r="C332" s="20"/>
      <c r="D332" s="20"/>
      <c r="E332" s="20"/>
      <c r="F332" s="20"/>
    </row>
    <row r="333" ht="14.25" customHeight="1">
      <c r="A333" s="20"/>
      <c r="B333" s="20"/>
      <c r="C333" s="20"/>
      <c r="D333" s="20"/>
      <c r="E333" s="20"/>
      <c r="F333" s="20"/>
    </row>
    <row r="334" ht="14.25" customHeight="1">
      <c r="A334" s="20"/>
      <c r="B334" s="20"/>
      <c r="C334" s="20"/>
      <c r="D334" s="20"/>
      <c r="E334" s="20"/>
      <c r="F334" s="20"/>
    </row>
    <row r="335" ht="14.25" customHeight="1">
      <c r="A335" s="20"/>
      <c r="B335" s="20"/>
      <c r="C335" s="20"/>
      <c r="D335" s="20"/>
      <c r="E335" s="20"/>
      <c r="F335" s="20"/>
    </row>
    <row r="336" ht="14.25" customHeight="1">
      <c r="A336" s="20"/>
      <c r="B336" s="20"/>
      <c r="C336" s="20"/>
      <c r="D336" s="20"/>
      <c r="E336" s="20"/>
      <c r="F336" s="20"/>
    </row>
    <row r="337" ht="14.25" customHeight="1">
      <c r="A337" s="20"/>
      <c r="B337" s="20"/>
      <c r="C337" s="20"/>
      <c r="D337" s="20"/>
      <c r="E337" s="20"/>
      <c r="F337" s="20"/>
    </row>
    <row r="338" ht="14.25" customHeight="1">
      <c r="A338" s="20"/>
      <c r="B338" s="20"/>
      <c r="C338" s="20"/>
      <c r="D338" s="20"/>
      <c r="E338" s="20"/>
      <c r="F338" s="20"/>
    </row>
    <row r="339" ht="14.25" customHeight="1">
      <c r="A339" s="20"/>
      <c r="B339" s="20"/>
      <c r="C339" s="20"/>
      <c r="D339" s="20"/>
      <c r="E339" s="20"/>
      <c r="F339" s="20"/>
    </row>
    <row r="340" ht="14.25" customHeight="1">
      <c r="A340" s="20"/>
      <c r="B340" s="20"/>
      <c r="C340" s="20"/>
      <c r="D340" s="20"/>
      <c r="E340" s="20"/>
      <c r="F340" s="20"/>
    </row>
    <row r="341" ht="14.25" customHeight="1">
      <c r="A341" s="20"/>
      <c r="B341" s="20"/>
      <c r="C341" s="20"/>
      <c r="D341" s="20"/>
      <c r="E341" s="20"/>
      <c r="F341" s="20"/>
    </row>
    <row r="342" ht="14.25" customHeight="1">
      <c r="A342" s="20"/>
      <c r="B342" s="20"/>
      <c r="C342" s="20"/>
      <c r="D342" s="20"/>
      <c r="E342" s="20"/>
      <c r="F342" s="20"/>
    </row>
    <row r="343" ht="14.25" customHeight="1">
      <c r="A343" s="20"/>
      <c r="B343" s="20"/>
      <c r="C343" s="20"/>
      <c r="D343" s="20"/>
      <c r="E343" s="20"/>
      <c r="F343" s="20"/>
    </row>
    <row r="344" ht="14.25" customHeight="1">
      <c r="A344" s="20"/>
      <c r="B344" s="20"/>
      <c r="C344" s="20"/>
      <c r="D344" s="20"/>
      <c r="E344" s="20"/>
      <c r="F344" s="20"/>
    </row>
    <row r="345" ht="14.25" customHeight="1">
      <c r="A345" s="20"/>
      <c r="B345" s="20"/>
      <c r="C345" s="20"/>
      <c r="D345" s="20"/>
      <c r="E345" s="20"/>
      <c r="F345" s="20"/>
    </row>
    <row r="346" ht="14.25" customHeight="1">
      <c r="A346" s="20"/>
      <c r="B346" s="20"/>
      <c r="C346" s="20"/>
      <c r="D346" s="20"/>
      <c r="E346" s="20"/>
      <c r="F346" s="20"/>
    </row>
    <row r="347" ht="14.25" customHeight="1">
      <c r="A347" s="20"/>
      <c r="B347" s="20"/>
      <c r="C347" s="20"/>
      <c r="D347" s="20"/>
      <c r="E347" s="20"/>
      <c r="F347" s="20"/>
    </row>
    <row r="348" ht="14.25" customHeight="1">
      <c r="A348" s="20"/>
      <c r="B348" s="20"/>
      <c r="C348" s="20"/>
      <c r="D348" s="20"/>
      <c r="E348" s="20"/>
      <c r="F348" s="20"/>
    </row>
    <row r="349" ht="14.25" customHeight="1">
      <c r="A349" s="20"/>
      <c r="B349" s="20"/>
      <c r="C349" s="20"/>
      <c r="D349" s="20"/>
      <c r="E349" s="20"/>
      <c r="F349" s="20"/>
    </row>
    <row r="350" ht="14.25" customHeight="1">
      <c r="A350" s="20"/>
      <c r="B350" s="20"/>
      <c r="C350" s="20"/>
      <c r="D350" s="20"/>
      <c r="E350" s="20"/>
      <c r="F350" s="20"/>
    </row>
    <row r="351" ht="14.25" customHeight="1">
      <c r="A351" s="20"/>
      <c r="B351" s="20"/>
      <c r="C351" s="20"/>
      <c r="D351" s="20"/>
      <c r="E351" s="20"/>
      <c r="F351" s="20"/>
    </row>
    <row r="352" ht="14.25" customHeight="1">
      <c r="A352" s="20"/>
      <c r="B352" s="20"/>
      <c r="C352" s="20"/>
      <c r="D352" s="20"/>
      <c r="E352" s="20"/>
      <c r="F352" s="20"/>
    </row>
    <row r="353" ht="14.25" customHeight="1">
      <c r="A353" s="20"/>
      <c r="B353" s="20"/>
      <c r="C353" s="20"/>
      <c r="D353" s="20"/>
      <c r="E353" s="20"/>
      <c r="F353" s="20"/>
    </row>
    <row r="354" ht="14.25" customHeight="1">
      <c r="A354" s="20"/>
      <c r="B354" s="20"/>
      <c r="C354" s="20"/>
      <c r="D354" s="20"/>
      <c r="E354" s="20"/>
      <c r="F354" s="20"/>
    </row>
    <row r="355" ht="14.25" customHeight="1">
      <c r="A355" s="20"/>
      <c r="B355" s="20"/>
      <c r="C355" s="20"/>
      <c r="D355" s="20"/>
      <c r="E355" s="20"/>
      <c r="F355" s="20"/>
    </row>
    <row r="356" ht="14.25" customHeight="1">
      <c r="A356" s="20"/>
      <c r="B356" s="20"/>
      <c r="C356" s="20"/>
      <c r="D356" s="20"/>
      <c r="E356" s="20"/>
      <c r="F356" s="20"/>
    </row>
    <row r="357" ht="14.25" customHeight="1">
      <c r="A357" s="20"/>
      <c r="B357" s="20"/>
      <c r="C357" s="20"/>
      <c r="D357" s="20"/>
      <c r="E357" s="20"/>
      <c r="F357" s="20"/>
    </row>
    <row r="358" ht="14.25" customHeight="1">
      <c r="A358" s="20"/>
      <c r="B358" s="20"/>
      <c r="C358" s="20"/>
      <c r="D358" s="20"/>
      <c r="E358" s="20"/>
      <c r="F358" s="20"/>
    </row>
    <row r="359" ht="14.25" customHeight="1">
      <c r="A359" s="20"/>
      <c r="B359" s="20"/>
      <c r="C359" s="20"/>
      <c r="D359" s="20"/>
      <c r="E359" s="20"/>
      <c r="F359" s="20"/>
    </row>
    <row r="360" ht="14.25" customHeight="1">
      <c r="A360" s="20"/>
      <c r="B360" s="20"/>
      <c r="C360" s="20"/>
      <c r="D360" s="20"/>
      <c r="E360" s="20"/>
      <c r="F360" s="20"/>
    </row>
    <row r="361" ht="14.25" customHeight="1">
      <c r="A361" s="20"/>
      <c r="B361" s="20"/>
      <c r="C361" s="20"/>
      <c r="D361" s="20"/>
      <c r="E361" s="20"/>
      <c r="F361" s="20"/>
    </row>
    <row r="362" ht="14.25" customHeight="1">
      <c r="A362" s="20"/>
      <c r="B362" s="20"/>
      <c r="C362" s="20"/>
      <c r="D362" s="20"/>
      <c r="E362" s="20"/>
      <c r="F362" s="20"/>
    </row>
    <row r="363" ht="14.25" customHeight="1">
      <c r="A363" s="20"/>
      <c r="B363" s="20"/>
      <c r="C363" s="20"/>
      <c r="D363" s="20"/>
      <c r="E363" s="20"/>
      <c r="F363" s="20"/>
    </row>
    <row r="364" ht="14.25" customHeight="1">
      <c r="A364" s="20"/>
      <c r="B364" s="20"/>
      <c r="C364" s="20"/>
      <c r="D364" s="20"/>
      <c r="E364" s="20"/>
      <c r="F364" s="20"/>
    </row>
    <row r="365" ht="14.25" customHeight="1">
      <c r="A365" s="20"/>
      <c r="B365" s="20"/>
      <c r="C365" s="20"/>
      <c r="D365" s="20"/>
      <c r="E365" s="20"/>
      <c r="F365" s="20"/>
    </row>
    <row r="366" ht="14.25" customHeight="1">
      <c r="A366" s="20"/>
      <c r="B366" s="20"/>
      <c r="C366" s="20"/>
      <c r="D366" s="20"/>
      <c r="E366" s="20"/>
      <c r="F366" s="20"/>
    </row>
    <row r="367" ht="14.25" customHeight="1">
      <c r="A367" s="20"/>
      <c r="B367" s="20"/>
      <c r="C367" s="20"/>
      <c r="D367" s="20"/>
      <c r="E367" s="20"/>
      <c r="F367" s="20"/>
    </row>
    <row r="368" ht="14.25" customHeight="1">
      <c r="A368" s="20"/>
      <c r="B368" s="20"/>
      <c r="C368" s="20"/>
      <c r="D368" s="20"/>
      <c r="E368" s="20"/>
      <c r="F368" s="20"/>
    </row>
    <row r="369" ht="14.25" customHeight="1">
      <c r="A369" s="20"/>
      <c r="B369" s="20"/>
      <c r="C369" s="20"/>
      <c r="D369" s="20"/>
      <c r="E369" s="20"/>
      <c r="F369" s="20"/>
    </row>
    <row r="370" ht="14.25" customHeight="1">
      <c r="A370" s="20"/>
      <c r="B370" s="20"/>
      <c r="C370" s="20"/>
      <c r="D370" s="20"/>
      <c r="E370" s="20"/>
      <c r="F370" s="20"/>
    </row>
    <row r="371" ht="14.25" customHeight="1">
      <c r="A371" s="20"/>
      <c r="B371" s="20"/>
      <c r="C371" s="20"/>
      <c r="D371" s="20"/>
      <c r="E371" s="20"/>
      <c r="F371" s="20"/>
    </row>
    <row r="372" ht="14.25" customHeight="1">
      <c r="A372" s="20"/>
      <c r="B372" s="20"/>
      <c r="C372" s="20"/>
      <c r="D372" s="20"/>
      <c r="E372" s="20"/>
      <c r="F372" s="20"/>
    </row>
    <row r="373" ht="14.25" customHeight="1">
      <c r="A373" s="20"/>
      <c r="B373" s="20"/>
      <c r="C373" s="20"/>
      <c r="D373" s="20"/>
      <c r="E373" s="20"/>
      <c r="F373" s="20"/>
    </row>
    <row r="374" ht="14.25" customHeight="1">
      <c r="A374" s="20"/>
      <c r="B374" s="20"/>
      <c r="C374" s="20"/>
      <c r="D374" s="20"/>
      <c r="E374" s="20"/>
      <c r="F374" s="20"/>
    </row>
    <row r="375" ht="14.25" customHeight="1">
      <c r="A375" s="20"/>
      <c r="B375" s="20"/>
      <c r="C375" s="20"/>
      <c r="D375" s="20"/>
      <c r="E375" s="20"/>
      <c r="F375" s="20"/>
    </row>
    <row r="376" ht="14.25" customHeight="1">
      <c r="A376" s="20"/>
      <c r="B376" s="20"/>
      <c r="C376" s="20"/>
      <c r="D376" s="20"/>
      <c r="E376" s="20"/>
      <c r="F376" s="20"/>
    </row>
    <row r="377" ht="14.25" customHeight="1">
      <c r="A377" s="20"/>
      <c r="B377" s="20"/>
      <c r="C377" s="20"/>
      <c r="D377" s="20"/>
      <c r="E377" s="20"/>
      <c r="F377" s="20"/>
    </row>
    <row r="378" ht="14.25" customHeight="1">
      <c r="A378" s="20"/>
      <c r="B378" s="20"/>
      <c r="C378" s="20"/>
      <c r="D378" s="20"/>
      <c r="E378" s="20"/>
      <c r="F378" s="20"/>
    </row>
    <row r="379" ht="14.25" customHeight="1">
      <c r="A379" s="20"/>
      <c r="B379" s="20"/>
      <c r="C379" s="20"/>
      <c r="D379" s="20"/>
      <c r="E379" s="20"/>
      <c r="F379" s="20"/>
    </row>
    <row r="380" ht="14.25" customHeight="1">
      <c r="A380" s="20"/>
      <c r="B380" s="20"/>
      <c r="C380" s="20"/>
      <c r="D380" s="20"/>
      <c r="E380" s="20"/>
      <c r="F380" s="20"/>
    </row>
    <row r="381" ht="14.25" customHeight="1">
      <c r="A381" s="20"/>
      <c r="B381" s="20"/>
      <c r="C381" s="20"/>
      <c r="D381" s="20"/>
      <c r="E381" s="20"/>
      <c r="F381" s="20"/>
    </row>
    <row r="382" ht="14.25" customHeight="1">
      <c r="A382" s="20"/>
      <c r="B382" s="20"/>
      <c r="C382" s="20"/>
      <c r="D382" s="20"/>
      <c r="E382" s="20"/>
      <c r="F382" s="20"/>
    </row>
    <row r="383" ht="14.25" customHeight="1">
      <c r="A383" s="20"/>
      <c r="B383" s="20"/>
      <c r="C383" s="20"/>
      <c r="D383" s="20"/>
      <c r="E383" s="20"/>
      <c r="F383" s="20"/>
    </row>
    <row r="384" ht="14.25" customHeight="1">
      <c r="A384" s="20"/>
      <c r="B384" s="20"/>
      <c r="C384" s="20"/>
      <c r="D384" s="20"/>
      <c r="E384" s="20"/>
      <c r="F384" s="20"/>
    </row>
    <row r="385" ht="14.25" customHeight="1">
      <c r="A385" s="20"/>
      <c r="B385" s="20"/>
      <c r="C385" s="20"/>
      <c r="D385" s="20"/>
      <c r="E385" s="20"/>
      <c r="F385" s="20"/>
    </row>
    <row r="386" ht="14.25" customHeight="1">
      <c r="A386" s="20"/>
      <c r="B386" s="20"/>
      <c r="C386" s="20"/>
      <c r="D386" s="20"/>
      <c r="E386" s="20"/>
      <c r="F386" s="20"/>
    </row>
    <row r="387" ht="14.25" customHeight="1">
      <c r="A387" s="20"/>
      <c r="B387" s="20"/>
      <c r="C387" s="20"/>
      <c r="D387" s="20"/>
      <c r="E387" s="20"/>
      <c r="F387" s="20"/>
    </row>
    <row r="388" ht="14.25" customHeight="1">
      <c r="A388" s="20"/>
      <c r="B388" s="20"/>
      <c r="C388" s="20"/>
      <c r="D388" s="20"/>
      <c r="E388" s="20"/>
      <c r="F388" s="20"/>
    </row>
    <row r="389" ht="14.25" customHeight="1">
      <c r="A389" s="20"/>
      <c r="B389" s="20"/>
      <c r="C389" s="20"/>
      <c r="D389" s="20"/>
      <c r="E389" s="20"/>
      <c r="F389" s="20"/>
    </row>
    <row r="390" ht="14.25" customHeight="1">
      <c r="A390" s="20"/>
      <c r="B390" s="20"/>
      <c r="C390" s="20"/>
      <c r="D390" s="20"/>
      <c r="E390" s="20"/>
      <c r="F390" s="20"/>
    </row>
    <row r="391" ht="14.25" customHeight="1">
      <c r="A391" s="20"/>
      <c r="B391" s="20"/>
      <c r="C391" s="20"/>
      <c r="D391" s="20"/>
      <c r="E391" s="20"/>
      <c r="F391" s="20"/>
    </row>
    <row r="392" ht="14.25" customHeight="1">
      <c r="A392" s="20"/>
      <c r="B392" s="20"/>
      <c r="C392" s="20"/>
      <c r="D392" s="20"/>
      <c r="E392" s="20"/>
      <c r="F392" s="20"/>
    </row>
    <row r="393" ht="14.25" customHeight="1">
      <c r="A393" s="20"/>
      <c r="B393" s="20"/>
      <c r="C393" s="20"/>
      <c r="D393" s="20"/>
      <c r="E393" s="20"/>
      <c r="F393" s="20"/>
    </row>
    <row r="394" ht="14.25" customHeight="1">
      <c r="A394" s="20"/>
      <c r="B394" s="20"/>
      <c r="C394" s="20"/>
      <c r="D394" s="20"/>
      <c r="E394" s="20"/>
      <c r="F394" s="20"/>
    </row>
    <row r="395" ht="14.25" customHeight="1">
      <c r="A395" s="20"/>
      <c r="B395" s="20"/>
      <c r="C395" s="20"/>
      <c r="D395" s="20"/>
      <c r="E395" s="20"/>
      <c r="F395" s="20"/>
    </row>
    <row r="396" ht="14.25" customHeight="1">
      <c r="A396" s="20"/>
      <c r="B396" s="20"/>
      <c r="C396" s="20"/>
      <c r="D396" s="20"/>
      <c r="E396" s="20"/>
      <c r="F396" s="20"/>
    </row>
    <row r="397" ht="14.25" customHeight="1">
      <c r="A397" s="20"/>
      <c r="B397" s="20"/>
      <c r="C397" s="20"/>
      <c r="D397" s="20"/>
      <c r="E397" s="20"/>
      <c r="F397" s="20"/>
    </row>
    <row r="398" ht="14.25" customHeight="1">
      <c r="A398" s="20"/>
      <c r="B398" s="20"/>
      <c r="C398" s="20"/>
      <c r="D398" s="20"/>
      <c r="E398" s="20"/>
      <c r="F398" s="20"/>
    </row>
    <row r="399" ht="14.25" customHeight="1">
      <c r="A399" s="20"/>
      <c r="B399" s="20"/>
      <c r="C399" s="20"/>
      <c r="D399" s="20"/>
      <c r="E399" s="20"/>
      <c r="F399" s="20"/>
    </row>
    <row r="400" ht="14.25" customHeight="1">
      <c r="A400" s="20"/>
      <c r="B400" s="20"/>
      <c r="C400" s="20"/>
      <c r="D400" s="20"/>
      <c r="E400" s="20"/>
      <c r="F400" s="20"/>
    </row>
    <row r="401" ht="14.25" customHeight="1">
      <c r="A401" s="20"/>
      <c r="B401" s="20"/>
      <c r="C401" s="20"/>
      <c r="D401" s="20"/>
      <c r="E401" s="20"/>
      <c r="F401" s="20"/>
    </row>
    <row r="402" ht="14.25" customHeight="1">
      <c r="A402" s="20"/>
      <c r="B402" s="20"/>
      <c r="C402" s="20"/>
      <c r="D402" s="20"/>
      <c r="E402" s="20"/>
      <c r="F402" s="20"/>
    </row>
    <row r="403" ht="14.25" customHeight="1">
      <c r="A403" s="20"/>
      <c r="B403" s="20"/>
      <c r="C403" s="20"/>
      <c r="D403" s="20"/>
      <c r="E403" s="20"/>
      <c r="F403" s="20"/>
    </row>
    <row r="404" ht="14.25" customHeight="1">
      <c r="A404" s="20"/>
      <c r="B404" s="20"/>
      <c r="C404" s="20"/>
      <c r="D404" s="20"/>
      <c r="E404" s="20"/>
      <c r="F404" s="20"/>
    </row>
    <row r="405" ht="14.25" customHeight="1">
      <c r="A405" s="20"/>
      <c r="B405" s="20"/>
      <c r="C405" s="20"/>
      <c r="D405" s="20"/>
      <c r="E405" s="20"/>
      <c r="F405" s="20"/>
    </row>
    <row r="406" ht="14.25" customHeight="1">
      <c r="A406" s="20"/>
      <c r="B406" s="20"/>
      <c r="C406" s="20"/>
      <c r="D406" s="20"/>
      <c r="E406" s="20"/>
      <c r="F406" s="20"/>
    </row>
    <row r="407" ht="14.25" customHeight="1">
      <c r="A407" s="20"/>
      <c r="B407" s="20"/>
      <c r="C407" s="20"/>
      <c r="D407" s="20"/>
      <c r="E407" s="20"/>
      <c r="F407" s="20"/>
    </row>
    <row r="408" ht="14.25" customHeight="1">
      <c r="A408" s="20"/>
      <c r="B408" s="20"/>
      <c r="C408" s="20"/>
      <c r="D408" s="20"/>
      <c r="E408" s="20"/>
      <c r="F408" s="20"/>
    </row>
    <row r="409" ht="14.25" customHeight="1">
      <c r="A409" s="20"/>
      <c r="B409" s="20"/>
      <c r="C409" s="20"/>
      <c r="D409" s="20"/>
      <c r="E409" s="20"/>
      <c r="F409" s="20"/>
    </row>
    <row r="410" ht="14.25" customHeight="1">
      <c r="A410" s="20"/>
      <c r="B410" s="20"/>
      <c r="C410" s="20"/>
      <c r="D410" s="20"/>
      <c r="E410" s="20"/>
      <c r="F410" s="20"/>
    </row>
    <row r="411" ht="14.25" customHeight="1">
      <c r="A411" s="20"/>
      <c r="B411" s="20"/>
      <c r="C411" s="20"/>
      <c r="D411" s="20"/>
      <c r="E411" s="20"/>
      <c r="F411" s="20"/>
    </row>
    <row r="412" ht="14.25" customHeight="1">
      <c r="A412" s="20"/>
      <c r="B412" s="20"/>
      <c r="C412" s="20"/>
      <c r="D412" s="20"/>
      <c r="E412" s="20"/>
      <c r="F412" s="20"/>
    </row>
    <row r="413" ht="14.25" customHeight="1">
      <c r="A413" s="20"/>
      <c r="B413" s="20"/>
      <c r="C413" s="20"/>
      <c r="D413" s="20"/>
      <c r="E413" s="20"/>
      <c r="F413" s="20"/>
    </row>
    <row r="414" ht="14.25" customHeight="1">
      <c r="A414" s="20"/>
      <c r="B414" s="20"/>
      <c r="C414" s="20"/>
      <c r="D414" s="20"/>
      <c r="E414" s="20"/>
      <c r="F414" s="20"/>
    </row>
    <row r="415" ht="14.25" customHeight="1">
      <c r="A415" s="20"/>
      <c r="B415" s="20"/>
      <c r="C415" s="20"/>
      <c r="D415" s="20"/>
      <c r="E415" s="20"/>
      <c r="F415" s="20"/>
    </row>
    <row r="416" ht="14.25" customHeight="1">
      <c r="A416" s="20"/>
      <c r="B416" s="20"/>
      <c r="C416" s="20"/>
      <c r="D416" s="20"/>
      <c r="E416" s="20"/>
      <c r="F416" s="20"/>
    </row>
    <row r="417" ht="14.25" customHeight="1">
      <c r="A417" s="20"/>
      <c r="B417" s="20"/>
      <c r="C417" s="20"/>
      <c r="D417" s="20"/>
      <c r="E417" s="20"/>
      <c r="F417" s="20"/>
    </row>
    <row r="418" ht="14.25" customHeight="1">
      <c r="A418" s="20"/>
      <c r="B418" s="20"/>
      <c r="C418" s="20"/>
      <c r="D418" s="20"/>
      <c r="E418" s="20"/>
      <c r="F418" s="20"/>
    </row>
    <row r="419" ht="14.25" customHeight="1">
      <c r="A419" s="20"/>
      <c r="B419" s="20"/>
      <c r="C419" s="20"/>
      <c r="D419" s="20"/>
      <c r="E419" s="20"/>
      <c r="F419" s="20"/>
    </row>
    <row r="420" ht="14.25" customHeight="1">
      <c r="A420" s="20"/>
      <c r="B420" s="20"/>
      <c r="C420" s="20"/>
      <c r="D420" s="20"/>
      <c r="E420" s="20"/>
      <c r="F420" s="20"/>
    </row>
    <row r="421" ht="14.25" customHeight="1">
      <c r="A421" s="20"/>
      <c r="B421" s="20"/>
      <c r="C421" s="20"/>
      <c r="D421" s="20"/>
      <c r="E421" s="20"/>
      <c r="F421" s="20"/>
    </row>
    <row r="422" ht="14.25" customHeight="1">
      <c r="A422" s="20"/>
      <c r="B422" s="20"/>
      <c r="C422" s="20"/>
      <c r="D422" s="20"/>
      <c r="E422" s="20"/>
      <c r="F422" s="20"/>
    </row>
    <row r="423" ht="14.25" customHeight="1">
      <c r="A423" s="20"/>
      <c r="B423" s="20"/>
      <c r="C423" s="20"/>
      <c r="D423" s="20"/>
      <c r="E423" s="20"/>
      <c r="F423" s="20"/>
    </row>
    <row r="424" ht="14.25" customHeight="1">
      <c r="A424" s="20"/>
      <c r="B424" s="20"/>
      <c r="C424" s="20"/>
      <c r="D424" s="20"/>
      <c r="E424" s="20"/>
      <c r="F424" s="20"/>
    </row>
    <row r="425" ht="14.25" customHeight="1">
      <c r="A425" s="20"/>
      <c r="B425" s="20"/>
      <c r="C425" s="20"/>
      <c r="D425" s="20"/>
      <c r="E425" s="20"/>
      <c r="F425" s="20"/>
    </row>
    <row r="426" ht="14.25" customHeight="1">
      <c r="A426" s="20"/>
      <c r="B426" s="20"/>
      <c r="C426" s="20"/>
      <c r="D426" s="20"/>
      <c r="E426" s="20"/>
      <c r="F426" s="20"/>
    </row>
    <row r="427" ht="14.25" customHeight="1">
      <c r="A427" s="20"/>
      <c r="B427" s="20"/>
      <c r="C427" s="20"/>
      <c r="D427" s="20"/>
      <c r="E427" s="20"/>
      <c r="F427" s="20"/>
    </row>
    <row r="428" ht="14.25" customHeight="1">
      <c r="A428" s="20"/>
      <c r="B428" s="20"/>
      <c r="C428" s="20"/>
      <c r="D428" s="20"/>
      <c r="E428" s="20"/>
      <c r="F428" s="20"/>
    </row>
    <row r="429" ht="14.25" customHeight="1">
      <c r="A429" s="20"/>
      <c r="B429" s="20"/>
      <c r="C429" s="20"/>
      <c r="D429" s="20"/>
      <c r="E429" s="20"/>
      <c r="F429" s="20"/>
    </row>
    <row r="430" ht="14.25" customHeight="1">
      <c r="A430" s="20"/>
      <c r="B430" s="20"/>
      <c r="C430" s="20"/>
      <c r="D430" s="20"/>
      <c r="E430" s="20"/>
      <c r="F430" s="20"/>
    </row>
    <row r="431" ht="14.25" customHeight="1">
      <c r="A431" s="20"/>
      <c r="B431" s="20"/>
      <c r="C431" s="20"/>
      <c r="D431" s="20"/>
      <c r="E431" s="20"/>
      <c r="F431" s="20"/>
    </row>
    <row r="432" ht="14.25" customHeight="1">
      <c r="A432" s="20"/>
      <c r="B432" s="20"/>
      <c r="C432" s="20"/>
      <c r="D432" s="20"/>
      <c r="E432" s="20"/>
      <c r="F432" s="20"/>
    </row>
    <row r="433" ht="14.25" customHeight="1">
      <c r="A433" s="20"/>
      <c r="B433" s="20"/>
      <c r="C433" s="20"/>
      <c r="D433" s="20"/>
      <c r="E433" s="20"/>
      <c r="F433" s="20"/>
    </row>
    <row r="434" ht="14.25" customHeight="1">
      <c r="A434" s="20"/>
      <c r="B434" s="20"/>
      <c r="C434" s="20"/>
      <c r="D434" s="20"/>
      <c r="E434" s="20"/>
      <c r="F434" s="20"/>
    </row>
    <row r="435" ht="14.25" customHeight="1">
      <c r="A435" s="20"/>
      <c r="B435" s="20"/>
      <c r="C435" s="20"/>
      <c r="D435" s="20"/>
      <c r="E435" s="20"/>
      <c r="F435" s="20"/>
    </row>
    <row r="436" ht="14.25" customHeight="1">
      <c r="A436" s="20"/>
      <c r="B436" s="20"/>
      <c r="C436" s="20"/>
      <c r="D436" s="20"/>
      <c r="E436" s="20"/>
      <c r="F436" s="20"/>
    </row>
    <row r="437" ht="14.25" customHeight="1">
      <c r="A437" s="20"/>
      <c r="B437" s="20"/>
      <c r="C437" s="20"/>
      <c r="D437" s="20"/>
      <c r="E437" s="20"/>
      <c r="F437" s="20"/>
    </row>
    <row r="438" ht="14.25" customHeight="1">
      <c r="A438" s="20"/>
      <c r="B438" s="20"/>
      <c r="C438" s="20"/>
      <c r="D438" s="20"/>
      <c r="E438" s="20"/>
      <c r="F438" s="20"/>
    </row>
    <row r="439" ht="14.25" customHeight="1">
      <c r="A439" s="20"/>
      <c r="B439" s="20"/>
      <c r="C439" s="20"/>
      <c r="D439" s="20"/>
      <c r="E439" s="20"/>
      <c r="F439" s="20"/>
    </row>
    <row r="440" ht="14.25" customHeight="1">
      <c r="A440" s="20"/>
      <c r="B440" s="20"/>
      <c r="C440" s="20"/>
      <c r="D440" s="20"/>
      <c r="E440" s="20"/>
      <c r="F440" s="20"/>
    </row>
    <row r="441" ht="14.25" customHeight="1">
      <c r="A441" s="20"/>
      <c r="B441" s="20"/>
      <c r="C441" s="20"/>
      <c r="D441" s="20"/>
      <c r="E441" s="20"/>
      <c r="F441" s="20"/>
    </row>
    <row r="442" ht="14.25" customHeight="1">
      <c r="A442" s="20"/>
      <c r="B442" s="20"/>
      <c r="C442" s="20"/>
      <c r="D442" s="20"/>
      <c r="E442" s="20"/>
      <c r="F442" s="20"/>
    </row>
    <row r="443" ht="14.25" customHeight="1">
      <c r="A443" s="20"/>
      <c r="B443" s="20"/>
      <c r="C443" s="20"/>
      <c r="D443" s="20"/>
      <c r="E443" s="20"/>
      <c r="F443" s="20"/>
    </row>
    <row r="444" ht="14.25" customHeight="1">
      <c r="A444" s="20"/>
      <c r="B444" s="20"/>
      <c r="C444" s="20"/>
      <c r="D444" s="20"/>
      <c r="E444" s="20"/>
      <c r="F444" s="20"/>
    </row>
    <row r="445" ht="14.25" customHeight="1">
      <c r="A445" s="20"/>
      <c r="B445" s="20"/>
      <c r="C445" s="20"/>
      <c r="D445" s="20"/>
      <c r="E445" s="20"/>
      <c r="F445" s="20"/>
    </row>
    <row r="446" ht="14.25" customHeight="1">
      <c r="A446" s="20"/>
      <c r="B446" s="20"/>
      <c r="C446" s="20"/>
      <c r="D446" s="20"/>
      <c r="E446" s="20"/>
      <c r="F446" s="20"/>
    </row>
    <row r="447" ht="14.25" customHeight="1">
      <c r="A447" s="20"/>
      <c r="B447" s="20"/>
      <c r="C447" s="20"/>
      <c r="D447" s="20"/>
      <c r="E447" s="20"/>
      <c r="F447" s="20"/>
    </row>
    <row r="448" ht="14.25" customHeight="1">
      <c r="A448" s="20"/>
      <c r="B448" s="20"/>
      <c r="C448" s="20"/>
      <c r="D448" s="20"/>
      <c r="E448" s="20"/>
      <c r="F448" s="20"/>
    </row>
    <row r="449" ht="14.25" customHeight="1">
      <c r="A449" s="20"/>
      <c r="B449" s="20"/>
      <c r="C449" s="20"/>
      <c r="D449" s="20"/>
      <c r="E449" s="20"/>
      <c r="F449" s="20"/>
    </row>
    <row r="450" ht="14.25" customHeight="1">
      <c r="A450" s="20"/>
      <c r="B450" s="20"/>
      <c r="C450" s="20"/>
      <c r="D450" s="20"/>
      <c r="E450" s="20"/>
      <c r="F450" s="20"/>
    </row>
    <row r="451" ht="14.25" customHeight="1">
      <c r="A451" s="20"/>
      <c r="B451" s="20"/>
      <c r="C451" s="20"/>
      <c r="D451" s="20"/>
      <c r="E451" s="20"/>
      <c r="F451" s="20"/>
    </row>
    <row r="452" ht="14.25" customHeight="1">
      <c r="A452" s="20"/>
      <c r="B452" s="20"/>
      <c r="C452" s="20"/>
      <c r="D452" s="20"/>
      <c r="E452" s="20"/>
      <c r="F452" s="20"/>
    </row>
    <row r="453" ht="14.25" customHeight="1">
      <c r="A453" s="20"/>
      <c r="B453" s="20"/>
      <c r="C453" s="20"/>
      <c r="D453" s="20"/>
      <c r="E453" s="20"/>
      <c r="F453" s="20"/>
    </row>
    <row r="454" ht="14.25" customHeight="1">
      <c r="A454" s="20"/>
      <c r="B454" s="20"/>
      <c r="C454" s="20"/>
      <c r="D454" s="20"/>
      <c r="E454" s="20"/>
      <c r="F454" s="20"/>
    </row>
    <row r="455" ht="14.25" customHeight="1">
      <c r="A455" s="20"/>
      <c r="B455" s="20"/>
      <c r="C455" s="20"/>
      <c r="D455" s="20"/>
      <c r="E455" s="20"/>
      <c r="F455" s="20"/>
    </row>
    <row r="456" ht="14.25" customHeight="1">
      <c r="A456" s="20"/>
      <c r="B456" s="20"/>
      <c r="C456" s="20"/>
      <c r="D456" s="20"/>
      <c r="E456" s="20"/>
      <c r="F456" s="20"/>
    </row>
    <row r="457" ht="14.25" customHeight="1">
      <c r="A457" s="20"/>
      <c r="B457" s="20"/>
      <c r="C457" s="20"/>
      <c r="D457" s="20"/>
      <c r="E457" s="20"/>
      <c r="F457" s="20"/>
    </row>
    <row r="458" ht="14.25" customHeight="1">
      <c r="A458" s="20"/>
      <c r="B458" s="20"/>
      <c r="C458" s="20"/>
      <c r="D458" s="20"/>
      <c r="E458" s="20"/>
      <c r="F458" s="20"/>
    </row>
    <row r="459" ht="14.25" customHeight="1">
      <c r="A459" s="20"/>
      <c r="B459" s="20"/>
      <c r="C459" s="20"/>
      <c r="D459" s="20"/>
      <c r="E459" s="20"/>
      <c r="F459" s="20"/>
    </row>
    <row r="460" ht="14.25" customHeight="1">
      <c r="A460" s="20"/>
      <c r="B460" s="20"/>
      <c r="C460" s="20"/>
      <c r="D460" s="20"/>
      <c r="E460" s="20"/>
      <c r="F460" s="20"/>
    </row>
    <row r="461" ht="14.25" customHeight="1">
      <c r="A461" s="20"/>
      <c r="B461" s="20"/>
      <c r="C461" s="20"/>
      <c r="D461" s="20"/>
      <c r="E461" s="20"/>
      <c r="F461" s="20"/>
    </row>
    <row r="462" ht="14.25" customHeight="1">
      <c r="A462" s="20"/>
      <c r="B462" s="20"/>
      <c r="C462" s="20"/>
      <c r="D462" s="20"/>
      <c r="E462" s="20"/>
      <c r="F462" s="20"/>
    </row>
    <row r="463" ht="14.25" customHeight="1">
      <c r="A463" s="20"/>
      <c r="B463" s="20"/>
      <c r="C463" s="20"/>
      <c r="D463" s="20"/>
      <c r="E463" s="20"/>
      <c r="F463" s="20"/>
    </row>
    <row r="464" ht="14.25" customHeight="1">
      <c r="A464" s="20"/>
      <c r="B464" s="20"/>
      <c r="C464" s="20"/>
      <c r="D464" s="20"/>
      <c r="E464" s="20"/>
      <c r="F464" s="20"/>
    </row>
    <row r="465" ht="14.25" customHeight="1">
      <c r="A465" s="20"/>
      <c r="B465" s="20"/>
      <c r="C465" s="20"/>
      <c r="D465" s="20"/>
      <c r="E465" s="20"/>
      <c r="F465" s="20"/>
    </row>
    <row r="466" ht="14.25" customHeight="1">
      <c r="A466" s="20"/>
      <c r="B466" s="20"/>
      <c r="C466" s="20"/>
      <c r="D466" s="20"/>
      <c r="E466" s="20"/>
      <c r="F466" s="20"/>
    </row>
    <row r="467" ht="14.25" customHeight="1">
      <c r="A467" s="20"/>
      <c r="B467" s="20"/>
      <c r="C467" s="20"/>
      <c r="D467" s="20"/>
      <c r="E467" s="20"/>
      <c r="F467" s="20"/>
    </row>
    <row r="468" ht="14.25" customHeight="1">
      <c r="A468" s="20"/>
      <c r="B468" s="20"/>
      <c r="C468" s="20"/>
      <c r="D468" s="20"/>
      <c r="E468" s="20"/>
      <c r="F468" s="20"/>
    </row>
    <row r="469" ht="14.25" customHeight="1">
      <c r="A469" s="20"/>
      <c r="B469" s="20"/>
      <c r="C469" s="20"/>
      <c r="D469" s="20"/>
      <c r="E469" s="20"/>
      <c r="F469" s="20"/>
    </row>
    <row r="470" ht="14.25" customHeight="1">
      <c r="A470" s="20"/>
      <c r="B470" s="20"/>
      <c r="C470" s="20"/>
      <c r="D470" s="20"/>
      <c r="E470" s="20"/>
      <c r="F470" s="20"/>
    </row>
    <row r="471" ht="14.25" customHeight="1">
      <c r="A471" s="20"/>
      <c r="B471" s="20"/>
      <c r="C471" s="20"/>
      <c r="D471" s="20"/>
      <c r="E471" s="20"/>
      <c r="F471" s="20"/>
    </row>
    <row r="472" ht="14.25" customHeight="1">
      <c r="A472" s="20"/>
      <c r="B472" s="20"/>
      <c r="C472" s="20"/>
      <c r="D472" s="20"/>
      <c r="E472" s="20"/>
      <c r="F472" s="20"/>
    </row>
    <row r="473" ht="14.25" customHeight="1">
      <c r="A473" s="20"/>
      <c r="B473" s="20"/>
      <c r="C473" s="20"/>
      <c r="D473" s="20"/>
      <c r="E473" s="20"/>
      <c r="F473" s="20"/>
    </row>
    <row r="474" ht="14.25" customHeight="1">
      <c r="A474" s="20"/>
      <c r="B474" s="20"/>
      <c r="C474" s="20"/>
      <c r="D474" s="20"/>
      <c r="E474" s="20"/>
      <c r="F474" s="20"/>
    </row>
    <row r="475" ht="14.25" customHeight="1">
      <c r="A475" s="20"/>
      <c r="B475" s="20"/>
      <c r="C475" s="20"/>
      <c r="D475" s="20"/>
      <c r="E475" s="20"/>
      <c r="F475" s="20"/>
    </row>
    <row r="476" ht="14.25" customHeight="1">
      <c r="A476" s="20"/>
      <c r="B476" s="20"/>
      <c r="C476" s="20"/>
      <c r="D476" s="20"/>
      <c r="E476" s="20"/>
      <c r="F476" s="20"/>
    </row>
    <row r="477" ht="14.25" customHeight="1">
      <c r="A477" s="20"/>
      <c r="B477" s="20"/>
      <c r="C477" s="20"/>
      <c r="D477" s="20"/>
      <c r="E477" s="20"/>
      <c r="F477" s="20"/>
    </row>
    <row r="478" ht="14.25" customHeight="1">
      <c r="A478" s="20"/>
      <c r="B478" s="20"/>
      <c r="C478" s="20"/>
      <c r="D478" s="20"/>
      <c r="E478" s="20"/>
      <c r="F478" s="20"/>
    </row>
    <row r="479" ht="14.25" customHeight="1">
      <c r="A479" s="20"/>
      <c r="B479" s="20"/>
      <c r="C479" s="20"/>
      <c r="D479" s="20"/>
      <c r="E479" s="20"/>
      <c r="F479" s="20"/>
    </row>
    <row r="480" ht="14.25" customHeight="1">
      <c r="A480" s="20"/>
      <c r="B480" s="20"/>
      <c r="C480" s="20"/>
      <c r="D480" s="20"/>
      <c r="E480" s="20"/>
      <c r="F480" s="20"/>
    </row>
    <row r="481" ht="14.25" customHeight="1">
      <c r="A481" s="20"/>
      <c r="B481" s="20"/>
      <c r="C481" s="20"/>
      <c r="D481" s="20"/>
      <c r="E481" s="20"/>
      <c r="F481" s="20"/>
    </row>
    <row r="482" ht="14.25" customHeight="1">
      <c r="A482" s="20"/>
      <c r="B482" s="20"/>
      <c r="C482" s="20"/>
      <c r="D482" s="20"/>
      <c r="E482" s="20"/>
      <c r="F482" s="20"/>
    </row>
    <row r="483" ht="14.25" customHeight="1">
      <c r="A483" s="20"/>
      <c r="B483" s="20"/>
      <c r="C483" s="20"/>
      <c r="D483" s="20"/>
      <c r="E483" s="20"/>
      <c r="F483" s="20"/>
    </row>
    <row r="484" ht="14.25" customHeight="1">
      <c r="A484" s="20"/>
      <c r="B484" s="20"/>
      <c r="C484" s="20"/>
      <c r="D484" s="20"/>
      <c r="E484" s="20"/>
      <c r="F484" s="20"/>
    </row>
    <row r="485" ht="14.25" customHeight="1">
      <c r="A485" s="20"/>
      <c r="B485" s="20"/>
      <c r="C485" s="20"/>
      <c r="D485" s="20"/>
      <c r="E485" s="20"/>
      <c r="F485" s="20"/>
    </row>
    <row r="486" ht="14.25" customHeight="1">
      <c r="A486" s="20"/>
      <c r="B486" s="20"/>
      <c r="C486" s="20"/>
      <c r="D486" s="20"/>
      <c r="E486" s="20"/>
      <c r="F486" s="20"/>
    </row>
    <row r="487" ht="14.25" customHeight="1">
      <c r="A487" s="20"/>
      <c r="B487" s="20"/>
      <c r="C487" s="20"/>
      <c r="D487" s="20"/>
      <c r="E487" s="20"/>
      <c r="F487" s="20"/>
    </row>
    <row r="488" ht="14.25" customHeight="1">
      <c r="A488" s="20"/>
      <c r="B488" s="20"/>
      <c r="C488" s="20"/>
      <c r="D488" s="20"/>
      <c r="E488" s="20"/>
      <c r="F488" s="20"/>
    </row>
    <row r="489" ht="14.25" customHeight="1">
      <c r="A489" s="20"/>
      <c r="B489" s="20"/>
      <c r="C489" s="20"/>
      <c r="D489" s="20"/>
      <c r="E489" s="20"/>
      <c r="F489" s="20"/>
    </row>
    <row r="490" ht="14.25" customHeight="1">
      <c r="A490" s="20"/>
      <c r="B490" s="20"/>
      <c r="C490" s="20"/>
      <c r="D490" s="20"/>
      <c r="E490" s="20"/>
      <c r="F490" s="20"/>
    </row>
    <row r="491" ht="14.25" customHeight="1">
      <c r="A491" s="20"/>
      <c r="B491" s="20"/>
      <c r="C491" s="20"/>
      <c r="D491" s="20"/>
      <c r="E491" s="20"/>
      <c r="F491" s="20"/>
    </row>
    <row r="492" ht="14.25" customHeight="1">
      <c r="A492" s="20"/>
      <c r="B492" s="20"/>
      <c r="C492" s="20"/>
      <c r="D492" s="20"/>
      <c r="E492" s="20"/>
      <c r="F492" s="20"/>
    </row>
    <row r="493" ht="14.25" customHeight="1">
      <c r="A493" s="20"/>
      <c r="B493" s="20"/>
      <c r="C493" s="20"/>
      <c r="D493" s="20"/>
      <c r="E493" s="20"/>
      <c r="F493" s="20"/>
    </row>
    <row r="494" ht="14.25" customHeight="1">
      <c r="A494" s="20"/>
      <c r="B494" s="20"/>
      <c r="C494" s="20"/>
      <c r="D494" s="20"/>
      <c r="E494" s="20"/>
      <c r="F494" s="20"/>
    </row>
    <row r="495" ht="14.25" customHeight="1">
      <c r="A495" s="20"/>
      <c r="B495" s="20"/>
      <c r="C495" s="20"/>
      <c r="D495" s="20"/>
      <c r="E495" s="20"/>
      <c r="F495" s="20"/>
    </row>
    <row r="496" ht="14.25" customHeight="1">
      <c r="A496" s="20"/>
      <c r="B496" s="20"/>
      <c r="C496" s="20"/>
      <c r="D496" s="20"/>
      <c r="E496" s="20"/>
      <c r="F496" s="20"/>
    </row>
    <row r="497" ht="14.25" customHeight="1">
      <c r="A497" s="20"/>
      <c r="B497" s="20"/>
      <c r="C497" s="20"/>
      <c r="D497" s="20"/>
      <c r="E497" s="20"/>
      <c r="F497" s="20"/>
    </row>
    <row r="498" ht="14.25" customHeight="1">
      <c r="A498" s="20"/>
      <c r="B498" s="20"/>
      <c r="C498" s="20"/>
      <c r="D498" s="20"/>
      <c r="E498" s="20"/>
      <c r="F498" s="20"/>
    </row>
    <row r="499" ht="14.25" customHeight="1">
      <c r="A499" s="20"/>
      <c r="B499" s="20"/>
      <c r="C499" s="20"/>
      <c r="D499" s="20"/>
      <c r="E499" s="20"/>
      <c r="F499" s="20"/>
    </row>
    <row r="500" ht="14.25" customHeight="1">
      <c r="A500" s="20"/>
      <c r="B500" s="20"/>
      <c r="C500" s="20"/>
      <c r="D500" s="20"/>
      <c r="E500" s="20"/>
      <c r="F500" s="20"/>
    </row>
    <row r="501" ht="14.25" customHeight="1">
      <c r="A501" s="20"/>
      <c r="B501" s="20"/>
      <c r="C501" s="20"/>
      <c r="D501" s="20"/>
      <c r="E501" s="20"/>
      <c r="F501" s="20"/>
    </row>
    <row r="502" ht="14.25" customHeight="1">
      <c r="A502" s="20"/>
      <c r="B502" s="20"/>
      <c r="C502" s="20"/>
      <c r="D502" s="20"/>
      <c r="E502" s="20"/>
      <c r="F502" s="20"/>
    </row>
    <row r="503" ht="14.25" customHeight="1">
      <c r="A503" s="20"/>
      <c r="B503" s="20"/>
      <c r="C503" s="20"/>
      <c r="D503" s="20"/>
      <c r="E503" s="20"/>
      <c r="F503" s="20"/>
    </row>
    <row r="504" ht="14.25" customHeight="1">
      <c r="A504" s="20"/>
      <c r="B504" s="20"/>
      <c r="C504" s="20"/>
      <c r="D504" s="20"/>
      <c r="E504" s="20"/>
      <c r="F504" s="20"/>
    </row>
    <row r="505" ht="14.25" customHeight="1">
      <c r="A505" s="20"/>
      <c r="B505" s="20"/>
      <c r="C505" s="20"/>
      <c r="D505" s="20"/>
      <c r="E505" s="20"/>
      <c r="F505" s="20"/>
    </row>
    <row r="506" ht="14.25" customHeight="1">
      <c r="A506" s="20"/>
      <c r="B506" s="20"/>
      <c r="C506" s="20"/>
      <c r="D506" s="20"/>
      <c r="E506" s="20"/>
      <c r="F506" s="20"/>
    </row>
    <row r="507" ht="14.25" customHeight="1">
      <c r="A507" s="20"/>
      <c r="B507" s="20"/>
      <c r="C507" s="20"/>
      <c r="D507" s="20"/>
      <c r="E507" s="20"/>
      <c r="F507" s="20"/>
    </row>
    <row r="508" ht="14.25" customHeight="1">
      <c r="A508" s="20"/>
      <c r="B508" s="20"/>
      <c r="C508" s="20"/>
      <c r="D508" s="20"/>
      <c r="E508" s="20"/>
      <c r="F508" s="20"/>
    </row>
    <row r="509" ht="14.25" customHeight="1">
      <c r="A509" s="20"/>
      <c r="B509" s="20"/>
      <c r="C509" s="20"/>
      <c r="D509" s="20"/>
      <c r="E509" s="20"/>
      <c r="F509" s="20"/>
    </row>
    <row r="510" ht="14.25" customHeight="1">
      <c r="A510" s="20"/>
      <c r="B510" s="20"/>
      <c r="C510" s="20"/>
      <c r="D510" s="20"/>
      <c r="E510" s="20"/>
      <c r="F510" s="20"/>
    </row>
    <row r="511" ht="14.25" customHeight="1">
      <c r="A511" s="20"/>
      <c r="B511" s="20"/>
      <c r="C511" s="20"/>
      <c r="D511" s="20"/>
      <c r="E511" s="20"/>
      <c r="F511" s="20"/>
    </row>
    <row r="512" ht="14.25" customHeight="1">
      <c r="A512" s="20"/>
      <c r="B512" s="20"/>
      <c r="C512" s="20"/>
      <c r="D512" s="20"/>
      <c r="E512" s="20"/>
      <c r="F512" s="20"/>
    </row>
    <row r="513" ht="14.25" customHeight="1">
      <c r="A513" s="20"/>
      <c r="B513" s="20"/>
      <c r="C513" s="20"/>
      <c r="D513" s="20"/>
      <c r="E513" s="20"/>
      <c r="F513" s="20"/>
    </row>
    <row r="514" ht="14.25" customHeight="1">
      <c r="A514" s="20"/>
      <c r="B514" s="20"/>
      <c r="C514" s="20"/>
      <c r="D514" s="20"/>
      <c r="E514" s="20"/>
      <c r="F514" s="20"/>
    </row>
    <row r="515" ht="14.25" customHeight="1">
      <c r="A515" s="20"/>
      <c r="B515" s="20"/>
      <c r="C515" s="20"/>
      <c r="D515" s="20"/>
      <c r="E515" s="20"/>
      <c r="F515" s="20"/>
    </row>
    <row r="516" ht="14.25" customHeight="1">
      <c r="A516" s="20"/>
      <c r="B516" s="20"/>
      <c r="C516" s="20"/>
      <c r="D516" s="20"/>
      <c r="E516" s="20"/>
      <c r="F516" s="20"/>
    </row>
    <row r="517" ht="14.25" customHeight="1">
      <c r="A517" s="20"/>
      <c r="B517" s="20"/>
      <c r="C517" s="20"/>
      <c r="D517" s="20"/>
      <c r="E517" s="20"/>
      <c r="F517" s="20"/>
    </row>
    <row r="518" ht="14.25" customHeight="1">
      <c r="A518" s="20"/>
      <c r="B518" s="20"/>
      <c r="C518" s="20"/>
      <c r="D518" s="20"/>
      <c r="E518" s="20"/>
      <c r="F518" s="20"/>
    </row>
    <row r="519" ht="14.25" customHeight="1">
      <c r="A519" s="20"/>
      <c r="B519" s="20"/>
      <c r="C519" s="20"/>
      <c r="D519" s="20"/>
      <c r="E519" s="20"/>
      <c r="F519" s="20"/>
    </row>
    <row r="520" ht="14.25" customHeight="1">
      <c r="A520" s="20"/>
      <c r="B520" s="20"/>
      <c r="C520" s="20"/>
      <c r="D520" s="20"/>
      <c r="E520" s="20"/>
      <c r="F520" s="20"/>
    </row>
    <row r="521" ht="14.25" customHeight="1">
      <c r="A521" s="20"/>
      <c r="B521" s="20"/>
      <c r="C521" s="20"/>
      <c r="D521" s="20"/>
      <c r="E521" s="20"/>
      <c r="F521" s="20"/>
    </row>
    <row r="522" ht="14.25" customHeight="1">
      <c r="A522" s="20"/>
      <c r="B522" s="20"/>
      <c r="C522" s="20"/>
      <c r="D522" s="20"/>
      <c r="E522" s="20"/>
      <c r="F522" s="20"/>
    </row>
    <row r="523" ht="14.25" customHeight="1">
      <c r="A523" s="20"/>
      <c r="B523" s="20"/>
      <c r="C523" s="20"/>
      <c r="D523" s="20"/>
      <c r="E523" s="20"/>
      <c r="F523" s="20"/>
    </row>
    <row r="524" ht="14.25" customHeight="1">
      <c r="A524" s="20"/>
      <c r="B524" s="20"/>
      <c r="C524" s="20"/>
      <c r="D524" s="20"/>
      <c r="E524" s="20"/>
      <c r="F524" s="20"/>
    </row>
    <row r="525" ht="14.25" customHeight="1">
      <c r="A525" s="20"/>
      <c r="B525" s="20"/>
      <c r="C525" s="20"/>
      <c r="D525" s="20"/>
      <c r="E525" s="20"/>
      <c r="F525" s="20"/>
    </row>
    <row r="526" ht="14.25" customHeight="1">
      <c r="A526" s="20"/>
      <c r="B526" s="20"/>
      <c r="C526" s="20"/>
      <c r="D526" s="20"/>
      <c r="E526" s="20"/>
      <c r="F526" s="20"/>
    </row>
    <row r="527" ht="14.25" customHeight="1">
      <c r="A527" s="20"/>
      <c r="B527" s="20"/>
      <c r="C527" s="20"/>
      <c r="D527" s="20"/>
      <c r="E527" s="20"/>
      <c r="F527" s="20"/>
    </row>
    <row r="528" ht="14.25" customHeight="1">
      <c r="A528" s="20"/>
      <c r="B528" s="20"/>
      <c r="C528" s="20"/>
      <c r="D528" s="20"/>
      <c r="E528" s="20"/>
      <c r="F528" s="20"/>
    </row>
    <row r="529" ht="14.25" customHeight="1">
      <c r="A529" s="20"/>
      <c r="B529" s="20"/>
      <c r="C529" s="20"/>
      <c r="D529" s="20"/>
      <c r="E529" s="20"/>
      <c r="F529" s="20"/>
    </row>
    <row r="530" ht="14.25" customHeight="1">
      <c r="A530" s="20"/>
      <c r="B530" s="20"/>
      <c r="C530" s="20"/>
      <c r="D530" s="20"/>
      <c r="E530" s="20"/>
      <c r="F530" s="20"/>
    </row>
    <row r="531" ht="14.25" customHeight="1">
      <c r="A531" s="20"/>
      <c r="B531" s="20"/>
      <c r="C531" s="20"/>
      <c r="D531" s="20"/>
      <c r="E531" s="20"/>
      <c r="F531" s="20"/>
    </row>
    <row r="532" ht="14.25" customHeight="1">
      <c r="A532" s="20"/>
      <c r="B532" s="20"/>
      <c r="C532" s="20"/>
      <c r="D532" s="20"/>
      <c r="E532" s="20"/>
      <c r="F532" s="20"/>
    </row>
    <row r="533" ht="14.25" customHeight="1">
      <c r="A533" s="20"/>
      <c r="B533" s="20"/>
      <c r="C533" s="20"/>
      <c r="D533" s="20"/>
      <c r="E533" s="20"/>
      <c r="F533" s="20"/>
    </row>
    <row r="534" ht="14.25" customHeight="1">
      <c r="A534" s="20"/>
      <c r="B534" s="20"/>
      <c r="C534" s="20"/>
      <c r="D534" s="20"/>
      <c r="E534" s="20"/>
      <c r="F534" s="20"/>
    </row>
    <row r="535" ht="14.25" customHeight="1">
      <c r="A535" s="20"/>
      <c r="B535" s="20"/>
      <c r="C535" s="20"/>
      <c r="D535" s="20"/>
      <c r="E535" s="20"/>
      <c r="F535" s="20"/>
    </row>
    <row r="536" ht="14.25" customHeight="1">
      <c r="A536" s="20"/>
      <c r="B536" s="20"/>
      <c r="C536" s="20"/>
      <c r="D536" s="20"/>
      <c r="E536" s="20"/>
      <c r="F536" s="20"/>
    </row>
    <row r="537" ht="14.25" customHeight="1">
      <c r="A537" s="20"/>
      <c r="B537" s="20"/>
      <c r="C537" s="20"/>
      <c r="D537" s="20"/>
      <c r="E537" s="20"/>
      <c r="F537" s="20"/>
    </row>
    <row r="538" ht="14.25" customHeight="1">
      <c r="A538" s="20"/>
      <c r="B538" s="20"/>
      <c r="C538" s="20"/>
      <c r="D538" s="20"/>
      <c r="E538" s="20"/>
      <c r="F538" s="20"/>
    </row>
    <row r="539" ht="14.25" customHeight="1">
      <c r="A539" s="20"/>
      <c r="B539" s="20"/>
      <c r="C539" s="20"/>
      <c r="D539" s="20"/>
      <c r="E539" s="20"/>
      <c r="F539" s="20"/>
    </row>
    <row r="540" ht="14.25" customHeight="1">
      <c r="A540" s="20"/>
      <c r="B540" s="20"/>
      <c r="C540" s="20"/>
      <c r="D540" s="20"/>
      <c r="E540" s="20"/>
      <c r="F540" s="20"/>
    </row>
    <row r="541" ht="14.25" customHeight="1">
      <c r="A541" s="20"/>
      <c r="B541" s="20"/>
      <c r="C541" s="20"/>
      <c r="D541" s="20"/>
      <c r="E541" s="20"/>
      <c r="F541" s="20"/>
    </row>
    <row r="542" ht="14.25" customHeight="1">
      <c r="A542" s="20"/>
      <c r="B542" s="20"/>
      <c r="C542" s="20"/>
      <c r="D542" s="20"/>
      <c r="E542" s="20"/>
      <c r="F542" s="20"/>
    </row>
    <row r="543" ht="14.25" customHeight="1">
      <c r="A543" s="20"/>
      <c r="B543" s="20"/>
      <c r="C543" s="20"/>
      <c r="D543" s="20"/>
      <c r="E543" s="20"/>
      <c r="F543" s="20"/>
    </row>
    <row r="544" ht="14.25" customHeight="1">
      <c r="A544" s="20"/>
      <c r="B544" s="20"/>
      <c r="C544" s="20"/>
      <c r="D544" s="20"/>
      <c r="E544" s="20"/>
      <c r="F544" s="20"/>
    </row>
    <row r="545" ht="14.25" customHeight="1">
      <c r="A545" s="20"/>
      <c r="B545" s="20"/>
      <c r="C545" s="20"/>
      <c r="D545" s="20"/>
      <c r="E545" s="20"/>
      <c r="F545" s="20"/>
    </row>
    <row r="546" ht="14.25" customHeight="1">
      <c r="A546" s="20"/>
      <c r="B546" s="20"/>
      <c r="C546" s="20"/>
      <c r="D546" s="20"/>
      <c r="E546" s="20"/>
      <c r="F546" s="20"/>
    </row>
    <row r="547" ht="14.25" customHeight="1">
      <c r="A547" s="20"/>
      <c r="B547" s="20"/>
      <c r="C547" s="20"/>
      <c r="D547" s="20"/>
      <c r="E547" s="20"/>
      <c r="F547" s="20"/>
    </row>
    <row r="548" ht="14.25" customHeight="1">
      <c r="A548" s="20"/>
      <c r="B548" s="20"/>
      <c r="C548" s="20"/>
      <c r="D548" s="20"/>
      <c r="E548" s="20"/>
      <c r="F548" s="20"/>
    </row>
    <row r="549" ht="14.25" customHeight="1">
      <c r="A549" s="20"/>
      <c r="B549" s="20"/>
      <c r="C549" s="20"/>
      <c r="D549" s="20"/>
      <c r="E549" s="20"/>
      <c r="F549" s="20"/>
    </row>
    <row r="550" ht="14.25" customHeight="1">
      <c r="A550" s="20"/>
      <c r="B550" s="20"/>
      <c r="C550" s="20"/>
      <c r="D550" s="20"/>
      <c r="E550" s="20"/>
      <c r="F550" s="20"/>
    </row>
    <row r="551" ht="14.25" customHeight="1">
      <c r="A551" s="20"/>
      <c r="B551" s="20"/>
      <c r="C551" s="20"/>
      <c r="D551" s="20"/>
      <c r="E551" s="20"/>
      <c r="F551" s="20"/>
    </row>
    <row r="552" ht="14.25" customHeight="1">
      <c r="A552" s="20"/>
      <c r="B552" s="20"/>
      <c r="C552" s="20"/>
      <c r="D552" s="20"/>
      <c r="E552" s="20"/>
      <c r="F552" s="20"/>
    </row>
    <row r="553" ht="14.25" customHeight="1">
      <c r="A553" s="20"/>
      <c r="B553" s="20"/>
      <c r="C553" s="20"/>
      <c r="D553" s="20"/>
      <c r="E553" s="20"/>
      <c r="F553" s="20"/>
    </row>
    <row r="554" ht="14.25" customHeight="1">
      <c r="A554" s="20"/>
      <c r="B554" s="20"/>
      <c r="C554" s="20"/>
      <c r="D554" s="20"/>
      <c r="E554" s="20"/>
      <c r="F554" s="20"/>
    </row>
    <row r="555" ht="14.25" customHeight="1">
      <c r="A555" s="20"/>
      <c r="B555" s="20"/>
      <c r="C555" s="20"/>
      <c r="D555" s="20"/>
      <c r="E555" s="20"/>
      <c r="F555" s="20"/>
    </row>
    <row r="556" ht="14.25" customHeight="1">
      <c r="A556" s="20"/>
      <c r="B556" s="20"/>
      <c r="C556" s="20"/>
      <c r="D556" s="20"/>
      <c r="E556" s="20"/>
      <c r="F556" s="20"/>
    </row>
    <row r="557" ht="14.25" customHeight="1">
      <c r="A557" s="20"/>
      <c r="B557" s="20"/>
      <c r="C557" s="20"/>
      <c r="D557" s="20"/>
      <c r="E557" s="20"/>
      <c r="F557" s="20"/>
    </row>
    <row r="558" ht="14.25" customHeight="1">
      <c r="A558" s="20"/>
      <c r="B558" s="20"/>
      <c r="C558" s="20"/>
      <c r="D558" s="20"/>
      <c r="E558" s="20"/>
      <c r="F558" s="20"/>
    </row>
    <row r="559" ht="14.25" customHeight="1">
      <c r="A559" s="20"/>
      <c r="B559" s="20"/>
      <c r="C559" s="20"/>
      <c r="D559" s="20"/>
      <c r="E559" s="20"/>
      <c r="F559" s="20"/>
    </row>
    <row r="560" ht="14.25" customHeight="1">
      <c r="A560" s="20"/>
      <c r="B560" s="20"/>
      <c r="C560" s="20"/>
      <c r="D560" s="20"/>
      <c r="E560" s="20"/>
      <c r="F560" s="20"/>
    </row>
    <row r="561" ht="14.25" customHeight="1">
      <c r="A561" s="20"/>
      <c r="B561" s="20"/>
      <c r="C561" s="20"/>
      <c r="D561" s="20"/>
      <c r="E561" s="20"/>
      <c r="F561" s="20"/>
    </row>
    <row r="562" ht="14.25" customHeight="1">
      <c r="A562" s="20"/>
      <c r="B562" s="20"/>
      <c r="C562" s="20"/>
      <c r="D562" s="20"/>
      <c r="E562" s="20"/>
      <c r="F562" s="20"/>
    </row>
    <row r="563" ht="14.25" customHeight="1">
      <c r="A563" s="20"/>
      <c r="B563" s="20"/>
      <c r="C563" s="20"/>
      <c r="D563" s="20"/>
      <c r="E563" s="20"/>
      <c r="F563" s="20"/>
    </row>
    <row r="564" ht="14.25" customHeight="1">
      <c r="A564" s="20"/>
      <c r="B564" s="20"/>
      <c r="C564" s="20"/>
      <c r="D564" s="20"/>
      <c r="E564" s="20"/>
      <c r="F564" s="20"/>
    </row>
    <row r="565" ht="14.25" customHeight="1">
      <c r="A565" s="20"/>
      <c r="B565" s="20"/>
      <c r="C565" s="20"/>
      <c r="D565" s="20"/>
      <c r="E565" s="20"/>
      <c r="F565" s="20"/>
    </row>
    <row r="566" ht="14.25" customHeight="1">
      <c r="A566" s="20"/>
      <c r="B566" s="20"/>
      <c r="C566" s="20"/>
      <c r="D566" s="20"/>
      <c r="E566" s="20"/>
      <c r="F566" s="20"/>
    </row>
    <row r="567" ht="14.25" customHeight="1">
      <c r="A567" s="20"/>
      <c r="B567" s="20"/>
      <c r="C567" s="20"/>
      <c r="D567" s="20"/>
      <c r="E567" s="20"/>
      <c r="F567" s="20"/>
    </row>
    <row r="568" ht="14.25" customHeight="1">
      <c r="A568" s="20"/>
      <c r="B568" s="20"/>
      <c r="C568" s="20"/>
      <c r="D568" s="20"/>
      <c r="E568" s="20"/>
      <c r="F568" s="20"/>
    </row>
    <row r="569" ht="14.25" customHeight="1">
      <c r="A569" s="20"/>
      <c r="B569" s="20"/>
      <c r="C569" s="20"/>
      <c r="D569" s="20"/>
      <c r="E569" s="20"/>
      <c r="F569" s="20"/>
    </row>
    <row r="570" ht="14.25" customHeight="1">
      <c r="A570" s="20"/>
      <c r="B570" s="20"/>
      <c r="C570" s="20"/>
      <c r="D570" s="20"/>
      <c r="E570" s="20"/>
      <c r="F570" s="20"/>
    </row>
    <row r="571" ht="14.25" customHeight="1">
      <c r="A571" s="20"/>
      <c r="B571" s="20"/>
      <c r="C571" s="20"/>
      <c r="D571" s="20"/>
      <c r="E571" s="20"/>
      <c r="F571" s="20"/>
    </row>
    <row r="572" ht="14.25" customHeight="1">
      <c r="A572" s="20"/>
      <c r="B572" s="20"/>
      <c r="C572" s="20"/>
      <c r="D572" s="20"/>
      <c r="E572" s="20"/>
      <c r="F572" s="20"/>
    </row>
    <row r="573" ht="14.25" customHeight="1">
      <c r="A573" s="20"/>
      <c r="B573" s="20"/>
      <c r="C573" s="20"/>
      <c r="D573" s="20"/>
      <c r="E573" s="20"/>
      <c r="F573" s="20"/>
    </row>
    <row r="574" ht="14.25" customHeight="1">
      <c r="A574" s="20"/>
      <c r="B574" s="20"/>
      <c r="C574" s="20"/>
      <c r="D574" s="20"/>
      <c r="E574" s="20"/>
      <c r="F574" s="20"/>
    </row>
    <row r="575" ht="14.25" customHeight="1">
      <c r="A575" s="20"/>
      <c r="B575" s="20"/>
      <c r="C575" s="20"/>
      <c r="D575" s="20"/>
      <c r="E575" s="20"/>
      <c r="F575" s="20"/>
    </row>
    <row r="576" ht="14.25" customHeight="1">
      <c r="A576" s="20"/>
      <c r="B576" s="20"/>
      <c r="C576" s="20"/>
      <c r="D576" s="20"/>
      <c r="E576" s="20"/>
      <c r="F576" s="20"/>
    </row>
    <row r="577" ht="14.25" customHeight="1">
      <c r="A577" s="20"/>
      <c r="B577" s="20"/>
      <c r="C577" s="20"/>
      <c r="D577" s="20"/>
      <c r="E577" s="20"/>
      <c r="F577" s="20"/>
    </row>
    <row r="578" ht="14.25" customHeight="1">
      <c r="A578" s="20"/>
      <c r="B578" s="20"/>
      <c r="C578" s="20"/>
      <c r="D578" s="20"/>
      <c r="E578" s="20"/>
      <c r="F578" s="20"/>
    </row>
    <row r="579" ht="14.25" customHeight="1">
      <c r="A579" s="20"/>
      <c r="B579" s="20"/>
      <c r="C579" s="20"/>
      <c r="D579" s="20"/>
      <c r="E579" s="20"/>
      <c r="F579" s="20"/>
    </row>
    <row r="580" ht="14.25" customHeight="1">
      <c r="A580" s="20"/>
      <c r="B580" s="20"/>
      <c r="C580" s="20"/>
      <c r="D580" s="20"/>
      <c r="E580" s="20"/>
      <c r="F580" s="20"/>
    </row>
    <row r="581" ht="14.25" customHeight="1">
      <c r="A581" s="20"/>
      <c r="B581" s="20"/>
      <c r="C581" s="20"/>
      <c r="D581" s="20"/>
      <c r="E581" s="20"/>
      <c r="F581" s="20"/>
    </row>
    <row r="582" ht="14.25" customHeight="1">
      <c r="A582" s="20"/>
      <c r="B582" s="20"/>
      <c r="C582" s="20"/>
      <c r="D582" s="20"/>
      <c r="E582" s="20"/>
      <c r="F582" s="20"/>
    </row>
    <row r="583" ht="14.25" customHeight="1">
      <c r="A583" s="20"/>
      <c r="B583" s="20"/>
      <c r="C583" s="20"/>
      <c r="D583" s="20"/>
      <c r="E583" s="20"/>
      <c r="F583" s="20"/>
    </row>
    <row r="584" ht="14.25" customHeight="1">
      <c r="A584" s="20"/>
      <c r="B584" s="20"/>
      <c r="C584" s="20"/>
      <c r="D584" s="20"/>
      <c r="E584" s="20"/>
      <c r="F584" s="20"/>
    </row>
    <row r="585" ht="14.25" customHeight="1">
      <c r="A585" s="20"/>
      <c r="B585" s="20"/>
      <c r="C585" s="20"/>
      <c r="D585" s="20"/>
      <c r="E585" s="20"/>
      <c r="F585" s="20"/>
    </row>
    <row r="586" ht="14.25" customHeight="1">
      <c r="A586" s="20"/>
      <c r="B586" s="20"/>
      <c r="C586" s="20"/>
      <c r="D586" s="20"/>
      <c r="E586" s="20"/>
      <c r="F586" s="20"/>
    </row>
    <row r="587" ht="14.25" customHeight="1">
      <c r="A587" s="20"/>
      <c r="B587" s="20"/>
      <c r="C587" s="20"/>
      <c r="D587" s="20"/>
      <c r="E587" s="20"/>
      <c r="F587" s="20"/>
    </row>
    <row r="588" ht="14.25" customHeight="1">
      <c r="A588" s="20"/>
      <c r="B588" s="20"/>
      <c r="C588" s="20"/>
      <c r="D588" s="20"/>
      <c r="E588" s="20"/>
      <c r="F588" s="20"/>
    </row>
    <row r="589" ht="14.25" customHeight="1">
      <c r="A589" s="20"/>
      <c r="B589" s="20"/>
      <c r="C589" s="20"/>
      <c r="D589" s="20"/>
      <c r="E589" s="20"/>
      <c r="F589" s="20"/>
    </row>
    <row r="590" ht="14.25" customHeight="1">
      <c r="A590" s="20"/>
      <c r="B590" s="20"/>
      <c r="C590" s="20"/>
      <c r="D590" s="20"/>
      <c r="E590" s="20"/>
      <c r="F590" s="20"/>
    </row>
    <row r="591" ht="14.25" customHeight="1">
      <c r="A591" s="20"/>
      <c r="B591" s="20"/>
      <c r="C591" s="20"/>
      <c r="D591" s="20"/>
      <c r="E591" s="20"/>
      <c r="F591" s="20"/>
    </row>
    <row r="592" ht="14.25" customHeight="1">
      <c r="A592" s="20"/>
      <c r="B592" s="20"/>
      <c r="C592" s="20"/>
      <c r="D592" s="20"/>
      <c r="E592" s="20"/>
      <c r="F592" s="20"/>
    </row>
    <row r="593" ht="14.25" customHeight="1">
      <c r="A593" s="20"/>
      <c r="B593" s="20"/>
      <c r="C593" s="20"/>
      <c r="D593" s="20"/>
      <c r="E593" s="20"/>
      <c r="F593" s="20"/>
    </row>
    <row r="594" ht="14.25" customHeight="1">
      <c r="A594" s="20"/>
      <c r="B594" s="20"/>
      <c r="C594" s="20"/>
      <c r="D594" s="20"/>
      <c r="E594" s="20"/>
      <c r="F594" s="20"/>
    </row>
    <row r="595" ht="14.25" customHeight="1">
      <c r="A595" s="20"/>
      <c r="B595" s="20"/>
      <c r="C595" s="20"/>
      <c r="D595" s="20"/>
      <c r="E595" s="20"/>
      <c r="F595" s="20"/>
    </row>
    <row r="596" ht="14.25" customHeight="1">
      <c r="A596" s="20"/>
      <c r="B596" s="20"/>
      <c r="C596" s="20"/>
      <c r="D596" s="20"/>
      <c r="E596" s="20"/>
      <c r="F596" s="20"/>
    </row>
    <row r="597" ht="14.25" customHeight="1">
      <c r="A597" s="20"/>
      <c r="B597" s="20"/>
      <c r="C597" s="20"/>
      <c r="D597" s="20"/>
      <c r="E597" s="20"/>
      <c r="F597" s="20"/>
    </row>
    <row r="598" ht="14.25" customHeight="1">
      <c r="A598" s="20"/>
      <c r="B598" s="20"/>
      <c r="C598" s="20"/>
      <c r="D598" s="20"/>
      <c r="E598" s="20"/>
      <c r="F598" s="20"/>
    </row>
    <row r="599" ht="14.25" customHeight="1">
      <c r="A599" s="20"/>
      <c r="B599" s="20"/>
      <c r="C599" s="20"/>
      <c r="D599" s="20"/>
      <c r="E599" s="20"/>
      <c r="F599" s="20"/>
    </row>
    <row r="600" ht="14.25" customHeight="1">
      <c r="A600" s="20"/>
      <c r="B600" s="20"/>
      <c r="C600" s="20"/>
      <c r="D600" s="20"/>
      <c r="E600" s="20"/>
      <c r="F600" s="20"/>
    </row>
    <row r="601" ht="14.25" customHeight="1">
      <c r="A601" s="20"/>
      <c r="B601" s="20"/>
      <c r="C601" s="20"/>
      <c r="D601" s="20"/>
      <c r="E601" s="20"/>
      <c r="F601" s="20"/>
    </row>
    <row r="602" ht="14.25" customHeight="1">
      <c r="A602" s="20"/>
      <c r="B602" s="20"/>
      <c r="C602" s="20"/>
      <c r="D602" s="20"/>
      <c r="E602" s="20"/>
      <c r="F602" s="20"/>
    </row>
    <row r="603" ht="14.25" customHeight="1">
      <c r="A603" s="20"/>
      <c r="B603" s="20"/>
      <c r="C603" s="20"/>
      <c r="D603" s="20"/>
      <c r="E603" s="20"/>
      <c r="F603" s="20"/>
    </row>
    <row r="604" ht="14.25" customHeight="1">
      <c r="A604" s="20"/>
      <c r="B604" s="20"/>
      <c r="C604" s="20"/>
      <c r="D604" s="20"/>
      <c r="E604" s="20"/>
      <c r="F604" s="20"/>
    </row>
    <row r="605" ht="14.25" customHeight="1">
      <c r="A605" s="20"/>
      <c r="B605" s="20"/>
      <c r="C605" s="20"/>
      <c r="D605" s="20"/>
      <c r="E605" s="20"/>
      <c r="F605" s="20"/>
    </row>
    <row r="606" ht="14.25" customHeight="1">
      <c r="A606" s="20"/>
      <c r="B606" s="20"/>
      <c r="C606" s="20"/>
      <c r="D606" s="20"/>
      <c r="E606" s="20"/>
      <c r="F606" s="20"/>
    </row>
    <row r="607" ht="14.25" customHeight="1">
      <c r="A607" s="20"/>
      <c r="B607" s="20"/>
      <c r="C607" s="20"/>
      <c r="D607" s="20"/>
      <c r="E607" s="20"/>
      <c r="F607" s="20"/>
    </row>
    <row r="608" ht="14.25" customHeight="1">
      <c r="A608" s="20"/>
      <c r="B608" s="20"/>
      <c r="C608" s="20"/>
      <c r="D608" s="20"/>
      <c r="E608" s="20"/>
      <c r="F608" s="20"/>
    </row>
    <row r="609" ht="14.25" customHeight="1">
      <c r="A609" s="20"/>
      <c r="B609" s="20"/>
      <c r="C609" s="20"/>
      <c r="D609" s="20"/>
      <c r="E609" s="20"/>
      <c r="F609" s="20"/>
    </row>
    <row r="610" ht="14.25" customHeight="1">
      <c r="A610" s="20"/>
      <c r="B610" s="20"/>
      <c r="C610" s="20"/>
      <c r="D610" s="20"/>
      <c r="E610" s="20"/>
      <c r="F610" s="20"/>
    </row>
    <row r="611" ht="14.25" customHeight="1">
      <c r="A611" s="20"/>
      <c r="B611" s="20"/>
      <c r="C611" s="20"/>
      <c r="D611" s="20"/>
      <c r="E611" s="20"/>
      <c r="F611" s="20"/>
    </row>
    <row r="612" ht="14.25" customHeight="1">
      <c r="A612" s="20"/>
      <c r="B612" s="20"/>
      <c r="C612" s="20"/>
      <c r="D612" s="20"/>
      <c r="E612" s="20"/>
      <c r="F612" s="20"/>
    </row>
    <row r="613" ht="14.25" customHeight="1">
      <c r="A613" s="20"/>
      <c r="B613" s="20"/>
      <c r="C613" s="20"/>
      <c r="D613" s="20"/>
      <c r="E613" s="20"/>
      <c r="F613" s="20"/>
    </row>
    <row r="614" ht="14.25" customHeight="1">
      <c r="A614" s="20"/>
      <c r="B614" s="20"/>
      <c r="C614" s="20"/>
      <c r="D614" s="20"/>
      <c r="E614" s="20"/>
      <c r="F614" s="20"/>
    </row>
    <row r="615" ht="14.25" customHeight="1">
      <c r="A615" s="20"/>
      <c r="B615" s="20"/>
      <c r="C615" s="20"/>
      <c r="D615" s="20"/>
      <c r="E615" s="20"/>
      <c r="F615" s="20"/>
    </row>
    <row r="616" ht="14.25" customHeight="1">
      <c r="A616" s="20"/>
      <c r="B616" s="20"/>
      <c r="C616" s="20"/>
      <c r="D616" s="20"/>
      <c r="E616" s="20"/>
      <c r="F616" s="20"/>
    </row>
    <row r="617" ht="14.25" customHeight="1">
      <c r="A617" s="20"/>
      <c r="B617" s="20"/>
      <c r="C617" s="20"/>
      <c r="D617" s="20"/>
      <c r="E617" s="20"/>
      <c r="F617" s="20"/>
    </row>
    <row r="618" ht="14.25" customHeight="1">
      <c r="A618" s="20"/>
      <c r="B618" s="20"/>
      <c r="C618" s="20"/>
      <c r="D618" s="20"/>
      <c r="E618" s="20"/>
      <c r="F618" s="20"/>
    </row>
    <row r="619" ht="14.25" customHeight="1">
      <c r="A619" s="20"/>
      <c r="B619" s="20"/>
      <c r="C619" s="20"/>
      <c r="D619" s="20"/>
      <c r="E619" s="20"/>
      <c r="F619" s="20"/>
    </row>
    <row r="620" ht="14.25" customHeight="1">
      <c r="A620" s="20"/>
      <c r="B620" s="20"/>
      <c r="C620" s="20"/>
      <c r="D620" s="20"/>
      <c r="E620" s="20"/>
      <c r="F620" s="20"/>
    </row>
    <row r="621" ht="14.25" customHeight="1">
      <c r="A621" s="20"/>
      <c r="B621" s="20"/>
      <c r="C621" s="20"/>
      <c r="D621" s="20"/>
      <c r="E621" s="20"/>
      <c r="F621" s="20"/>
    </row>
    <row r="622" ht="14.25" customHeight="1">
      <c r="A622" s="20"/>
      <c r="B622" s="20"/>
      <c r="C622" s="20"/>
      <c r="D622" s="20"/>
      <c r="E622" s="20"/>
      <c r="F622" s="20"/>
    </row>
    <row r="623" ht="14.25" customHeight="1">
      <c r="A623" s="20"/>
      <c r="B623" s="20"/>
      <c r="C623" s="20"/>
      <c r="D623" s="20"/>
      <c r="E623" s="20"/>
      <c r="F623" s="20"/>
    </row>
    <row r="624" ht="14.25" customHeight="1">
      <c r="A624" s="20"/>
      <c r="B624" s="20"/>
      <c r="C624" s="20"/>
      <c r="D624" s="20"/>
      <c r="E624" s="20"/>
      <c r="F624" s="20"/>
    </row>
    <row r="625" ht="14.25" customHeight="1">
      <c r="A625" s="20"/>
      <c r="B625" s="20"/>
      <c r="C625" s="20"/>
      <c r="D625" s="20"/>
      <c r="E625" s="20"/>
      <c r="F625" s="20"/>
    </row>
    <row r="626" ht="14.25" customHeight="1">
      <c r="A626" s="20"/>
      <c r="B626" s="20"/>
      <c r="C626" s="20"/>
      <c r="D626" s="20"/>
      <c r="E626" s="20"/>
      <c r="F626" s="20"/>
    </row>
    <row r="627" ht="14.25" customHeight="1">
      <c r="A627" s="20"/>
      <c r="B627" s="20"/>
      <c r="C627" s="20"/>
      <c r="D627" s="20"/>
      <c r="E627" s="20"/>
      <c r="F627" s="20"/>
    </row>
    <row r="628" ht="14.25" customHeight="1">
      <c r="A628" s="20"/>
      <c r="B628" s="20"/>
      <c r="C628" s="20"/>
      <c r="D628" s="20"/>
      <c r="E628" s="20"/>
      <c r="F628" s="20"/>
    </row>
    <row r="629" ht="14.25" customHeight="1">
      <c r="A629" s="20"/>
      <c r="B629" s="20"/>
      <c r="C629" s="20"/>
      <c r="D629" s="20"/>
      <c r="E629" s="20"/>
      <c r="F629" s="20"/>
    </row>
    <row r="630" ht="14.25" customHeight="1">
      <c r="A630" s="20"/>
      <c r="B630" s="20"/>
      <c r="C630" s="20"/>
      <c r="D630" s="20"/>
      <c r="E630" s="20"/>
      <c r="F630" s="20"/>
    </row>
    <row r="631" ht="14.25" customHeight="1">
      <c r="A631" s="20"/>
      <c r="B631" s="20"/>
      <c r="C631" s="20"/>
      <c r="D631" s="20"/>
      <c r="E631" s="20"/>
      <c r="F631" s="20"/>
    </row>
    <row r="632" ht="14.25" customHeight="1">
      <c r="A632" s="20"/>
      <c r="B632" s="20"/>
      <c r="C632" s="20"/>
      <c r="D632" s="20"/>
      <c r="E632" s="20"/>
      <c r="F632" s="20"/>
    </row>
    <row r="633" ht="14.25" customHeight="1">
      <c r="A633" s="20"/>
      <c r="B633" s="20"/>
      <c r="C633" s="20"/>
      <c r="D633" s="20"/>
      <c r="E633" s="20"/>
      <c r="F633" s="20"/>
    </row>
    <row r="634" ht="14.25" customHeight="1">
      <c r="A634" s="20"/>
      <c r="B634" s="20"/>
      <c r="C634" s="20"/>
      <c r="D634" s="20"/>
      <c r="E634" s="20"/>
      <c r="F634" s="20"/>
    </row>
    <row r="635" ht="14.25" customHeight="1">
      <c r="A635" s="20"/>
      <c r="B635" s="20"/>
      <c r="C635" s="20"/>
      <c r="D635" s="20"/>
      <c r="E635" s="20"/>
      <c r="F635" s="20"/>
    </row>
    <row r="636" ht="14.25" customHeight="1">
      <c r="A636" s="20"/>
      <c r="B636" s="20"/>
      <c r="C636" s="20"/>
      <c r="D636" s="20"/>
      <c r="E636" s="20"/>
      <c r="F636" s="20"/>
    </row>
    <row r="637" ht="14.25" customHeight="1">
      <c r="A637" s="20"/>
      <c r="B637" s="20"/>
      <c r="C637" s="20"/>
      <c r="D637" s="20"/>
      <c r="E637" s="20"/>
      <c r="F637" s="20"/>
    </row>
    <row r="638" ht="14.25" customHeight="1">
      <c r="A638" s="20"/>
      <c r="B638" s="20"/>
      <c r="C638" s="20"/>
      <c r="D638" s="20"/>
      <c r="E638" s="20"/>
      <c r="F638" s="20"/>
    </row>
    <row r="639" ht="14.25" customHeight="1">
      <c r="A639" s="20"/>
      <c r="B639" s="20"/>
      <c r="C639" s="20"/>
      <c r="D639" s="20"/>
      <c r="E639" s="20"/>
      <c r="F639" s="20"/>
    </row>
    <row r="640" ht="14.25" customHeight="1">
      <c r="A640" s="20"/>
      <c r="B640" s="20"/>
      <c r="C640" s="20"/>
      <c r="D640" s="20"/>
      <c r="E640" s="20"/>
      <c r="F640" s="20"/>
    </row>
    <row r="641" ht="14.25" customHeight="1">
      <c r="A641" s="20"/>
      <c r="B641" s="20"/>
      <c r="C641" s="20"/>
      <c r="D641" s="20"/>
      <c r="E641" s="20"/>
      <c r="F641" s="20"/>
    </row>
    <row r="642" ht="14.25" customHeight="1">
      <c r="A642" s="20"/>
      <c r="B642" s="20"/>
      <c r="C642" s="20"/>
      <c r="D642" s="20"/>
      <c r="E642" s="20"/>
      <c r="F642" s="20"/>
    </row>
    <row r="643" ht="14.25" customHeight="1">
      <c r="A643" s="20"/>
      <c r="B643" s="20"/>
      <c r="C643" s="20"/>
      <c r="D643" s="20"/>
      <c r="E643" s="20"/>
      <c r="F643" s="20"/>
    </row>
    <row r="644" ht="14.25" customHeight="1">
      <c r="A644" s="20"/>
      <c r="B644" s="20"/>
      <c r="C644" s="20"/>
      <c r="D644" s="20"/>
      <c r="E644" s="20"/>
      <c r="F644" s="20"/>
    </row>
    <row r="645" ht="14.25" customHeight="1">
      <c r="A645" s="20"/>
      <c r="B645" s="20"/>
      <c r="C645" s="20"/>
      <c r="D645" s="20"/>
      <c r="E645" s="20"/>
      <c r="F645" s="20"/>
    </row>
    <row r="646" ht="14.25" customHeight="1">
      <c r="A646" s="20"/>
      <c r="B646" s="20"/>
      <c r="C646" s="20"/>
      <c r="D646" s="20"/>
      <c r="E646" s="20"/>
      <c r="F646" s="20"/>
    </row>
    <row r="647" ht="14.25" customHeight="1">
      <c r="A647" s="20"/>
      <c r="B647" s="20"/>
      <c r="C647" s="20"/>
      <c r="D647" s="20"/>
      <c r="E647" s="20"/>
      <c r="F647" s="20"/>
    </row>
    <row r="648" ht="14.25" customHeight="1">
      <c r="A648" s="20"/>
      <c r="B648" s="20"/>
      <c r="C648" s="20"/>
      <c r="D648" s="20"/>
      <c r="E648" s="20"/>
      <c r="F648" s="20"/>
    </row>
    <row r="649" ht="14.25" customHeight="1">
      <c r="A649" s="20"/>
      <c r="B649" s="20"/>
      <c r="C649" s="20"/>
      <c r="D649" s="20"/>
      <c r="E649" s="20"/>
      <c r="F649" s="20"/>
    </row>
    <row r="650" ht="14.25" customHeight="1">
      <c r="A650" s="20"/>
      <c r="B650" s="20"/>
      <c r="C650" s="20"/>
      <c r="D650" s="20"/>
      <c r="E650" s="20"/>
      <c r="F650" s="20"/>
    </row>
    <row r="651" ht="14.25" customHeight="1">
      <c r="A651" s="20"/>
      <c r="B651" s="20"/>
      <c r="C651" s="20"/>
      <c r="D651" s="20"/>
      <c r="E651" s="20"/>
      <c r="F651" s="20"/>
    </row>
    <row r="652" ht="14.25" customHeight="1">
      <c r="A652" s="20"/>
      <c r="B652" s="20"/>
      <c r="C652" s="20"/>
      <c r="D652" s="20"/>
      <c r="E652" s="20"/>
      <c r="F652" s="20"/>
    </row>
    <row r="653" ht="14.25" customHeight="1">
      <c r="A653" s="20"/>
      <c r="B653" s="20"/>
      <c r="C653" s="20"/>
      <c r="D653" s="20"/>
      <c r="E653" s="20"/>
      <c r="F653" s="20"/>
    </row>
    <row r="654" ht="14.25" customHeight="1">
      <c r="A654" s="20"/>
      <c r="B654" s="20"/>
      <c r="C654" s="20"/>
      <c r="D654" s="20"/>
      <c r="E654" s="20"/>
      <c r="F654" s="20"/>
    </row>
    <row r="655" ht="14.25" customHeight="1">
      <c r="A655" s="20"/>
      <c r="B655" s="20"/>
      <c r="C655" s="20"/>
      <c r="D655" s="20"/>
      <c r="E655" s="20"/>
      <c r="F655" s="20"/>
    </row>
    <row r="656" ht="14.25" customHeight="1">
      <c r="A656" s="20"/>
      <c r="B656" s="20"/>
      <c r="C656" s="20"/>
      <c r="D656" s="20"/>
      <c r="E656" s="20"/>
      <c r="F656" s="20"/>
    </row>
    <row r="657" ht="14.25" customHeight="1">
      <c r="A657" s="20"/>
      <c r="B657" s="20"/>
      <c r="C657" s="20"/>
      <c r="D657" s="20"/>
      <c r="E657" s="20"/>
      <c r="F657" s="20"/>
    </row>
    <row r="658" ht="14.25" customHeight="1">
      <c r="A658" s="20"/>
      <c r="B658" s="20"/>
      <c r="C658" s="20"/>
      <c r="D658" s="20"/>
      <c r="E658" s="20"/>
      <c r="F658" s="20"/>
    </row>
    <row r="659" ht="14.25" customHeight="1">
      <c r="A659" s="20"/>
      <c r="B659" s="20"/>
      <c r="C659" s="20"/>
      <c r="D659" s="20"/>
      <c r="E659" s="20"/>
      <c r="F659" s="20"/>
    </row>
    <row r="660" ht="14.25" customHeight="1">
      <c r="A660" s="20"/>
      <c r="B660" s="20"/>
      <c r="C660" s="20"/>
      <c r="D660" s="20"/>
      <c r="E660" s="20"/>
      <c r="F660" s="20"/>
    </row>
    <row r="661" ht="14.25" customHeight="1">
      <c r="A661" s="20"/>
      <c r="B661" s="20"/>
      <c r="C661" s="20"/>
      <c r="D661" s="20"/>
      <c r="E661" s="20"/>
      <c r="F661" s="20"/>
    </row>
    <row r="662" ht="14.25" customHeight="1">
      <c r="A662" s="20"/>
      <c r="B662" s="20"/>
      <c r="C662" s="20"/>
      <c r="D662" s="20"/>
      <c r="E662" s="20"/>
      <c r="F662" s="20"/>
    </row>
    <row r="663" ht="14.25" customHeight="1">
      <c r="A663" s="20"/>
      <c r="B663" s="20"/>
      <c r="C663" s="20"/>
      <c r="D663" s="20"/>
      <c r="E663" s="20"/>
      <c r="F663" s="20"/>
    </row>
    <row r="664" ht="14.25" customHeight="1">
      <c r="A664" s="20"/>
      <c r="B664" s="20"/>
      <c r="C664" s="20"/>
      <c r="D664" s="20"/>
      <c r="E664" s="20"/>
      <c r="F664" s="20"/>
    </row>
    <row r="665" ht="14.25" customHeight="1">
      <c r="A665" s="20"/>
      <c r="B665" s="20"/>
      <c r="C665" s="20"/>
      <c r="D665" s="20"/>
      <c r="E665" s="20"/>
      <c r="F665" s="20"/>
    </row>
    <row r="666" ht="14.25" customHeight="1">
      <c r="A666" s="20"/>
      <c r="B666" s="20"/>
      <c r="C666" s="20"/>
      <c r="D666" s="20"/>
      <c r="E666" s="20"/>
      <c r="F666" s="20"/>
    </row>
    <row r="667" ht="14.25" customHeight="1">
      <c r="A667" s="20"/>
      <c r="B667" s="20"/>
      <c r="C667" s="20"/>
      <c r="D667" s="20"/>
      <c r="E667" s="20"/>
      <c r="F667" s="20"/>
    </row>
    <row r="668" ht="14.25" customHeight="1">
      <c r="A668" s="20"/>
      <c r="B668" s="20"/>
      <c r="C668" s="20"/>
      <c r="D668" s="20"/>
      <c r="E668" s="20"/>
      <c r="F668" s="20"/>
    </row>
    <row r="669" ht="14.25" customHeight="1">
      <c r="A669" s="20"/>
      <c r="B669" s="20"/>
      <c r="C669" s="20"/>
      <c r="D669" s="20"/>
      <c r="E669" s="20"/>
      <c r="F669" s="20"/>
    </row>
    <row r="670" ht="14.25" customHeight="1">
      <c r="A670" s="20"/>
      <c r="B670" s="20"/>
      <c r="C670" s="20"/>
      <c r="D670" s="20"/>
      <c r="E670" s="20"/>
      <c r="F670" s="20"/>
    </row>
    <row r="671" ht="14.25" customHeight="1">
      <c r="A671" s="20"/>
      <c r="B671" s="20"/>
      <c r="C671" s="20"/>
      <c r="D671" s="20"/>
      <c r="E671" s="20"/>
      <c r="F671" s="20"/>
    </row>
    <row r="672" ht="14.25" customHeight="1">
      <c r="A672" s="20"/>
      <c r="B672" s="20"/>
      <c r="C672" s="20"/>
      <c r="D672" s="20"/>
      <c r="E672" s="20"/>
      <c r="F672" s="20"/>
    </row>
    <row r="673" ht="14.25" customHeight="1">
      <c r="A673" s="20"/>
      <c r="B673" s="20"/>
      <c r="C673" s="20"/>
      <c r="D673" s="20"/>
      <c r="E673" s="20"/>
      <c r="F673" s="20"/>
    </row>
    <row r="674" ht="14.25" customHeight="1">
      <c r="A674" s="20"/>
      <c r="B674" s="20"/>
      <c r="C674" s="20"/>
      <c r="D674" s="20"/>
      <c r="E674" s="20"/>
      <c r="F674" s="20"/>
    </row>
    <row r="675" ht="14.25" customHeight="1">
      <c r="A675" s="20"/>
      <c r="B675" s="20"/>
      <c r="C675" s="20"/>
      <c r="D675" s="20"/>
      <c r="E675" s="20"/>
      <c r="F675" s="20"/>
    </row>
    <row r="676" ht="14.25" customHeight="1">
      <c r="A676" s="20"/>
      <c r="B676" s="20"/>
      <c r="C676" s="20"/>
      <c r="D676" s="20"/>
      <c r="E676" s="20"/>
      <c r="F676" s="20"/>
    </row>
    <row r="677" ht="14.25" customHeight="1">
      <c r="A677" s="20"/>
      <c r="B677" s="20"/>
      <c r="C677" s="20"/>
      <c r="D677" s="20"/>
      <c r="E677" s="20"/>
      <c r="F677" s="20"/>
    </row>
    <row r="678" ht="14.25" customHeight="1">
      <c r="A678" s="20"/>
      <c r="B678" s="20"/>
      <c r="C678" s="20"/>
      <c r="D678" s="20"/>
      <c r="E678" s="20"/>
      <c r="F678" s="20"/>
    </row>
    <row r="679" ht="14.25" customHeight="1">
      <c r="A679" s="20"/>
      <c r="B679" s="20"/>
      <c r="C679" s="20"/>
      <c r="D679" s="20"/>
      <c r="E679" s="20"/>
      <c r="F679" s="20"/>
    </row>
    <row r="680" ht="14.25" customHeight="1">
      <c r="A680" s="20"/>
      <c r="B680" s="20"/>
      <c r="C680" s="20"/>
      <c r="D680" s="20"/>
      <c r="E680" s="20"/>
      <c r="F680" s="20"/>
    </row>
    <row r="681" ht="14.25" customHeight="1">
      <c r="A681" s="20"/>
      <c r="B681" s="20"/>
      <c r="C681" s="20"/>
      <c r="D681" s="20"/>
      <c r="E681" s="20"/>
      <c r="F681" s="20"/>
    </row>
    <row r="682" ht="14.25" customHeight="1">
      <c r="A682" s="20"/>
      <c r="B682" s="20"/>
      <c r="C682" s="20"/>
      <c r="D682" s="20"/>
      <c r="E682" s="20"/>
      <c r="F682" s="20"/>
    </row>
    <row r="683" ht="14.25" customHeight="1">
      <c r="A683" s="20"/>
      <c r="B683" s="20"/>
      <c r="C683" s="20"/>
      <c r="D683" s="20"/>
      <c r="E683" s="20"/>
      <c r="F683" s="20"/>
    </row>
    <row r="684" ht="14.25" customHeight="1">
      <c r="A684" s="20"/>
      <c r="B684" s="20"/>
      <c r="C684" s="20"/>
      <c r="D684" s="20"/>
      <c r="E684" s="20"/>
      <c r="F684" s="20"/>
    </row>
    <row r="685" ht="14.25" customHeight="1">
      <c r="A685" s="20"/>
      <c r="B685" s="20"/>
      <c r="C685" s="20"/>
      <c r="D685" s="20"/>
      <c r="E685" s="20"/>
      <c r="F685" s="20"/>
    </row>
    <row r="686" ht="14.25" customHeight="1">
      <c r="A686" s="20"/>
      <c r="B686" s="20"/>
      <c r="C686" s="20"/>
      <c r="D686" s="20"/>
      <c r="E686" s="20"/>
      <c r="F686" s="20"/>
    </row>
    <row r="687" ht="14.25" customHeight="1">
      <c r="A687" s="20"/>
      <c r="B687" s="20"/>
      <c r="C687" s="20"/>
      <c r="D687" s="20"/>
      <c r="E687" s="20"/>
      <c r="F687" s="20"/>
    </row>
    <row r="688" ht="14.25" customHeight="1">
      <c r="A688" s="20"/>
      <c r="B688" s="20"/>
      <c r="C688" s="20"/>
      <c r="D688" s="20"/>
      <c r="E688" s="20"/>
      <c r="F688" s="20"/>
    </row>
    <row r="689" ht="14.25" customHeight="1">
      <c r="A689" s="20"/>
      <c r="B689" s="20"/>
      <c r="C689" s="20"/>
      <c r="D689" s="20"/>
      <c r="E689" s="20"/>
      <c r="F689" s="20"/>
    </row>
    <row r="690" ht="14.25" customHeight="1">
      <c r="A690" s="20"/>
      <c r="B690" s="20"/>
      <c r="C690" s="20"/>
      <c r="D690" s="20"/>
      <c r="E690" s="20"/>
      <c r="F690" s="20"/>
    </row>
    <row r="691" ht="14.25" customHeight="1">
      <c r="A691" s="20"/>
      <c r="B691" s="20"/>
      <c r="C691" s="20"/>
      <c r="D691" s="20"/>
      <c r="E691" s="20"/>
      <c r="F691" s="20"/>
    </row>
    <row r="692" ht="14.25" customHeight="1">
      <c r="A692" s="20"/>
      <c r="B692" s="20"/>
      <c r="C692" s="20"/>
      <c r="D692" s="20"/>
      <c r="E692" s="20"/>
      <c r="F692" s="20"/>
    </row>
    <row r="693" ht="14.25" customHeight="1">
      <c r="A693" s="20"/>
      <c r="B693" s="20"/>
      <c r="C693" s="20"/>
      <c r="D693" s="20"/>
      <c r="E693" s="20"/>
      <c r="F693" s="20"/>
    </row>
    <row r="694" ht="14.25" customHeight="1">
      <c r="A694" s="20"/>
      <c r="B694" s="20"/>
      <c r="C694" s="20"/>
      <c r="D694" s="20"/>
      <c r="E694" s="20"/>
      <c r="F694" s="20"/>
    </row>
    <row r="695" ht="14.25" customHeight="1">
      <c r="A695" s="20"/>
      <c r="B695" s="20"/>
      <c r="C695" s="20"/>
      <c r="D695" s="20"/>
      <c r="E695" s="20"/>
      <c r="F695" s="20"/>
    </row>
    <row r="696" ht="14.25" customHeight="1">
      <c r="A696" s="20"/>
      <c r="B696" s="20"/>
      <c r="C696" s="20"/>
      <c r="D696" s="20"/>
      <c r="E696" s="20"/>
      <c r="F696" s="20"/>
    </row>
    <row r="697" ht="14.25" customHeight="1">
      <c r="A697" s="20"/>
      <c r="B697" s="20"/>
      <c r="C697" s="20"/>
      <c r="D697" s="20"/>
      <c r="E697" s="20"/>
      <c r="F697" s="20"/>
    </row>
    <row r="698" ht="14.25" customHeight="1">
      <c r="A698" s="20"/>
      <c r="B698" s="20"/>
      <c r="C698" s="20"/>
      <c r="D698" s="20"/>
      <c r="E698" s="20"/>
      <c r="F698" s="20"/>
    </row>
    <row r="699" ht="14.25" customHeight="1">
      <c r="A699" s="20"/>
      <c r="B699" s="20"/>
      <c r="C699" s="20"/>
      <c r="D699" s="20"/>
      <c r="E699" s="20"/>
      <c r="F699" s="20"/>
    </row>
    <row r="700" ht="14.25" customHeight="1">
      <c r="A700" s="20"/>
      <c r="B700" s="20"/>
      <c r="C700" s="20"/>
      <c r="D700" s="20"/>
      <c r="E700" s="20"/>
      <c r="F700" s="20"/>
    </row>
    <row r="701" ht="14.25" customHeight="1">
      <c r="A701" s="20"/>
      <c r="B701" s="20"/>
      <c r="C701" s="20"/>
      <c r="D701" s="20"/>
      <c r="E701" s="20"/>
      <c r="F701" s="20"/>
    </row>
    <row r="702" ht="14.25" customHeight="1">
      <c r="A702" s="20"/>
      <c r="B702" s="20"/>
      <c r="C702" s="20"/>
      <c r="D702" s="20"/>
      <c r="E702" s="20"/>
      <c r="F702" s="20"/>
    </row>
    <row r="703" ht="14.25" customHeight="1">
      <c r="A703" s="20"/>
      <c r="B703" s="20"/>
      <c r="C703" s="20"/>
      <c r="D703" s="20"/>
      <c r="E703" s="20"/>
      <c r="F703" s="20"/>
    </row>
    <row r="704" ht="14.25" customHeight="1">
      <c r="A704" s="20"/>
      <c r="B704" s="20"/>
      <c r="C704" s="20"/>
      <c r="D704" s="20"/>
      <c r="E704" s="20"/>
      <c r="F704" s="20"/>
    </row>
    <row r="705" ht="14.25" customHeight="1">
      <c r="A705" s="20"/>
      <c r="B705" s="20"/>
      <c r="C705" s="20"/>
      <c r="D705" s="20"/>
      <c r="E705" s="20"/>
      <c r="F705" s="20"/>
    </row>
    <row r="706" ht="14.25" customHeight="1">
      <c r="A706" s="20"/>
      <c r="B706" s="20"/>
      <c r="C706" s="20"/>
      <c r="D706" s="20"/>
      <c r="E706" s="20"/>
      <c r="F706" s="20"/>
    </row>
    <row r="707" ht="14.25" customHeight="1">
      <c r="A707" s="20"/>
      <c r="B707" s="20"/>
      <c r="C707" s="20"/>
      <c r="D707" s="20"/>
      <c r="E707" s="20"/>
      <c r="F707" s="20"/>
    </row>
    <row r="708" ht="14.25" customHeight="1">
      <c r="A708" s="20"/>
      <c r="B708" s="20"/>
      <c r="C708" s="20"/>
      <c r="D708" s="20"/>
      <c r="E708" s="20"/>
      <c r="F708" s="20"/>
    </row>
    <row r="709" ht="14.25" customHeight="1">
      <c r="A709" s="20"/>
      <c r="B709" s="20"/>
      <c r="C709" s="20"/>
      <c r="D709" s="20"/>
      <c r="E709" s="20"/>
      <c r="F709" s="20"/>
    </row>
    <row r="710" ht="14.25" customHeight="1">
      <c r="A710" s="20"/>
      <c r="B710" s="20"/>
      <c r="C710" s="20"/>
      <c r="D710" s="20"/>
      <c r="E710" s="20"/>
      <c r="F710" s="20"/>
    </row>
    <row r="711" ht="14.25" customHeight="1">
      <c r="A711" s="20"/>
      <c r="B711" s="20"/>
      <c r="C711" s="20"/>
      <c r="D711" s="20"/>
      <c r="E711" s="20"/>
      <c r="F711" s="20"/>
    </row>
    <row r="712" ht="14.25" customHeight="1">
      <c r="A712" s="20"/>
      <c r="B712" s="20"/>
      <c r="C712" s="20"/>
      <c r="D712" s="20"/>
      <c r="E712" s="20"/>
      <c r="F712" s="20"/>
    </row>
    <row r="713" ht="14.25" customHeight="1">
      <c r="A713" s="20"/>
      <c r="B713" s="20"/>
      <c r="C713" s="20"/>
      <c r="D713" s="20"/>
      <c r="E713" s="20"/>
      <c r="F713" s="20"/>
    </row>
    <row r="714" ht="14.25" customHeight="1">
      <c r="A714" s="20"/>
      <c r="B714" s="20"/>
      <c r="C714" s="20"/>
      <c r="D714" s="20"/>
      <c r="E714" s="20"/>
      <c r="F714" s="20"/>
    </row>
    <row r="715" ht="14.25" customHeight="1">
      <c r="A715" s="20"/>
      <c r="B715" s="20"/>
      <c r="C715" s="20"/>
      <c r="D715" s="20"/>
      <c r="E715" s="20"/>
      <c r="F715" s="20"/>
    </row>
    <row r="716" ht="14.25" customHeight="1">
      <c r="A716" s="20"/>
      <c r="B716" s="20"/>
      <c r="C716" s="20"/>
      <c r="D716" s="20"/>
      <c r="E716" s="20"/>
      <c r="F716" s="20"/>
    </row>
    <row r="717" ht="14.25" customHeight="1">
      <c r="A717" s="20"/>
      <c r="B717" s="20"/>
      <c r="C717" s="20"/>
      <c r="D717" s="20"/>
      <c r="E717" s="20"/>
      <c r="F717" s="20"/>
    </row>
    <row r="718" ht="14.25" customHeight="1">
      <c r="A718" s="20"/>
      <c r="B718" s="20"/>
      <c r="C718" s="20"/>
      <c r="D718" s="20"/>
      <c r="E718" s="20"/>
      <c r="F718" s="20"/>
    </row>
    <row r="719" ht="14.25" customHeight="1">
      <c r="A719" s="20"/>
      <c r="B719" s="20"/>
      <c r="C719" s="20"/>
      <c r="D719" s="20"/>
      <c r="E719" s="20"/>
      <c r="F719" s="20"/>
    </row>
    <row r="720" ht="14.25" customHeight="1">
      <c r="A720" s="20"/>
      <c r="B720" s="20"/>
      <c r="C720" s="20"/>
      <c r="D720" s="20"/>
      <c r="E720" s="20"/>
      <c r="F720" s="20"/>
    </row>
    <row r="721" ht="14.25" customHeight="1">
      <c r="A721" s="20"/>
      <c r="B721" s="20"/>
      <c r="C721" s="20"/>
      <c r="D721" s="20"/>
      <c r="E721" s="20"/>
      <c r="F721" s="20"/>
    </row>
    <row r="722" ht="14.25" customHeight="1">
      <c r="A722" s="20"/>
      <c r="B722" s="20"/>
      <c r="C722" s="20"/>
      <c r="D722" s="20"/>
      <c r="E722" s="20"/>
      <c r="F722" s="20"/>
    </row>
    <row r="723" ht="14.25" customHeight="1">
      <c r="A723" s="20"/>
      <c r="B723" s="20"/>
      <c r="C723" s="20"/>
      <c r="D723" s="20"/>
      <c r="E723" s="20"/>
      <c r="F723" s="20"/>
    </row>
    <row r="724" ht="14.25" customHeight="1">
      <c r="A724" s="20"/>
      <c r="B724" s="20"/>
      <c r="C724" s="20"/>
      <c r="D724" s="20"/>
      <c r="E724" s="20"/>
      <c r="F724" s="20"/>
    </row>
    <row r="725" ht="14.25" customHeight="1">
      <c r="A725" s="20"/>
      <c r="B725" s="20"/>
      <c r="C725" s="20"/>
      <c r="D725" s="20"/>
      <c r="E725" s="20"/>
      <c r="F725" s="20"/>
    </row>
    <row r="726" ht="14.25" customHeight="1">
      <c r="A726" s="20"/>
      <c r="B726" s="20"/>
      <c r="C726" s="20"/>
      <c r="D726" s="20"/>
      <c r="E726" s="20"/>
      <c r="F726" s="20"/>
    </row>
    <row r="727" ht="14.25" customHeight="1">
      <c r="A727" s="20"/>
      <c r="B727" s="20"/>
      <c r="C727" s="20"/>
      <c r="D727" s="20"/>
      <c r="E727" s="20"/>
      <c r="F727" s="20"/>
    </row>
    <row r="728" ht="14.25" customHeight="1">
      <c r="A728" s="20"/>
      <c r="B728" s="20"/>
      <c r="C728" s="20"/>
      <c r="D728" s="20"/>
      <c r="E728" s="20"/>
      <c r="F728" s="20"/>
    </row>
    <row r="729" ht="14.25" customHeight="1">
      <c r="A729" s="20"/>
      <c r="B729" s="20"/>
      <c r="C729" s="20"/>
      <c r="D729" s="20"/>
      <c r="E729" s="20"/>
      <c r="F729" s="20"/>
    </row>
    <row r="730" ht="14.25" customHeight="1">
      <c r="A730" s="20"/>
      <c r="B730" s="20"/>
      <c r="C730" s="20"/>
      <c r="D730" s="20"/>
      <c r="E730" s="20"/>
      <c r="F730" s="20"/>
    </row>
    <row r="731" ht="14.25" customHeight="1">
      <c r="A731" s="20"/>
      <c r="B731" s="20"/>
      <c r="C731" s="20"/>
      <c r="D731" s="20"/>
      <c r="E731" s="20"/>
      <c r="F731" s="20"/>
    </row>
    <row r="732" ht="14.25" customHeight="1">
      <c r="A732" s="20"/>
      <c r="B732" s="20"/>
      <c r="C732" s="20"/>
      <c r="D732" s="20"/>
      <c r="E732" s="20"/>
      <c r="F732" s="20"/>
    </row>
    <row r="733" ht="14.25" customHeight="1">
      <c r="A733" s="20"/>
      <c r="B733" s="20"/>
      <c r="C733" s="20"/>
      <c r="D733" s="20"/>
      <c r="E733" s="20"/>
      <c r="F733" s="20"/>
    </row>
    <row r="734" ht="14.25" customHeight="1">
      <c r="A734" s="20"/>
      <c r="B734" s="20"/>
      <c r="C734" s="20"/>
      <c r="D734" s="20"/>
      <c r="E734" s="20"/>
      <c r="F734" s="20"/>
    </row>
    <row r="735" ht="14.25" customHeight="1">
      <c r="A735" s="20"/>
      <c r="B735" s="20"/>
      <c r="C735" s="20"/>
      <c r="D735" s="20"/>
      <c r="E735" s="20"/>
      <c r="F735" s="20"/>
    </row>
    <row r="736" ht="14.25" customHeight="1">
      <c r="A736" s="20"/>
      <c r="B736" s="20"/>
      <c r="C736" s="20"/>
      <c r="D736" s="20"/>
      <c r="E736" s="20"/>
      <c r="F736" s="20"/>
    </row>
    <row r="737" ht="14.25" customHeight="1">
      <c r="A737" s="20"/>
      <c r="B737" s="20"/>
      <c r="C737" s="20"/>
      <c r="D737" s="20"/>
      <c r="E737" s="20"/>
      <c r="F737" s="20"/>
    </row>
    <row r="738" ht="14.25" customHeight="1">
      <c r="A738" s="20"/>
      <c r="B738" s="20"/>
      <c r="C738" s="20"/>
      <c r="D738" s="20"/>
      <c r="E738" s="20"/>
      <c r="F738" s="20"/>
    </row>
    <row r="739" ht="14.25" customHeight="1">
      <c r="A739" s="20"/>
      <c r="B739" s="20"/>
      <c r="C739" s="20"/>
      <c r="D739" s="20"/>
      <c r="E739" s="20"/>
      <c r="F739" s="20"/>
    </row>
    <row r="740" ht="14.25" customHeight="1">
      <c r="A740" s="20"/>
      <c r="B740" s="20"/>
      <c r="C740" s="20"/>
      <c r="D740" s="20"/>
      <c r="E740" s="20"/>
      <c r="F740" s="20"/>
    </row>
    <row r="741" ht="14.25" customHeight="1">
      <c r="A741" s="20"/>
      <c r="B741" s="20"/>
      <c r="C741" s="20"/>
      <c r="D741" s="20"/>
      <c r="E741" s="20"/>
      <c r="F741" s="20"/>
    </row>
    <row r="742" ht="14.25" customHeight="1">
      <c r="A742" s="20"/>
      <c r="B742" s="20"/>
      <c r="C742" s="20"/>
      <c r="D742" s="20"/>
      <c r="E742" s="20"/>
      <c r="F742" s="20"/>
    </row>
    <row r="743" ht="14.25" customHeight="1">
      <c r="A743" s="20"/>
      <c r="B743" s="20"/>
      <c r="C743" s="20"/>
      <c r="D743" s="20"/>
      <c r="E743" s="20"/>
      <c r="F743" s="20"/>
    </row>
    <row r="744" ht="14.25" customHeight="1">
      <c r="A744" s="20"/>
      <c r="B744" s="20"/>
      <c r="C744" s="20"/>
      <c r="D744" s="20"/>
      <c r="E744" s="20"/>
      <c r="F744" s="20"/>
    </row>
    <row r="745" ht="14.25" customHeight="1">
      <c r="A745" s="20"/>
      <c r="B745" s="20"/>
      <c r="C745" s="20"/>
      <c r="D745" s="20"/>
      <c r="E745" s="20"/>
      <c r="F745" s="20"/>
    </row>
    <row r="746" ht="14.25" customHeight="1">
      <c r="A746" s="20"/>
      <c r="B746" s="20"/>
      <c r="C746" s="20"/>
      <c r="D746" s="20"/>
      <c r="E746" s="20"/>
      <c r="F746" s="20"/>
    </row>
    <row r="747" ht="14.25" customHeight="1">
      <c r="A747" s="20"/>
      <c r="B747" s="20"/>
      <c r="C747" s="20"/>
      <c r="D747" s="20"/>
      <c r="E747" s="20"/>
      <c r="F747" s="20"/>
    </row>
    <row r="748" ht="14.25" customHeight="1">
      <c r="A748" s="20"/>
      <c r="B748" s="20"/>
      <c r="C748" s="20"/>
      <c r="D748" s="20"/>
      <c r="E748" s="20"/>
      <c r="F748" s="20"/>
    </row>
    <row r="749" ht="14.25" customHeight="1">
      <c r="A749" s="20"/>
      <c r="B749" s="20"/>
      <c r="C749" s="20"/>
      <c r="D749" s="20"/>
      <c r="E749" s="20"/>
      <c r="F749" s="20"/>
    </row>
    <row r="750" ht="14.25" customHeight="1">
      <c r="A750" s="20"/>
      <c r="B750" s="20"/>
      <c r="C750" s="20"/>
      <c r="D750" s="20"/>
      <c r="E750" s="20"/>
      <c r="F750" s="20"/>
    </row>
    <row r="751" ht="14.25" customHeight="1">
      <c r="A751" s="20"/>
      <c r="B751" s="20"/>
      <c r="C751" s="20"/>
      <c r="D751" s="20"/>
      <c r="E751" s="20"/>
      <c r="F751" s="20"/>
    </row>
    <row r="752" ht="14.25" customHeight="1">
      <c r="A752" s="20"/>
      <c r="B752" s="20"/>
      <c r="C752" s="20"/>
      <c r="D752" s="20"/>
      <c r="E752" s="20"/>
      <c r="F752" s="20"/>
    </row>
    <row r="753" ht="14.25" customHeight="1">
      <c r="A753" s="20"/>
      <c r="B753" s="20"/>
      <c r="C753" s="20"/>
      <c r="D753" s="20"/>
      <c r="E753" s="20"/>
      <c r="F753" s="20"/>
    </row>
    <row r="754" ht="14.25" customHeight="1">
      <c r="A754" s="20"/>
      <c r="B754" s="20"/>
      <c r="C754" s="20"/>
      <c r="D754" s="20"/>
      <c r="E754" s="20"/>
      <c r="F754" s="20"/>
    </row>
    <row r="755" ht="14.25" customHeight="1">
      <c r="A755" s="20"/>
      <c r="B755" s="20"/>
      <c r="C755" s="20"/>
      <c r="D755" s="20"/>
      <c r="E755" s="20"/>
      <c r="F755" s="20"/>
    </row>
    <row r="756" ht="14.25" customHeight="1">
      <c r="A756" s="20"/>
      <c r="B756" s="20"/>
      <c r="C756" s="20"/>
      <c r="D756" s="20"/>
      <c r="E756" s="20"/>
      <c r="F756" s="20"/>
    </row>
    <row r="757" ht="14.25" customHeight="1">
      <c r="A757" s="20"/>
      <c r="B757" s="20"/>
      <c r="C757" s="20"/>
      <c r="D757" s="20"/>
      <c r="E757" s="20"/>
      <c r="F757" s="20"/>
    </row>
    <row r="758" ht="14.25" customHeight="1">
      <c r="A758" s="20"/>
      <c r="B758" s="20"/>
      <c r="C758" s="20"/>
      <c r="D758" s="20"/>
      <c r="E758" s="20"/>
      <c r="F758" s="20"/>
    </row>
    <row r="759" ht="14.25" customHeight="1">
      <c r="A759" s="20"/>
      <c r="B759" s="20"/>
      <c r="C759" s="20"/>
      <c r="D759" s="20"/>
      <c r="E759" s="20"/>
      <c r="F759" s="20"/>
    </row>
    <row r="760" ht="14.25" customHeight="1">
      <c r="A760" s="20"/>
      <c r="B760" s="20"/>
      <c r="C760" s="20"/>
      <c r="D760" s="20"/>
      <c r="E760" s="20"/>
      <c r="F760" s="20"/>
    </row>
    <row r="761" ht="14.25" customHeight="1">
      <c r="A761" s="20"/>
      <c r="B761" s="20"/>
      <c r="C761" s="20"/>
      <c r="D761" s="20"/>
      <c r="E761" s="20"/>
      <c r="F761" s="20"/>
    </row>
    <row r="762" ht="14.25" customHeight="1">
      <c r="A762" s="20"/>
      <c r="B762" s="20"/>
      <c r="C762" s="20"/>
      <c r="D762" s="20"/>
      <c r="E762" s="20"/>
      <c r="F762" s="20"/>
    </row>
    <row r="763" ht="14.25" customHeight="1">
      <c r="A763" s="20"/>
      <c r="B763" s="20"/>
      <c r="C763" s="20"/>
      <c r="D763" s="20"/>
      <c r="E763" s="20"/>
      <c r="F763" s="20"/>
    </row>
    <row r="764" ht="14.25" customHeight="1">
      <c r="A764" s="20"/>
      <c r="B764" s="20"/>
      <c r="C764" s="20"/>
      <c r="D764" s="20"/>
      <c r="E764" s="20"/>
      <c r="F764" s="20"/>
    </row>
    <row r="765" ht="14.25" customHeight="1">
      <c r="A765" s="20"/>
      <c r="B765" s="20"/>
      <c r="C765" s="20"/>
      <c r="D765" s="20"/>
      <c r="E765" s="20"/>
      <c r="F765" s="20"/>
    </row>
    <row r="766" ht="14.25" customHeight="1">
      <c r="A766" s="20"/>
      <c r="B766" s="20"/>
      <c r="C766" s="20"/>
      <c r="D766" s="20"/>
      <c r="E766" s="20"/>
      <c r="F766" s="20"/>
    </row>
    <row r="767" ht="14.25" customHeight="1">
      <c r="A767" s="20"/>
      <c r="B767" s="20"/>
      <c r="C767" s="20"/>
      <c r="D767" s="20"/>
      <c r="E767" s="20"/>
      <c r="F767" s="20"/>
    </row>
    <row r="768" ht="14.25" customHeight="1">
      <c r="A768" s="20"/>
      <c r="B768" s="20"/>
      <c r="C768" s="20"/>
      <c r="D768" s="20"/>
      <c r="E768" s="20"/>
      <c r="F768" s="20"/>
    </row>
    <row r="769" ht="14.25" customHeight="1">
      <c r="A769" s="20"/>
      <c r="B769" s="20"/>
      <c r="C769" s="20"/>
      <c r="D769" s="20"/>
      <c r="E769" s="20"/>
      <c r="F769" s="20"/>
    </row>
    <row r="770" ht="14.25" customHeight="1">
      <c r="A770" s="20"/>
      <c r="B770" s="20"/>
      <c r="C770" s="20"/>
      <c r="D770" s="20"/>
      <c r="E770" s="20"/>
      <c r="F770" s="20"/>
    </row>
    <row r="771" ht="14.25" customHeight="1">
      <c r="A771" s="20"/>
      <c r="B771" s="20"/>
      <c r="C771" s="20"/>
      <c r="D771" s="20"/>
      <c r="E771" s="20"/>
      <c r="F771" s="20"/>
    </row>
    <row r="772" ht="14.25" customHeight="1">
      <c r="A772" s="20"/>
      <c r="B772" s="20"/>
      <c r="C772" s="20"/>
      <c r="D772" s="20"/>
      <c r="E772" s="20"/>
      <c r="F772" s="20"/>
    </row>
    <row r="773" ht="14.25" customHeight="1">
      <c r="A773" s="20"/>
      <c r="B773" s="20"/>
      <c r="C773" s="20"/>
      <c r="D773" s="20"/>
      <c r="E773" s="20"/>
      <c r="F773" s="20"/>
    </row>
    <row r="774" ht="14.25" customHeight="1">
      <c r="A774" s="20"/>
      <c r="B774" s="20"/>
      <c r="C774" s="20"/>
      <c r="D774" s="20"/>
      <c r="E774" s="20"/>
      <c r="F774" s="20"/>
    </row>
    <row r="775" ht="14.25" customHeight="1">
      <c r="A775" s="20"/>
      <c r="B775" s="20"/>
      <c r="C775" s="20"/>
      <c r="D775" s="20"/>
      <c r="E775" s="20"/>
      <c r="F775" s="20"/>
    </row>
    <row r="776" ht="14.25" customHeight="1">
      <c r="A776" s="20"/>
      <c r="B776" s="20"/>
      <c r="C776" s="20"/>
      <c r="D776" s="20"/>
      <c r="E776" s="20"/>
      <c r="F776" s="20"/>
    </row>
    <row r="777" ht="14.25" customHeight="1">
      <c r="A777" s="20"/>
      <c r="B777" s="20"/>
      <c r="C777" s="20"/>
      <c r="D777" s="20"/>
      <c r="E777" s="20"/>
      <c r="F777" s="20"/>
    </row>
    <row r="778" ht="14.25" customHeight="1">
      <c r="A778" s="20"/>
      <c r="B778" s="20"/>
      <c r="C778" s="20"/>
      <c r="D778" s="20"/>
      <c r="E778" s="20"/>
      <c r="F778" s="20"/>
    </row>
    <row r="779" ht="14.25" customHeight="1">
      <c r="A779" s="20"/>
      <c r="B779" s="20"/>
      <c r="C779" s="20"/>
      <c r="D779" s="20"/>
      <c r="E779" s="20"/>
      <c r="F779" s="20"/>
    </row>
    <row r="780" ht="14.25" customHeight="1">
      <c r="A780" s="20"/>
      <c r="B780" s="20"/>
      <c r="C780" s="20"/>
      <c r="D780" s="20"/>
      <c r="E780" s="20"/>
      <c r="F780" s="20"/>
    </row>
    <row r="781" ht="14.25" customHeight="1">
      <c r="A781" s="20"/>
      <c r="B781" s="20"/>
      <c r="C781" s="20"/>
      <c r="D781" s="20"/>
      <c r="E781" s="20"/>
      <c r="F781" s="20"/>
    </row>
    <row r="782" ht="14.25" customHeight="1">
      <c r="A782" s="20"/>
      <c r="B782" s="20"/>
      <c r="C782" s="20"/>
      <c r="D782" s="20"/>
      <c r="E782" s="20"/>
      <c r="F782" s="20"/>
    </row>
    <row r="783" ht="14.25" customHeight="1">
      <c r="A783" s="20"/>
      <c r="B783" s="20"/>
      <c r="C783" s="20"/>
      <c r="D783" s="20"/>
      <c r="E783" s="20"/>
      <c r="F783" s="20"/>
    </row>
    <row r="784" ht="14.25" customHeight="1">
      <c r="A784" s="20"/>
      <c r="B784" s="20"/>
      <c r="C784" s="20"/>
      <c r="D784" s="20"/>
      <c r="E784" s="20"/>
      <c r="F784" s="20"/>
    </row>
    <row r="785" ht="14.25" customHeight="1">
      <c r="A785" s="20"/>
      <c r="B785" s="20"/>
      <c r="C785" s="20"/>
      <c r="D785" s="20"/>
      <c r="E785" s="20"/>
      <c r="F785" s="20"/>
    </row>
    <row r="786" ht="14.25" customHeight="1">
      <c r="A786" s="20"/>
      <c r="B786" s="20"/>
      <c r="C786" s="20"/>
      <c r="D786" s="20"/>
      <c r="E786" s="20"/>
      <c r="F786" s="20"/>
    </row>
    <row r="787" ht="14.25" customHeight="1">
      <c r="A787" s="20"/>
      <c r="B787" s="20"/>
      <c r="C787" s="20"/>
      <c r="D787" s="20"/>
      <c r="E787" s="20"/>
      <c r="F787" s="20"/>
    </row>
    <row r="788" ht="14.25" customHeight="1">
      <c r="A788" s="20"/>
      <c r="B788" s="20"/>
      <c r="C788" s="20"/>
      <c r="D788" s="20"/>
      <c r="E788" s="20"/>
      <c r="F788" s="20"/>
    </row>
    <row r="789" ht="14.25" customHeight="1">
      <c r="A789" s="20"/>
      <c r="B789" s="20"/>
      <c r="C789" s="20"/>
      <c r="D789" s="20"/>
      <c r="E789" s="20"/>
      <c r="F789" s="20"/>
    </row>
    <row r="790" ht="14.25" customHeight="1">
      <c r="A790" s="20"/>
      <c r="B790" s="20"/>
      <c r="C790" s="20"/>
      <c r="D790" s="20"/>
      <c r="E790" s="20"/>
      <c r="F790" s="20"/>
    </row>
    <row r="791" ht="14.25" customHeight="1">
      <c r="A791" s="20"/>
      <c r="B791" s="20"/>
      <c r="C791" s="20"/>
      <c r="D791" s="20"/>
      <c r="E791" s="20"/>
      <c r="F791" s="20"/>
    </row>
    <row r="792" ht="14.25" customHeight="1">
      <c r="A792" s="20"/>
      <c r="B792" s="20"/>
      <c r="C792" s="20"/>
      <c r="D792" s="20"/>
      <c r="E792" s="20"/>
      <c r="F792" s="20"/>
    </row>
    <row r="793" ht="14.25" customHeight="1">
      <c r="A793" s="20"/>
      <c r="B793" s="20"/>
      <c r="C793" s="20"/>
      <c r="D793" s="20"/>
      <c r="E793" s="20"/>
      <c r="F793" s="20"/>
    </row>
    <row r="794" ht="14.25" customHeight="1">
      <c r="A794" s="20"/>
      <c r="B794" s="20"/>
      <c r="C794" s="20"/>
      <c r="D794" s="20"/>
      <c r="E794" s="20"/>
      <c r="F794" s="20"/>
    </row>
    <row r="795" ht="14.25" customHeight="1">
      <c r="A795" s="20"/>
      <c r="B795" s="20"/>
      <c r="C795" s="20"/>
      <c r="D795" s="20"/>
      <c r="E795" s="20"/>
      <c r="F795" s="20"/>
    </row>
    <row r="796" ht="14.25" customHeight="1">
      <c r="A796" s="20"/>
      <c r="B796" s="20"/>
      <c r="C796" s="20"/>
      <c r="D796" s="20"/>
      <c r="E796" s="20"/>
      <c r="F796" s="20"/>
    </row>
    <row r="797" ht="14.25" customHeight="1">
      <c r="A797" s="20"/>
      <c r="B797" s="20"/>
      <c r="C797" s="20"/>
      <c r="D797" s="20"/>
      <c r="E797" s="20"/>
      <c r="F797" s="20"/>
    </row>
    <row r="798" ht="14.25" customHeight="1">
      <c r="A798" s="20"/>
      <c r="B798" s="20"/>
      <c r="C798" s="20"/>
      <c r="D798" s="20"/>
      <c r="E798" s="20"/>
      <c r="F798" s="20"/>
    </row>
    <row r="799" ht="14.25" customHeight="1">
      <c r="A799" s="20"/>
      <c r="B799" s="20"/>
      <c r="C799" s="20"/>
      <c r="D799" s="20"/>
      <c r="E799" s="20"/>
      <c r="F799" s="20"/>
    </row>
    <row r="800" ht="14.25" customHeight="1">
      <c r="A800" s="20"/>
      <c r="B800" s="20"/>
      <c r="C800" s="20"/>
      <c r="D800" s="20"/>
      <c r="E800" s="20"/>
      <c r="F800" s="20"/>
    </row>
    <row r="801" ht="14.25" customHeight="1">
      <c r="A801" s="20"/>
      <c r="B801" s="20"/>
      <c r="C801" s="20"/>
      <c r="D801" s="20"/>
      <c r="E801" s="20"/>
      <c r="F801" s="20"/>
    </row>
    <row r="802" ht="14.25" customHeight="1">
      <c r="A802" s="20"/>
      <c r="B802" s="20"/>
      <c r="C802" s="20"/>
      <c r="D802" s="20"/>
      <c r="E802" s="20"/>
      <c r="F802" s="20"/>
    </row>
    <row r="803" ht="14.25" customHeight="1">
      <c r="A803" s="20"/>
      <c r="B803" s="20"/>
      <c r="C803" s="20"/>
      <c r="D803" s="20"/>
      <c r="E803" s="20"/>
      <c r="F803" s="20"/>
    </row>
    <row r="804" ht="14.25" customHeight="1">
      <c r="A804" s="20"/>
      <c r="B804" s="20"/>
      <c r="C804" s="20"/>
      <c r="D804" s="20"/>
      <c r="E804" s="20"/>
      <c r="F804" s="20"/>
    </row>
    <row r="805" ht="14.25" customHeight="1">
      <c r="A805" s="20"/>
      <c r="B805" s="20"/>
      <c r="C805" s="20"/>
      <c r="D805" s="20"/>
      <c r="E805" s="20"/>
      <c r="F805" s="20"/>
    </row>
    <row r="806" ht="14.25" customHeight="1">
      <c r="A806" s="20"/>
      <c r="B806" s="20"/>
      <c r="C806" s="20"/>
      <c r="D806" s="20"/>
      <c r="E806" s="20"/>
      <c r="F806" s="20"/>
    </row>
    <row r="807" ht="14.25" customHeight="1">
      <c r="A807" s="20"/>
      <c r="B807" s="20"/>
      <c r="C807" s="20"/>
      <c r="D807" s="20"/>
      <c r="E807" s="20"/>
      <c r="F807" s="20"/>
    </row>
    <row r="808" ht="14.25" customHeight="1">
      <c r="A808" s="20"/>
      <c r="B808" s="20"/>
      <c r="C808" s="20"/>
      <c r="D808" s="20"/>
      <c r="E808" s="20"/>
      <c r="F808" s="20"/>
    </row>
    <row r="809" ht="14.25" customHeight="1">
      <c r="A809" s="20"/>
      <c r="B809" s="20"/>
      <c r="C809" s="20"/>
      <c r="D809" s="20"/>
      <c r="E809" s="20"/>
      <c r="F809" s="20"/>
    </row>
    <row r="810" ht="14.25" customHeight="1">
      <c r="A810" s="20"/>
      <c r="B810" s="20"/>
      <c r="C810" s="20"/>
      <c r="D810" s="20"/>
      <c r="E810" s="20"/>
      <c r="F810" s="20"/>
    </row>
    <row r="811" ht="14.25" customHeight="1">
      <c r="A811" s="20"/>
      <c r="B811" s="20"/>
      <c r="C811" s="20"/>
      <c r="D811" s="20"/>
      <c r="E811" s="20"/>
      <c r="F811" s="20"/>
    </row>
    <row r="812" ht="14.25" customHeight="1">
      <c r="A812" s="20"/>
      <c r="B812" s="20"/>
      <c r="C812" s="20"/>
      <c r="D812" s="20"/>
      <c r="E812" s="20"/>
      <c r="F812" s="20"/>
    </row>
    <row r="813" ht="14.25" customHeight="1">
      <c r="A813" s="20"/>
      <c r="B813" s="20"/>
      <c r="C813" s="20"/>
      <c r="D813" s="20"/>
      <c r="E813" s="20"/>
      <c r="F813" s="20"/>
    </row>
    <row r="814" ht="14.25" customHeight="1">
      <c r="A814" s="20"/>
      <c r="B814" s="20"/>
      <c r="C814" s="20"/>
      <c r="D814" s="20"/>
      <c r="E814" s="20"/>
      <c r="F814" s="20"/>
    </row>
    <row r="815" ht="14.25" customHeight="1">
      <c r="A815" s="20"/>
      <c r="B815" s="20"/>
      <c r="C815" s="20"/>
      <c r="D815" s="20"/>
      <c r="E815" s="20"/>
      <c r="F815" s="20"/>
    </row>
    <row r="816" ht="14.25" customHeight="1">
      <c r="A816" s="20"/>
      <c r="B816" s="20"/>
      <c r="C816" s="20"/>
      <c r="D816" s="20"/>
      <c r="E816" s="20"/>
      <c r="F816" s="20"/>
    </row>
    <row r="817" ht="14.25" customHeight="1">
      <c r="A817" s="20"/>
      <c r="B817" s="20"/>
      <c r="C817" s="20"/>
      <c r="D817" s="20"/>
      <c r="E817" s="20"/>
      <c r="F817" s="20"/>
    </row>
    <row r="818" ht="14.25" customHeight="1">
      <c r="A818" s="20"/>
      <c r="B818" s="20"/>
      <c r="C818" s="20"/>
      <c r="D818" s="20"/>
      <c r="E818" s="20"/>
      <c r="F818" s="20"/>
    </row>
    <row r="819" ht="14.25" customHeight="1">
      <c r="A819" s="20"/>
      <c r="B819" s="20"/>
      <c r="C819" s="20"/>
      <c r="D819" s="20"/>
      <c r="E819" s="20"/>
      <c r="F819" s="20"/>
    </row>
    <row r="820" ht="14.25" customHeight="1">
      <c r="A820" s="20"/>
      <c r="B820" s="20"/>
      <c r="C820" s="20"/>
      <c r="D820" s="20"/>
      <c r="E820" s="20"/>
      <c r="F820" s="20"/>
    </row>
    <row r="821" ht="14.25" customHeight="1">
      <c r="A821" s="20"/>
      <c r="B821" s="20"/>
      <c r="C821" s="20"/>
      <c r="D821" s="20"/>
      <c r="E821" s="20"/>
      <c r="F821" s="20"/>
    </row>
    <row r="822" ht="14.25" customHeight="1">
      <c r="A822" s="20"/>
      <c r="B822" s="20"/>
      <c r="C822" s="20"/>
      <c r="D822" s="20"/>
      <c r="E822" s="20"/>
      <c r="F822" s="20"/>
    </row>
    <row r="823" ht="14.25" customHeight="1">
      <c r="A823" s="20"/>
      <c r="B823" s="20"/>
      <c r="C823" s="20"/>
      <c r="D823" s="20"/>
      <c r="E823" s="20"/>
      <c r="F823" s="20"/>
    </row>
    <row r="824" ht="14.25" customHeight="1">
      <c r="A824" s="20"/>
      <c r="B824" s="20"/>
      <c r="C824" s="20"/>
      <c r="D824" s="20"/>
      <c r="E824" s="20"/>
      <c r="F824" s="20"/>
    </row>
    <row r="825" ht="14.25" customHeight="1">
      <c r="A825" s="20"/>
      <c r="B825" s="20"/>
      <c r="C825" s="20"/>
      <c r="D825" s="20"/>
      <c r="E825" s="20"/>
      <c r="F825" s="20"/>
    </row>
    <row r="826" ht="14.25" customHeight="1">
      <c r="A826" s="20"/>
      <c r="B826" s="20"/>
      <c r="C826" s="20"/>
      <c r="D826" s="20"/>
      <c r="E826" s="20"/>
      <c r="F826" s="20"/>
    </row>
    <row r="827" ht="14.25" customHeight="1">
      <c r="A827" s="20"/>
      <c r="B827" s="20"/>
      <c r="C827" s="20"/>
      <c r="D827" s="20"/>
      <c r="E827" s="20"/>
      <c r="F827" s="20"/>
    </row>
    <row r="828" ht="14.25" customHeight="1">
      <c r="A828" s="20"/>
      <c r="B828" s="20"/>
      <c r="C828" s="20"/>
      <c r="D828" s="20"/>
      <c r="E828" s="20"/>
      <c r="F828" s="20"/>
    </row>
    <row r="829" ht="14.25" customHeight="1">
      <c r="A829" s="20"/>
      <c r="B829" s="20"/>
      <c r="C829" s="20"/>
      <c r="D829" s="20"/>
      <c r="E829" s="20"/>
      <c r="F829" s="20"/>
    </row>
    <row r="830" ht="14.25" customHeight="1">
      <c r="A830" s="20"/>
      <c r="B830" s="20"/>
      <c r="C830" s="20"/>
      <c r="D830" s="20"/>
      <c r="E830" s="20"/>
      <c r="F830" s="20"/>
    </row>
    <row r="831" ht="14.25" customHeight="1">
      <c r="A831" s="20"/>
      <c r="B831" s="20"/>
      <c r="C831" s="20"/>
      <c r="D831" s="20"/>
      <c r="E831" s="20"/>
      <c r="F831" s="20"/>
    </row>
    <row r="832" ht="14.25" customHeight="1">
      <c r="A832" s="20"/>
      <c r="B832" s="20"/>
      <c r="C832" s="20"/>
      <c r="D832" s="20"/>
      <c r="E832" s="20"/>
      <c r="F832" s="20"/>
    </row>
    <row r="833" ht="14.25" customHeight="1">
      <c r="A833" s="20"/>
      <c r="B833" s="20"/>
      <c r="C833" s="20"/>
      <c r="D833" s="20"/>
      <c r="E833" s="20"/>
      <c r="F833" s="20"/>
    </row>
    <row r="834" ht="14.25" customHeight="1">
      <c r="A834" s="20"/>
      <c r="B834" s="20"/>
      <c r="C834" s="20"/>
      <c r="D834" s="20"/>
      <c r="E834" s="20"/>
      <c r="F834" s="20"/>
    </row>
    <row r="835" ht="14.25" customHeight="1">
      <c r="A835" s="20"/>
      <c r="B835" s="20"/>
      <c r="C835" s="20"/>
      <c r="D835" s="20"/>
      <c r="E835" s="20"/>
      <c r="F835" s="20"/>
    </row>
    <row r="836" ht="14.25" customHeight="1">
      <c r="A836" s="20"/>
      <c r="B836" s="20"/>
      <c r="C836" s="20"/>
      <c r="D836" s="20"/>
      <c r="E836" s="20"/>
      <c r="F836" s="20"/>
    </row>
    <row r="837" ht="14.25" customHeight="1">
      <c r="A837" s="20"/>
      <c r="B837" s="20"/>
      <c r="C837" s="20"/>
      <c r="D837" s="20"/>
      <c r="E837" s="20"/>
      <c r="F837" s="20"/>
    </row>
    <row r="838" ht="14.25" customHeight="1">
      <c r="A838" s="20"/>
      <c r="B838" s="20"/>
      <c r="C838" s="20"/>
      <c r="D838" s="20"/>
      <c r="E838" s="20"/>
      <c r="F838" s="20"/>
    </row>
    <row r="839" ht="14.25" customHeight="1">
      <c r="A839" s="20"/>
      <c r="B839" s="20"/>
      <c r="C839" s="20"/>
      <c r="D839" s="20"/>
      <c r="E839" s="20"/>
      <c r="F839" s="20"/>
    </row>
    <row r="840" ht="14.25" customHeight="1">
      <c r="A840" s="20"/>
      <c r="B840" s="20"/>
      <c r="C840" s="20"/>
      <c r="D840" s="20"/>
      <c r="E840" s="20"/>
      <c r="F840" s="20"/>
    </row>
    <row r="841" ht="14.25" customHeight="1">
      <c r="A841" s="20"/>
      <c r="B841" s="20"/>
      <c r="C841" s="20"/>
      <c r="D841" s="20"/>
      <c r="E841" s="20"/>
      <c r="F841" s="20"/>
    </row>
    <row r="842" ht="14.25" customHeight="1">
      <c r="A842" s="20"/>
      <c r="B842" s="20"/>
      <c r="C842" s="20"/>
      <c r="D842" s="20"/>
      <c r="E842" s="20"/>
      <c r="F842" s="20"/>
    </row>
    <row r="843" ht="14.25" customHeight="1">
      <c r="A843" s="20"/>
      <c r="B843" s="20"/>
      <c r="C843" s="20"/>
      <c r="D843" s="20"/>
      <c r="E843" s="20"/>
      <c r="F843" s="20"/>
    </row>
    <row r="844" ht="14.25" customHeight="1">
      <c r="A844" s="20"/>
      <c r="B844" s="20"/>
      <c r="C844" s="20"/>
      <c r="D844" s="20"/>
      <c r="E844" s="20"/>
      <c r="F844" s="20"/>
    </row>
    <row r="845" ht="14.25" customHeight="1">
      <c r="A845" s="20"/>
      <c r="B845" s="20"/>
      <c r="C845" s="20"/>
      <c r="D845" s="20"/>
      <c r="E845" s="20"/>
      <c r="F845" s="20"/>
    </row>
    <row r="846" ht="14.25" customHeight="1">
      <c r="A846" s="20"/>
      <c r="B846" s="20"/>
      <c r="C846" s="20"/>
      <c r="D846" s="20"/>
      <c r="E846" s="20"/>
      <c r="F846" s="20"/>
    </row>
    <row r="847" ht="14.25" customHeight="1">
      <c r="A847" s="20"/>
      <c r="B847" s="20"/>
      <c r="C847" s="20"/>
      <c r="D847" s="20"/>
      <c r="E847" s="20"/>
      <c r="F847" s="20"/>
    </row>
    <row r="848" ht="14.25" customHeight="1">
      <c r="A848" s="20"/>
      <c r="B848" s="20"/>
      <c r="C848" s="20"/>
      <c r="D848" s="20"/>
      <c r="E848" s="20"/>
      <c r="F848" s="20"/>
    </row>
    <row r="849" ht="14.25" customHeight="1">
      <c r="A849" s="20"/>
      <c r="B849" s="20"/>
      <c r="C849" s="20"/>
      <c r="D849" s="20"/>
      <c r="E849" s="20"/>
      <c r="F849" s="20"/>
    </row>
    <row r="850" ht="14.25" customHeight="1">
      <c r="A850" s="20"/>
      <c r="B850" s="20"/>
      <c r="C850" s="20"/>
      <c r="D850" s="20"/>
      <c r="E850" s="20"/>
      <c r="F850" s="20"/>
    </row>
    <row r="851" ht="14.25" customHeight="1">
      <c r="A851" s="20"/>
      <c r="B851" s="20"/>
      <c r="C851" s="20"/>
      <c r="D851" s="20"/>
      <c r="E851" s="20"/>
      <c r="F851" s="20"/>
    </row>
    <row r="852" ht="14.25" customHeight="1">
      <c r="A852" s="20"/>
      <c r="B852" s="20"/>
      <c r="C852" s="20"/>
      <c r="D852" s="20"/>
      <c r="E852" s="20"/>
      <c r="F852" s="20"/>
    </row>
    <row r="853" ht="14.25" customHeight="1">
      <c r="A853" s="20"/>
      <c r="B853" s="20"/>
      <c r="C853" s="20"/>
      <c r="D853" s="20"/>
      <c r="E853" s="20"/>
      <c r="F853" s="20"/>
    </row>
    <row r="854" ht="14.25" customHeight="1">
      <c r="A854" s="20"/>
      <c r="B854" s="20"/>
      <c r="C854" s="20"/>
      <c r="D854" s="20"/>
      <c r="E854" s="20"/>
      <c r="F854" s="20"/>
    </row>
    <row r="855" ht="14.25" customHeight="1">
      <c r="A855" s="20"/>
      <c r="B855" s="20"/>
      <c r="C855" s="20"/>
      <c r="D855" s="20"/>
      <c r="E855" s="20"/>
      <c r="F855" s="20"/>
    </row>
    <row r="856" ht="14.25" customHeight="1">
      <c r="A856" s="20"/>
      <c r="B856" s="20"/>
      <c r="C856" s="20"/>
      <c r="D856" s="20"/>
      <c r="E856" s="20"/>
      <c r="F856" s="20"/>
    </row>
    <row r="857" ht="14.25" customHeight="1">
      <c r="A857" s="20"/>
      <c r="B857" s="20"/>
      <c r="C857" s="20"/>
      <c r="D857" s="20"/>
      <c r="E857" s="20"/>
      <c r="F857" s="20"/>
    </row>
    <row r="858" ht="14.25" customHeight="1">
      <c r="A858" s="20"/>
      <c r="B858" s="20"/>
      <c r="C858" s="20"/>
      <c r="D858" s="20"/>
      <c r="E858" s="20"/>
      <c r="F858" s="20"/>
    </row>
    <row r="859" ht="14.25" customHeight="1">
      <c r="A859" s="20"/>
      <c r="B859" s="20"/>
      <c r="C859" s="20"/>
      <c r="D859" s="20"/>
      <c r="E859" s="20"/>
      <c r="F859" s="20"/>
    </row>
    <row r="860" ht="14.25" customHeight="1">
      <c r="A860" s="20"/>
      <c r="B860" s="20"/>
      <c r="C860" s="20"/>
      <c r="D860" s="20"/>
      <c r="E860" s="20"/>
      <c r="F860" s="20"/>
    </row>
    <row r="861" ht="14.25" customHeight="1">
      <c r="A861" s="20"/>
      <c r="B861" s="20"/>
      <c r="C861" s="20"/>
      <c r="D861" s="20"/>
      <c r="E861" s="20"/>
      <c r="F861" s="20"/>
    </row>
    <row r="862" ht="14.25" customHeight="1">
      <c r="A862" s="20"/>
      <c r="B862" s="20"/>
      <c r="C862" s="20"/>
      <c r="D862" s="20"/>
      <c r="E862" s="20"/>
      <c r="F862" s="20"/>
    </row>
    <row r="863" ht="14.25" customHeight="1">
      <c r="A863" s="20"/>
      <c r="B863" s="20"/>
      <c r="C863" s="20"/>
      <c r="D863" s="20"/>
      <c r="E863" s="20"/>
      <c r="F863" s="20"/>
    </row>
    <row r="864" ht="14.25" customHeight="1">
      <c r="A864" s="20"/>
      <c r="B864" s="20"/>
      <c r="C864" s="20"/>
      <c r="D864" s="20"/>
      <c r="E864" s="20"/>
      <c r="F864" s="20"/>
    </row>
    <row r="865" ht="14.25" customHeight="1">
      <c r="A865" s="20"/>
      <c r="B865" s="20"/>
      <c r="C865" s="20"/>
      <c r="D865" s="20"/>
      <c r="E865" s="20"/>
      <c r="F865" s="20"/>
    </row>
    <row r="866" ht="14.25" customHeight="1">
      <c r="A866" s="20"/>
      <c r="B866" s="20"/>
      <c r="C866" s="20"/>
      <c r="D866" s="20"/>
      <c r="E866" s="20"/>
      <c r="F866" s="20"/>
    </row>
    <row r="867" ht="14.25" customHeight="1">
      <c r="A867" s="20"/>
      <c r="B867" s="20"/>
      <c r="C867" s="20"/>
      <c r="D867" s="20"/>
      <c r="E867" s="20"/>
      <c r="F867" s="20"/>
    </row>
    <row r="868" ht="14.25" customHeight="1">
      <c r="A868" s="20"/>
      <c r="B868" s="20"/>
      <c r="C868" s="20"/>
      <c r="D868" s="20"/>
      <c r="E868" s="20"/>
      <c r="F868" s="20"/>
    </row>
    <row r="869" ht="14.25" customHeight="1">
      <c r="A869" s="20"/>
      <c r="B869" s="20"/>
      <c r="C869" s="20"/>
      <c r="D869" s="20"/>
      <c r="E869" s="20"/>
      <c r="F869" s="20"/>
    </row>
    <row r="870" ht="14.25" customHeight="1">
      <c r="A870" s="20"/>
      <c r="B870" s="20"/>
      <c r="C870" s="20"/>
      <c r="D870" s="20"/>
      <c r="E870" s="20"/>
      <c r="F870" s="20"/>
    </row>
    <row r="871" ht="14.25" customHeight="1">
      <c r="A871" s="20"/>
      <c r="B871" s="20"/>
      <c r="C871" s="20"/>
      <c r="D871" s="20"/>
      <c r="E871" s="20"/>
      <c r="F871" s="20"/>
    </row>
    <row r="872" ht="14.25" customHeight="1">
      <c r="A872" s="20"/>
      <c r="B872" s="20"/>
      <c r="C872" s="20"/>
      <c r="D872" s="20"/>
      <c r="E872" s="20"/>
      <c r="F872" s="20"/>
    </row>
    <row r="873" ht="14.25" customHeight="1">
      <c r="A873" s="20"/>
      <c r="B873" s="20"/>
      <c r="C873" s="20"/>
      <c r="D873" s="20"/>
      <c r="E873" s="20"/>
      <c r="F873" s="20"/>
    </row>
    <row r="874" ht="14.25" customHeight="1">
      <c r="A874" s="20"/>
      <c r="B874" s="20"/>
      <c r="C874" s="20"/>
      <c r="D874" s="20"/>
      <c r="E874" s="20"/>
      <c r="F874" s="20"/>
    </row>
    <row r="875" ht="14.25" customHeight="1">
      <c r="A875" s="20"/>
      <c r="B875" s="20"/>
      <c r="C875" s="20"/>
      <c r="D875" s="20"/>
      <c r="E875" s="20"/>
      <c r="F875" s="20"/>
    </row>
    <row r="876" ht="14.25" customHeight="1">
      <c r="A876" s="20"/>
      <c r="B876" s="20"/>
      <c r="C876" s="20"/>
      <c r="D876" s="20"/>
      <c r="E876" s="20"/>
      <c r="F876" s="20"/>
    </row>
    <row r="877" ht="14.25" customHeight="1">
      <c r="A877" s="20"/>
      <c r="B877" s="20"/>
      <c r="C877" s="20"/>
      <c r="D877" s="20"/>
      <c r="E877" s="20"/>
      <c r="F877" s="20"/>
    </row>
    <row r="878" ht="14.25" customHeight="1">
      <c r="A878" s="20"/>
      <c r="B878" s="20"/>
      <c r="C878" s="20"/>
      <c r="D878" s="20"/>
      <c r="E878" s="20"/>
      <c r="F878" s="20"/>
    </row>
    <row r="879" ht="14.25" customHeight="1">
      <c r="A879" s="20"/>
      <c r="B879" s="20"/>
      <c r="C879" s="20"/>
      <c r="D879" s="20"/>
      <c r="E879" s="20"/>
      <c r="F879" s="20"/>
    </row>
    <row r="880" ht="14.25" customHeight="1">
      <c r="A880" s="20"/>
      <c r="B880" s="20"/>
      <c r="C880" s="20"/>
      <c r="D880" s="20"/>
      <c r="E880" s="20"/>
      <c r="F880" s="20"/>
    </row>
    <row r="881" ht="14.25" customHeight="1">
      <c r="A881" s="20"/>
      <c r="B881" s="20"/>
      <c r="C881" s="20"/>
      <c r="D881" s="20"/>
      <c r="E881" s="20"/>
      <c r="F881" s="20"/>
    </row>
    <row r="882" ht="14.25" customHeight="1">
      <c r="A882" s="20"/>
      <c r="B882" s="20"/>
      <c r="C882" s="20"/>
      <c r="D882" s="20"/>
      <c r="E882" s="20"/>
      <c r="F882" s="20"/>
    </row>
    <row r="883" ht="14.25" customHeight="1">
      <c r="A883" s="20"/>
      <c r="B883" s="20"/>
      <c r="C883" s="20"/>
      <c r="D883" s="20"/>
      <c r="E883" s="20"/>
      <c r="F883" s="20"/>
    </row>
    <row r="884" ht="14.25" customHeight="1">
      <c r="A884" s="20"/>
      <c r="B884" s="20"/>
      <c r="C884" s="20"/>
      <c r="D884" s="20"/>
      <c r="E884" s="20"/>
      <c r="F884" s="20"/>
    </row>
    <row r="885" ht="14.25" customHeight="1">
      <c r="A885" s="20"/>
      <c r="B885" s="20"/>
      <c r="C885" s="20"/>
      <c r="D885" s="20"/>
      <c r="E885" s="20"/>
      <c r="F885" s="20"/>
    </row>
    <row r="886" ht="14.25" customHeight="1">
      <c r="A886" s="20"/>
      <c r="B886" s="20"/>
      <c r="C886" s="20"/>
      <c r="D886" s="20"/>
      <c r="E886" s="20"/>
      <c r="F886" s="20"/>
    </row>
    <row r="887" ht="14.25" customHeight="1">
      <c r="A887" s="20"/>
      <c r="B887" s="20"/>
      <c r="C887" s="20"/>
      <c r="D887" s="20"/>
      <c r="E887" s="20"/>
      <c r="F887" s="20"/>
    </row>
    <row r="888" ht="14.25" customHeight="1">
      <c r="A888" s="20"/>
      <c r="B888" s="20"/>
      <c r="C888" s="20"/>
      <c r="D888" s="20"/>
      <c r="E888" s="20"/>
      <c r="F888" s="20"/>
    </row>
    <row r="889" ht="14.25" customHeight="1">
      <c r="A889" s="20"/>
      <c r="B889" s="20"/>
      <c r="C889" s="20"/>
      <c r="D889" s="20"/>
      <c r="E889" s="20"/>
      <c r="F889" s="20"/>
    </row>
    <row r="890" ht="14.25" customHeight="1">
      <c r="A890" s="20"/>
      <c r="B890" s="20"/>
      <c r="C890" s="20"/>
      <c r="D890" s="20"/>
      <c r="E890" s="20"/>
      <c r="F890" s="20"/>
    </row>
    <row r="891" ht="14.25" customHeight="1">
      <c r="A891" s="20"/>
      <c r="B891" s="20"/>
      <c r="C891" s="20"/>
      <c r="D891" s="20"/>
      <c r="E891" s="20"/>
      <c r="F891" s="20"/>
    </row>
    <row r="892" ht="14.25" customHeight="1">
      <c r="A892" s="20"/>
      <c r="B892" s="20"/>
      <c r="C892" s="20"/>
      <c r="D892" s="20"/>
      <c r="E892" s="20"/>
      <c r="F892" s="20"/>
    </row>
    <row r="893" ht="14.25" customHeight="1">
      <c r="A893" s="20"/>
      <c r="B893" s="20"/>
      <c r="C893" s="20"/>
      <c r="D893" s="20"/>
      <c r="E893" s="20"/>
      <c r="F893" s="20"/>
    </row>
    <row r="894" ht="14.25" customHeight="1">
      <c r="A894" s="20"/>
      <c r="B894" s="20"/>
      <c r="C894" s="20"/>
      <c r="D894" s="20"/>
      <c r="E894" s="20"/>
      <c r="F894" s="20"/>
    </row>
    <row r="895" ht="14.25" customHeight="1">
      <c r="A895" s="20"/>
      <c r="B895" s="20"/>
      <c r="C895" s="20"/>
      <c r="D895" s="20"/>
      <c r="E895" s="20"/>
      <c r="F895" s="20"/>
    </row>
    <row r="896" ht="14.25" customHeight="1">
      <c r="A896" s="20"/>
      <c r="B896" s="20"/>
      <c r="C896" s="20"/>
      <c r="D896" s="20"/>
      <c r="E896" s="20"/>
      <c r="F896" s="20"/>
    </row>
    <row r="897" ht="14.25" customHeight="1">
      <c r="A897" s="20"/>
      <c r="B897" s="20"/>
      <c r="C897" s="20"/>
      <c r="D897" s="20"/>
      <c r="E897" s="20"/>
      <c r="F897" s="20"/>
    </row>
    <row r="898" ht="14.25" customHeight="1">
      <c r="A898" s="20"/>
      <c r="B898" s="20"/>
      <c r="C898" s="20"/>
      <c r="D898" s="20"/>
      <c r="E898" s="20"/>
      <c r="F898" s="20"/>
    </row>
    <row r="899" ht="14.25" customHeight="1">
      <c r="A899" s="20"/>
      <c r="B899" s="20"/>
      <c r="C899" s="20"/>
      <c r="D899" s="20"/>
      <c r="E899" s="20"/>
      <c r="F899" s="20"/>
    </row>
    <row r="900" ht="14.25" customHeight="1">
      <c r="A900" s="20"/>
      <c r="B900" s="20"/>
      <c r="C900" s="20"/>
      <c r="D900" s="20"/>
      <c r="E900" s="20"/>
      <c r="F900" s="20"/>
    </row>
    <row r="901" ht="14.25" customHeight="1">
      <c r="A901" s="20"/>
      <c r="B901" s="20"/>
      <c r="C901" s="20"/>
      <c r="D901" s="20"/>
      <c r="E901" s="20"/>
      <c r="F901" s="20"/>
    </row>
    <row r="902" ht="14.25" customHeight="1">
      <c r="A902" s="20"/>
      <c r="B902" s="20"/>
      <c r="C902" s="20"/>
      <c r="D902" s="20"/>
      <c r="E902" s="20"/>
      <c r="F902" s="20"/>
    </row>
    <row r="903" ht="14.25" customHeight="1">
      <c r="A903" s="20"/>
      <c r="B903" s="20"/>
      <c r="C903" s="20"/>
      <c r="D903" s="20"/>
      <c r="E903" s="20"/>
      <c r="F903" s="20"/>
    </row>
    <row r="904" ht="14.25" customHeight="1">
      <c r="A904" s="20"/>
      <c r="B904" s="20"/>
      <c r="C904" s="20"/>
      <c r="D904" s="20"/>
      <c r="E904" s="20"/>
      <c r="F904" s="20"/>
    </row>
    <row r="905" ht="14.25" customHeight="1">
      <c r="A905" s="20"/>
      <c r="B905" s="20"/>
      <c r="C905" s="20"/>
      <c r="D905" s="20"/>
      <c r="E905" s="20"/>
      <c r="F905" s="20"/>
    </row>
    <row r="906" ht="14.25" customHeight="1">
      <c r="A906" s="20"/>
      <c r="B906" s="20"/>
      <c r="C906" s="20"/>
      <c r="D906" s="20"/>
      <c r="E906" s="20"/>
      <c r="F906" s="20"/>
    </row>
    <row r="907" ht="14.25" customHeight="1">
      <c r="A907" s="20"/>
      <c r="B907" s="20"/>
      <c r="C907" s="20"/>
      <c r="D907" s="20"/>
      <c r="E907" s="20"/>
      <c r="F907" s="20"/>
    </row>
    <row r="908" ht="14.25" customHeight="1">
      <c r="A908" s="20"/>
      <c r="B908" s="20"/>
      <c r="C908" s="20"/>
      <c r="D908" s="20"/>
      <c r="E908" s="20"/>
      <c r="F908" s="20"/>
    </row>
    <row r="909" ht="14.25" customHeight="1">
      <c r="A909" s="20"/>
      <c r="B909" s="20"/>
      <c r="C909" s="20"/>
      <c r="D909" s="20"/>
      <c r="E909" s="20"/>
      <c r="F909" s="20"/>
    </row>
    <row r="910" ht="14.25" customHeight="1">
      <c r="A910" s="20"/>
      <c r="B910" s="20"/>
      <c r="C910" s="20"/>
      <c r="D910" s="20"/>
      <c r="E910" s="20"/>
      <c r="F910" s="20"/>
    </row>
    <row r="911" ht="14.25" customHeight="1">
      <c r="A911" s="20"/>
      <c r="B911" s="20"/>
      <c r="C911" s="20"/>
      <c r="D911" s="20"/>
      <c r="E911" s="20"/>
      <c r="F911" s="20"/>
    </row>
    <row r="912" ht="14.25" customHeight="1">
      <c r="A912" s="20"/>
      <c r="B912" s="20"/>
      <c r="C912" s="20"/>
      <c r="D912" s="20"/>
      <c r="E912" s="20"/>
      <c r="F912" s="20"/>
    </row>
    <row r="913" ht="14.25" customHeight="1">
      <c r="A913" s="20"/>
      <c r="B913" s="20"/>
      <c r="C913" s="20"/>
      <c r="D913" s="20"/>
      <c r="E913" s="20"/>
      <c r="F913" s="20"/>
    </row>
    <row r="914" ht="14.25" customHeight="1">
      <c r="A914" s="20"/>
      <c r="B914" s="20"/>
      <c r="C914" s="20"/>
      <c r="D914" s="20"/>
      <c r="E914" s="20"/>
      <c r="F914" s="20"/>
    </row>
    <row r="915" ht="14.25" customHeight="1">
      <c r="A915" s="20"/>
      <c r="B915" s="20"/>
      <c r="C915" s="20"/>
      <c r="D915" s="20"/>
      <c r="E915" s="20"/>
      <c r="F915" s="20"/>
    </row>
    <row r="916" ht="14.25" customHeight="1">
      <c r="A916" s="20"/>
      <c r="B916" s="20"/>
      <c r="C916" s="20"/>
      <c r="D916" s="20"/>
      <c r="E916" s="20"/>
      <c r="F916" s="20"/>
    </row>
    <row r="917" ht="14.25" customHeight="1">
      <c r="A917" s="20"/>
      <c r="B917" s="20"/>
      <c r="C917" s="20"/>
      <c r="D917" s="20"/>
      <c r="E917" s="20"/>
      <c r="F917" s="20"/>
    </row>
    <row r="918" ht="14.25" customHeight="1">
      <c r="A918" s="20"/>
      <c r="B918" s="20"/>
      <c r="C918" s="20"/>
      <c r="D918" s="20"/>
      <c r="E918" s="20"/>
      <c r="F918" s="20"/>
    </row>
    <row r="919" ht="14.25" customHeight="1">
      <c r="A919" s="20"/>
      <c r="B919" s="20"/>
      <c r="C919" s="20"/>
      <c r="D919" s="20"/>
      <c r="E919" s="20"/>
      <c r="F919" s="20"/>
    </row>
    <row r="920" ht="14.25" customHeight="1">
      <c r="A920" s="20"/>
      <c r="B920" s="20"/>
      <c r="C920" s="20"/>
      <c r="D920" s="20"/>
      <c r="E920" s="20"/>
      <c r="F920" s="20"/>
    </row>
    <row r="921" ht="14.25" customHeight="1">
      <c r="A921" s="20"/>
      <c r="B921" s="20"/>
      <c r="C921" s="20"/>
      <c r="D921" s="20"/>
      <c r="E921" s="20"/>
      <c r="F921" s="20"/>
    </row>
    <row r="922" ht="14.25" customHeight="1">
      <c r="A922" s="20"/>
      <c r="B922" s="20"/>
      <c r="C922" s="20"/>
      <c r="D922" s="20"/>
      <c r="E922" s="20"/>
      <c r="F922" s="20"/>
    </row>
    <row r="923" ht="14.25" customHeight="1">
      <c r="A923" s="20"/>
      <c r="B923" s="20"/>
      <c r="C923" s="20"/>
      <c r="D923" s="20"/>
      <c r="E923" s="20"/>
      <c r="F923" s="20"/>
    </row>
    <row r="924" ht="14.25" customHeight="1">
      <c r="A924" s="20"/>
      <c r="B924" s="20"/>
      <c r="C924" s="20"/>
      <c r="D924" s="20"/>
      <c r="E924" s="20"/>
      <c r="F924" s="20"/>
    </row>
    <row r="925" ht="14.25" customHeight="1">
      <c r="A925" s="20"/>
      <c r="B925" s="20"/>
      <c r="C925" s="20"/>
      <c r="D925" s="20"/>
      <c r="E925" s="20"/>
      <c r="F925" s="20"/>
    </row>
    <row r="926" ht="14.25" customHeight="1">
      <c r="A926" s="20"/>
      <c r="B926" s="20"/>
      <c r="C926" s="20"/>
      <c r="D926" s="20"/>
      <c r="E926" s="20"/>
      <c r="F926" s="20"/>
    </row>
    <row r="927" ht="14.25" customHeight="1">
      <c r="A927" s="20"/>
      <c r="B927" s="20"/>
      <c r="C927" s="20"/>
      <c r="D927" s="20"/>
      <c r="E927" s="20"/>
      <c r="F927" s="20"/>
    </row>
    <row r="928" ht="14.25" customHeight="1">
      <c r="A928" s="20"/>
      <c r="B928" s="20"/>
      <c r="C928" s="20"/>
      <c r="D928" s="20"/>
      <c r="E928" s="20"/>
      <c r="F928" s="20"/>
    </row>
    <row r="929" ht="14.25" customHeight="1">
      <c r="A929" s="20"/>
      <c r="B929" s="20"/>
      <c r="C929" s="20"/>
      <c r="D929" s="20"/>
      <c r="E929" s="20"/>
      <c r="F929" s="20"/>
    </row>
    <row r="930" ht="14.25" customHeight="1">
      <c r="A930" s="20"/>
      <c r="B930" s="20"/>
      <c r="C930" s="20"/>
      <c r="D930" s="20"/>
      <c r="E930" s="20"/>
      <c r="F930" s="20"/>
    </row>
    <row r="931" ht="14.25" customHeight="1">
      <c r="A931" s="20"/>
      <c r="B931" s="20"/>
      <c r="C931" s="20"/>
      <c r="D931" s="20"/>
      <c r="E931" s="20"/>
      <c r="F931" s="20"/>
    </row>
    <row r="932" ht="14.25" customHeight="1">
      <c r="A932" s="20"/>
      <c r="B932" s="20"/>
      <c r="C932" s="20"/>
      <c r="D932" s="20"/>
      <c r="E932" s="20"/>
      <c r="F932" s="20"/>
    </row>
    <row r="933" ht="14.25" customHeight="1">
      <c r="A933" s="20"/>
      <c r="B933" s="20"/>
      <c r="C933" s="20"/>
      <c r="D933" s="20"/>
      <c r="E933" s="20"/>
      <c r="F933" s="20"/>
    </row>
    <row r="934" ht="14.25" customHeight="1">
      <c r="A934" s="20"/>
      <c r="B934" s="20"/>
      <c r="C934" s="20"/>
      <c r="D934" s="20"/>
      <c r="E934" s="20"/>
      <c r="F934" s="20"/>
    </row>
    <row r="935" ht="14.25" customHeight="1">
      <c r="A935" s="20"/>
      <c r="B935" s="20"/>
      <c r="C935" s="20"/>
      <c r="D935" s="20"/>
      <c r="E935" s="20"/>
      <c r="F935" s="20"/>
    </row>
    <row r="936" ht="14.25" customHeight="1">
      <c r="A936" s="20"/>
      <c r="B936" s="20"/>
      <c r="C936" s="20"/>
      <c r="D936" s="20"/>
      <c r="E936" s="20"/>
      <c r="F936" s="20"/>
    </row>
    <row r="937" ht="14.25" customHeight="1">
      <c r="A937" s="20"/>
      <c r="B937" s="20"/>
      <c r="C937" s="20"/>
      <c r="D937" s="20"/>
      <c r="E937" s="20"/>
      <c r="F937" s="20"/>
    </row>
    <row r="938" ht="14.25" customHeight="1">
      <c r="A938" s="20"/>
      <c r="B938" s="20"/>
      <c r="C938" s="20"/>
      <c r="D938" s="20"/>
      <c r="E938" s="20"/>
      <c r="F938" s="20"/>
    </row>
    <row r="939" ht="14.25" customHeight="1">
      <c r="A939" s="20"/>
      <c r="B939" s="20"/>
      <c r="C939" s="20"/>
      <c r="D939" s="20"/>
      <c r="E939" s="20"/>
      <c r="F939" s="20"/>
    </row>
    <row r="940" ht="14.25" customHeight="1">
      <c r="A940" s="20"/>
      <c r="B940" s="20"/>
      <c r="C940" s="20"/>
      <c r="D940" s="20"/>
      <c r="E940" s="20"/>
      <c r="F940" s="20"/>
    </row>
    <row r="941" ht="14.25" customHeight="1">
      <c r="A941" s="20"/>
      <c r="B941" s="20"/>
      <c r="C941" s="20"/>
      <c r="D941" s="20"/>
      <c r="E941" s="20"/>
      <c r="F941" s="20"/>
    </row>
    <row r="942" ht="14.25" customHeight="1">
      <c r="A942" s="20"/>
      <c r="B942" s="20"/>
      <c r="C942" s="20"/>
      <c r="D942" s="20"/>
      <c r="E942" s="20"/>
      <c r="F942" s="20"/>
    </row>
    <row r="943" ht="14.25" customHeight="1">
      <c r="A943" s="20"/>
      <c r="B943" s="20"/>
      <c r="C943" s="20"/>
      <c r="D943" s="20"/>
      <c r="E943" s="20"/>
      <c r="F943" s="20"/>
    </row>
    <row r="944" ht="14.25" customHeight="1">
      <c r="A944" s="20"/>
      <c r="B944" s="20"/>
      <c r="C944" s="20"/>
      <c r="D944" s="20"/>
      <c r="E944" s="20"/>
      <c r="F944" s="20"/>
    </row>
    <row r="945" ht="14.25" customHeight="1">
      <c r="A945" s="20"/>
      <c r="B945" s="20"/>
      <c r="C945" s="20"/>
      <c r="D945" s="20"/>
      <c r="E945" s="20"/>
      <c r="F945" s="20"/>
    </row>
    <row r="946" ht="14.25" customHeight="1">
      <c r="A946" s="20"/>
      <c r="B946" s="20"/>
      <c r="C946" s="20"/>
      <c r="D946" s="20"/>
      <c r="E946" s="20"/>
      <c r="F946" s="20"/>
    </row>
    <row r="947" ht="14.25" customHeight="1">
      <c r="A947" s="20"/>
      <c r="B947" s="20"/>
      <c r="C947" s="20"/>
      <c r="D947" s="20"/>
      <c r="E947" s="20"/>
      <c r="F947" s="20"/>
    </row>
    <row r="948" ht="14.25" customHeight="1">
      <c r="A948" s="20"/>
      <c r="B948" s="20"/>
      <c r="C948" s="20"/>
      <c r="D948" s="20"/>
      <c r="E948" s="20"/>
      <c r="F948" s="20"/>
    </row>
    <row r="949" ht="14.25" customHeight="1">
      <c r="A949" s="20"/>
      <c r="B949" s="20"/>
      <c r="C949" s="20"/>
      <c r="D949" s="20"/>
      <c r="E949" s="20"/>
      <c r="F949" s="20"/>
    </row>
    <row r="950" ht="14.25" customHeight="1">
      <c r="A950" s="20"/>
      <c r="B950" s="20"/>
      <c r="C950" s="20"/>
      <c r="D950" s="20"/>
      <c r="E950" s="20"/>
      <c r="F950" s="20"/>
    </row>
    <row r="951" ht="14.25" customHeight="1">
      <c r="A951" s="20"/>
      <c r="B951" s="20"/>
      <c r="C951" s="20"/>
      <c r="D951" s="20"/>
      <c r="E951" s="20"/>
      <c r="F951" s="20"/>
    </row>
    <row r="952" ht="14.25" customHeight="1">
      <c r="A952" s="20"/>
      <c r="B952" s="20"/>
      <c r="C952" s="20"/>
      <c r="D952" s="20"/>
      <c r="E952" s="20"/>
      <c r="F952" s="20"/>
    </row>
    <row r="953" ht="14.25" customHeight="1">
      <c r="A953" s="20"/>
      <c r="B953" s="20"/>
      <c r="C953" s="20"/>
      <c r="D953" s="20"/>
      <c r="E953" s="20"/>
      <c r="F953" s="20"/>
    </row>
    <row r="954" ht="14.25" customHeight="1">
      <c r="A954" s="20"/>
      <c r="B954" s="20"/>
      <c r="C954" s="20"/>
      <c r="D954" s="20"/>
      <c r="E954" s="20"/>
      <c r="F954" s="20"/>
    </row>
    <row r="955" ht="14.25" customHeight="1">
      <c r="A955" s="20"/>
      <c r="B955" s="20"/>
      <c r="C955" s="20"/>
      <c r="D955" s="20"/>
      <c r="E955" s="20"/>
      <c r="F955" s="20"/>
    </row>
    <row r="956" ht="14.25" customHeight="1">
      <c r="A956" s="20"/>
      <c r="B956" s="20"/>
      <c r="C956" s="20"/>
      <c r="D956" s="20"/>
      <c r="E956" s="20"/>
      <c r="F956" s="20"/>
    </row>
    <row r="957" ht="14.25" customHeight="1">
      <c r="A957" s="20"/>
      <c r="B957" s="20"/>
      <c r="C957" s="20"/>
      <c r="D957" s="20"/>
      <c r="E957" s="20"/>
      <c r="F957" s="20"/>
    </row>
    <row r="958" ht="14.25" customHeight="1">
      <c r="A958" s="20"/>
      <c r="B958" s="20"/>
      <c r="C958" s="20"/>
      <c r="D958" s="20"/>
      <c r="E958" s="20"/>
      <c r="F958" s="20"/>
    </row>
    <row r="959" ht="14.25" customHeight="1">
      <c r="A959" s="20"/>
      <c r="B959" s="20"/>
      <c r="C959" s="20"/>
      <c r="D959" s="20"/>
      <c r="E959" s="20"/>
      <c r="F959" s="20"/>
    </row>
    <row r="960" ht="14.25" customHeight="1">
      <c r="A960" s="20"/>
      <c r="B960" s="20"/>
      <c r="C960" s="20"/>
      <c r="D960" s="20"/>
      <c r="E960" s="20"/>
      <c r="F960" s="20"/>
    </row>
    <row r="961" ht="14.25" customHeight="1">
      <c r="A961" s="20"/>
      <c r="B961" s="20"/>
      <c r="C961" s="20"/>
      <c r="D961" s="20"/>
      <c r="E961" s="20"/>
      <c r="F961" s="20"/>
    </row>
    <row r="962" ht="14.25" customHeight="1">
      <c r="A962" s="20"/>
      <c r="B962" s="20"/>
      <c r="C962" s="20"/>
      <c r="D962" s="20"/>
      <c r="E962" s="20"/>
      <c r="F962" s="20"/>
    </row>
    <row r="963" ht="14.25" customHeight="1">
      <c r="A963" s="20"/>
      <c r="B963" s="20"/>
      <c r="C963" s="20"/>
      <c r="D963" s="20"/>
      <c r="E963" s="20"/>
      <c r="F963" s="20"/>
    </row>
    <row r="964" ht="14.25" customHeight="1">
      <c r="A964" s="20"/>
      <c r="B964" s="20"/>
      <c r="C964" s="20"/>
      <c r="D964" s="20"/>
      <c r="E964" s="20"/>
      <c r="F964" s="20"/>
    </row>
    <row r="965" ht="14.25" customHeight="1">
      <c r="A965" s="20"/>
      <c r="B965" s="20"/>
      <c r="C965" s="20"/>
      <c r="D965" s="20"/>
      <c r="E965" s="20"/>
      <c r="F965" s="20"/>
    </row>
    <row r="966" ht="14.25" customHeight="1">
      <c r="A966" s="20"/>
      <c r="B966" s="20"/>
      <c r="C966" s="20"/>
      <c r="D966" s="20"/>
      <c r="E966" s="20"/>
      <c r="F966" s="20"/>
    </row>
    <row r="967" ht="14.25" customHeight="1">
      <c r="A967" s="20"/>
      <c r="B967" s="20"/>
      <c r="C967" s="20"/>
      <c r="D967" s="20"/>
      <c r="E967" s="20"/>
      <c r="F967" s="20"/>
    </row>
    <row r="968" ht="14.25" customHeight="1">
      <c r="A968" s="20"/>
      <c r="B968" s="20"/>
      <c r="C968" s="20"/>
      <c r="D968" s="20"/>
      <c r="E968" s="20"/>
      <c r="F968" s="20"/>
    </row>
    <row r="969" ht="14.25" customHeight="1">
      <c r="A969" s="20"/>
      <c r="B969" s="20"/>
      <c r="C969" s="20"/>
      <c r="D969" s="20"/>
      <c r="E969" s="20"/>
      <c r="F969" s="20"/>
    </row>
    <row r="970" ht="14.25" customHeight="1">
      <c r="A970" s="20"/>
      <c r="B970" s="20"/>
      <c r="C970" s="20"/>
      <c r="D970" s="20"/>
      <c r="E970" s="20"/>
      <c r="F970" s="20"/>
    </row>
    <row r="971" ht="14.25" customHeight="1">
      <c r="A971" s="20"/>
      <c r="B971" s="20"/>
      <c r="C971" s="20"/>
      <c r="D971" s="20"/>
      <c r="E971" s="20"/>
      <c r="F971" s="20"/>
    </row>
    <row r="972" ht="14.25" customHeight="1">
      <c r="A972" s="20"/>
      <c r="B972" s="20"/>
      <c r="C972" s="20"/>
      <c r="D972" s="20"/>
      <c r="E972" s="20"/>
      <c r="F972" s="20"/>
    </row>
    <row r="973" ht="14.25" customHeight="1">
      <c r="A973" s="20"/>
      <c r="B973" s="20"/>
      <c r="C973" s="20"/>
      <c r="D973" s="20"/>
      <c r="E973" s="20"/>
      <c r="F973" s="20"/>
    </row>
    <row r="974" ht="14.25" customHeight="1">
      <c r="A974" s="20"/>
      <c r="B974" s="20"/>
      <c r="C974" s="20"/>
      <c r="D974" s="20"/>
      <c r="E974" s="20"/>
      <c r="F974" s="20"/>
    </row>
    <row r="975" ht="14.25" customHeight="1">
      <c r="A975" s="20"/>
      <c r="B975" s="20"/>
      <c r="C975" s="20"/>
      <c r="D975" s="20"/>
      <c r="E975" s="20"/>
      <c r="F975" s="20"/>
    </row>
    <row r="976" ht="14.25" customHeight="1">
      <c r="A976" s="20"/>
      <c r="B976" s="20"/>
      <c r="C976" s="20"/>
      <c r="D976" s="20"/>
      <c r="E976" s="20"/>
      <c r="F976" s="20"/>
    </row>
    <row r="977" ht="14.25" customHeight="1">
      <c r="A977" s="20"/>
      <c r="B977" s="20"/>
      <c r="C977" s="20"/>
      <c r="D977" s="20"/>
      <c r="E977" s="20"/>
      <c r="F977" s="20"/>
    </row>
    <row r="978" ht="14.25" customHeight="1">
      <c r="A978" s="20"/>
      <c r="B978" s="20"/>
      <c r="C978" s="20"/>
      <c r="D978" s="20"/>
      <c r="E978" s="20"/>
      <c r="F978" s="20"/>
    </row>
    <row r="979" ht="14.25" customHeight="1">
      <c r="A979" s="20"/>
      <c r="B979" s="20"/>
      <c r="C979" s="20"/>
      <c r="D979" s="20"/>
      <c r="E979" s="20"/>
      <c r="F979" s="20"/>
    </row>
    <row r="980" ht="14.25" customHeight="1">
      <c r="A980" s="20"/>
      <c r="B980" s="20"/>
      <c r="C980" s="20"/>
      <c r="D980" s="20"/>
      <c r="E980" s="20"/>
      <c r="F980" s="20"/>
    </row>
    <row r="981" ht="14.25" customHeight="1">
      <c r="A981" s="20"/>
      <c r="B981" s="20"/>
      <c r="C981" s="20"/>
      <c r="D981" s="20"/>
      <c r="E981" s="20"/>
      <c r="F981" s="20"/>
    </row>
    <row r="982" ht="14.25" customHeight="1">
      <c r="A982" s="20"/>
      <c r="B982" s="20"/>
      <c r="C982" s="20"/>
      <c r="D982" s="20"/>
      <c r="E982" s="20"/>
      <c r="F982" s="20"/>
    </row>
    <row r="983" ht="14.25" customHeight="1">
      <c r="A983" s="20"/>
      <c r="B983" s="20"/>
      <c r="C983" s="20"/>
      <c r="D983" s="20"/>
      <c r="E983" s="20"/>
      <c r="F983" s="20"/>
    </row>
    <row r="984" ht="14.25" customHeight="1">
      <c r="A984" s="20"/>
      <c r="B984" s="20"/>
      <c r="C984" s="20"/>
      <c r="D984" s="20"/>
      <c r="E984" s="20"/>
      <c r="F984" s="20"/>
    </row>
    <row r="985" ht="14.25" customHeight="1">
      <c r="A985" s="20"/>
      <c r="B985" s="20"/>
      <c r="C985" s="20"/>
      <c r="D985" s="20"/>
      <c r="E985" s="20"/>
      <c r="F985" s="20"/>
    </row>
    <row r="986" ht="14.25" customHeight="1">
      <c r="A986" s="20"/>
      <c r="B986" s="20"/>
      <c r="C986" s="20"/>
      <c r="D986" s="20"/>
      <c r="E986" s="20"/>
      <c r="F986" s="20"/>
    </row>
    <row r="987" ht="14.25" customHeight="1">
      <c r="A987" s="20"/>
      <c r="B987" s="20"/>
      <c r="C987" s="20"/>
      <c r="D987" s="20"/>
      <c r="E987" s="20"/>
      <c r="F987" s="20"/>
    </row>
    <row r="988" ht="14.25" customHeight="1">
      <c r="A988" s="20"/>
      <c r="B988" s="20"/>
      <c r="C988" s="20"/>
      <c r="D988" s="20"/>
      <c r="E988" s="20"/>
      <c r="F988" s="20"/>
    </row>
    <row r="989" ht="14.25" customHeight="1">
      <c r="A989" s="20"/>
      <c r="B989" s="20"/>
      <c r="C989" s="20"/>
      <c r="D989" s="20"/>
      <c r="E989" s="20"/>
      <c r="F989" s="20"/>
    </row>
    <row r="990" ht="14.25" customHeight="1">
      <c r="A990" s="20"/>
      <c r="B990" s="20"/>
      <c r="C990" s="20"/>
      <c r="D990" s="20"/>
      <c r="E990" s="20"/>
      <c r="F990" s="20"/>
    </row>
    <row r="991" ht="14.25" customHeight="1">
      <c r="A991" s="20"/>
      <c r="B991" s="20"/>
      <c r="C991" s="20"/>
      <c r="D991" s="20"/>
      <c r="E991" s="20"/>
      <c r="F991" s="20"/>
    </row>
    <row r="992" ht="14.25" customHeight="1">
      <c r="A992" s="20"/>
      <c r="B992" s="20"/>
      <c r="C992" s="20"/>
      <c r="D992" s="20"/>
      <c r="E992" s="20"/>
      <c r="F992" s="20"/>
    </row>
    <row r="993" ht="14.25" customHeight="1">
      <c r="A993" s="20"/>
      <c r="B993" s="20"/>
      <c r="C993" s="20"/>
      <c r="D993" s="20"/>
      <c r="E993" s="20"/>
      <c r="F993" s="20"/>
    </row>
    <row r="994" ht="14.25" customHeight="1">
      <c r="A994" s="20"/>
      <c r="B994" s="20"/>
      <c r="C994" s="20"/>
      <c r="D994" s="20"/>
      <c r="E994" s="20"/>
      <c r="F994" s="20"/>
    </row>
    <row r="995" ht="14.25" customHeight="1">
      <c r="A995" s="20"/>
      <c r="B995" s="20"/>
      <c r="C995" s="20"/>
      <c r="D995" s="20"/>
      <c r="E995" s="20"/>
      <c r="F995" s="20"/>
    </row>
    <row r="996" ht="14.25" customHeight="1">
      <c r="A996" s="20"/>
      <c r="B996" s="20"/>
      <c r="C996" s="20"/>
      <c r="D996" s="20"/>
      <c r="E996" s="20"/>
      <c r="F996" s="20"/>
    </row>
    <row r="997" ht="14.25" customHeight="1">
      <c r="A997" s="20"/>
      <c r="B997" s="20"/>
      <c r="C997" s="20"/>
      <c r="D997" s="20"/>
      <c r="E997" s="20"/>
      <c r="F997" s="20"/>
    </row>
    <row r="998" ht="14.25" customHeight="1">
      <c r="A998" s="20"/>
      <c r="B998" s="20"/>
      <c r="C998" s="20"/>
      <c r="D998" s="20"/>
      <c r="E998" s="20"/>
      <c r="F998" s="20"/>
    </row>
    <row r="999" ht="14.25" customHeight="1">
      <c r="A999" s="20"/>
      <c r="B999" s="20"/>
      <c r="C999" s="20"/>
      <c r="D999" s="20"/>
      <c r="E999" s="20"/>
      <c r="F999" s="20"/>
    </row>
    <row r="1000" ht="14.25" customHeight="1">
      <c r="A1000" s="20"/>
      <c r="B1000" s="20"/>
      <c r="C1000" s="20"/>
      <c r="D1000" s="20"/>
      <c r="E1000" s="20"/>
      <c r="F1000" s="20"/>
    </row>
  </sheetData>
  <mergeCells count="10">
    <mergeCell ref="A19:F19"/>
    <mergeCell ref="A20:F21"/>
    <mergeCell ref="A22:F22"/>
    <mergeCell ref="A1:F1"/>
    <mergeCell ref="A2:F2"/>
    <mergeCell ref="A4:F4"/>
    <mergeCell ref="A8:F8"/>
    <mergeCell ref="A11:F11"/>
    <mergeCell ref="A16:F16"/>
    <mergeCell ref="A17:F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A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57"/>
    <col customWidth="1" min="2" max="2" width="30.0"/>
    <col customWidth="1" min="3" max="3" width="18.0"/>
    <col customWidth="1" min="4" max="4" width="11.0"/>
    <col customWidth="1" min="5" max="5" width="30.0"/>
    <col customWidth="1" min="6" max="6" width="18.0"/>
    <col customWidth="1" min="7" max="7" width="20.0"/>
    <col customWidth="1" min="8" max="8" width="11.0"/>
    <col customWidth="1" min="9" max="9" width="9.0"/>
    <col customWidth="1" min="10" max="10" width="52.0"/>
    <col customWidth="1" min="11" max="11" width="48.0"/>
    <col customWidth="1" min="12" max="26" width="8.57"/>
  </cols>
  <sheetData>
    <row r="1" ht="33.75" customHeight="1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ht="15.75" customHeight="1">
      <c r="A2" s="24" t="s">
        <v>23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ht="30.0" customHeight="1">
      <c r="A3" s="25" t="s">
        <v>24</v>
      </c>
      <c r="B3" s="25" t="s">
        <v>25</v>
      </c>
      <c r="C3" s="25" t="s">
        <v>26</v>
      </c>
      <c r="D3" s="25" t="s">
        <v>27</v>
      </c>
      <c r="E3" s="25" t="s">
        <v>28</v>
      </c>
      <c r="F3" s="25" t="s">
        <v>29</v>
      </c>
      <c r="G3" s="25" t="s">
        <v>30</v>
      </c>
      <c r="H3" s="25" t="s">
        <v>31</v>
      </c>
      <c r="I3" s="25" t="s">
        <v>32</v>
      </c>
      <c r="J3" s="25" t="s">
        <v>33</v>
      </c>
      <c r="K3" s="25" t="s">
        <v>34</v>
      </c>
    </row>
    <row r="4" ht="30.0" hidden="1" customHeight="1">
      <c r="A4" s="26" t="s">
        <v>35</v>
      </c>
      <c r="B4" s="26" t="s">
        <v>36</v>
      </c>
      <c r="C4" s="27" t="s">
        <v>14</v>
      </c>
      <c r="D4" s="26" t="s">
        <v>37</v>
      </c>
      <c r="E4" s="26" t="s">
        <v>38</v>
      </c>
      <c r="F4" s="27" t="s">
        <v>16</v>
      </c>
      <c r="G4" s="28" t="s">
        <v>39</v>
      </c>
      <c r="H4" s="29" t="s">
        <v>40</v>
      </c>
      <c r="I4" s="29">
        <f t="shared" ref="I4:I63" si="1">IF(H4="Alta",5,IF(H4="Media",3,IF(H4="Baja",1,IF(H4="","",0))))</f>
        <v>3</v>
      </c>
      <c r="J4" s="26" t="s">
        <v>41</v>
      </c>
      <c r="K4" s="26" t="s">
        <v>42</v>
      </c>
    </row>
    <row r="5" ht="30.0" hidden="1" customHeight="1">
      <c r="A5" s="30" t="s">
        <v>35</v>
      </c>
      <c r="B5" s="30" t="s">
        <v>36</v>
      </c>
      <c r="C5" s="27" t="s">
        <v>14</v>
      </c>
      <c r="D5" s="30" t="s">
        <v>43</v>
      </c>
      <c r="E5" s="30" t="s">
        <v>44</v>
      </c>
      <c r="F5" s="27" t="s">
        <v>14</v>
      </c>
      <c r="G5" s="31" t="s">
        <v>39</v>
      </c>
      <c r="H5" s="32" t="s">
        <v>45</v>
      </c>
      <c r="I5" s="32">
        <f t="shared" si="1"/>
        <v>5</v>
      </c>
      <c r="J5" s="30" t="s">
        <v>46</v>
      </c>
      <c r="K5" s="30" t="s">
        <v>47</v>
      </c>
    </row>
    <row r="6" ht="30.0" hidden="1" customHeight="1">
      <c r="A6" s="26" t="s">
        <v>35</v>
      </c>
      <c r="B6" s="26" t="s">
        <v>36</v>
      </c>
      <c r="C6" s="27" t="s">
        <v>14</v>
      </c>
      <c r="D6" s="26" t="s">
        <v>48</v>
      </c>
      <c r="E6" s="26" t="s">
        <v>49</v>
      </c>
      <c r="F6" s="27" t="s">
        <v>14</v>
      </c>
      <c r="G6" s="33" t="s">
        <v>50</v>
      </c>
      <c r="H6" s="32" t="s">
        <v>45</v>
      </c>
      <c r="I6" s="32">
        <f t="shared" si="1"/>
        <v>5</v>
      </c>
      <c r="J6" s="26" t="s">
        <v>51</v>
      </c>
      <c r="K6" s="26" t="s">
        <v>52</v>
      </c>
    </row>
    <row r="7" ht="30.0" hidden="1" customHeight="1">
      <c r="A7" s="30" t="s">
        <v>35</v>
      </c>
      <c r="B7" s="30" t="s">
        <v>36</v>
      </c>
      <c r="C7" s="27" t="s">
        <v>14</v>
      </c>
      <c r="D7" s="30" t="s">
        <v>53</v>
      </c>
      <c r="E7" s="30" t="s">
        <v>54</v>
      </c>
      <c r="F7" s="27" t="s">
        <v>18</v>
      </c>
      <c r="G7" s="31" t="s">
        <v>50</v>
      </c>
      <c r="H7" s="32" t="s">
        <v>45</v>
      </c>
      <c r="I7" s="32">
        <f t="shared" si="1"/>
        <v>5</v>
      </c>
      <c r="J7" s="30" t="s">
        <v>55</v>
      </c>
      <c r="K7" s="30" t="s">
        <v>56</v>
      </c>
    </row>
    <row r="8" ht="36.0" hidden="1" customHeight="1">
      <c r="A8" s="26" t="s">
        <v>35</v>
      </c>
      <c r="B8" s="26" t="s">
        <v>36</v>
      </c>
      <c r="C8" s="27" t="s">
        <v>14</v>
      </c>
      <c r="D8" s="26" t="s">
        <v>57</v>
      </c>
      <c r="E8" s="26" t="s">
        <v>58</v>
      </c>
      <c r="F8" s="27" t="s">
        <v>15</v>
      </c>
      <c r="G8" s="33" t="s">
        <v>50</v>
      </c>
      <c r="H8" s="29" t="s">
        <v>40</v>
      </c>
      <c r="I8" s="29">
        <f t="shared" si="1"/>
        <v>3</v>
      </c>
      <c r="J8" s="26" t="s">
        <v>59</v>
      </c>
      <c r="K8" s="26" t="s">
        <v>60</v>
      </c>
    </row>
    <row r="9" ht="30.0" hidden="1" customHeight="1">
      <c r="A9" s="30" t="s">
        <v>35</v>
      </c>
      <c r="B9" s="30" t="s">
        <v>36</v>
      </c>
      <c r="C9" s="27" t="s">
        <v>14</v>
      </c>
      <c r="D9" s="30" t="s">
        <v>61</v>
      </c>
      <c r="E9" s="30" t="s">
        <v>62</v>
      </c>
      <c r="F9" s="27" t="s">
        <v>15</v>
      </c>
      <c r="G9" s="31" t="s">
        <v>50</v>
      </c>
      <c r="H9" s="29" t="s">
        <v>40</v>
      </c>
      <c r="I9" s="29">
        <f t="shared" si="1"/>
        <v>3</v>
      </c>
      <c r="J9" s="30" t="s">
        <v>63</v>
      </c>
      <c r="K9" s="30" t="s">
        <v>64</v>
      </c>
    </row>
    <row r="10" ht="30.0" hidden="1" customHeight="1">
      <c r="A10" s="26" t="s">
        <v>65</v>
      </c>
      <c r="B10" s="26" t="s">
        <v>66</v>
      </c>
      <c r="C10" s="27" t="s">
        <v>14</v>
      </c>
      <c r="D10" s="26" t="s">
        <v>35</v>
      </c>
      <c r="E10" s="26" t="s">
        <v>36</v>
      </c>
      <c r="F10" s="27" t="s">
        <v>14</v>
      </c>
      <c r="G10" s="33" t="s">
        <v>39</v>
      </c>
      <c r="H10" s="32" t="s">
        <v>45</v>
      </c>
      <c r="I10" s="32">
        <f t="shared" si="1"/>
        <v>5</v>
      </c>
      <c r="J10" s="26" t="s">
        <v>67</v>
      </c>
      <c r="K10" s="26" t="s">
        <v>68</v>
      </c>
    </row>
    <row r="11" ht="30.0" hidden="1" customHeight="1">
      <c r="A11" s="30" t="s">
        <v>65</v>
      </c>
      <c r="B11" s="30" t="s">
        <v>66</v>
      </c>
      <c r="C11" s="27" t="s">
        <v>14</v>
      </c>
      <c r="D11" s="30" t="s">
        <v>48</v>
      </c>
      <c r="E11" s="30" t="s">
        <v>49</v>
      </c>
      <c r="F11" s="27" t="s">
        <v>14</v>
      </c>
      <c r="G11" s="31" t="s">
        <v>39</v>
      </c>
      <c r="H11" s="29" t="s">
        <v>40</v>
      </c>
      <c r="I11" s="29">
        <f t="shared" si="1"/>
        <v>3</v>
      </c>
      <c r="J11" s="30" t="s">
        <v>69</v>
      </c>
      <c r="K11" s="30" t="s">
        <v>70</v>
      </c>
    </row>
    <row r="12" ht="30.0" hidden="1" customHeight="1">
      <c r="A12" s="26" t="s">
        <v>65</v>
      </c>
      <c r="B12" s="26" t="s">
        <v>66</v>
      </c>
      <c r="C12" s="27" t="s">
        <v>14</v>
      </c>
      <c r="D12" s="26" t="s">
        <v>71</v>
      </c>
      <c r="E12" s="26" t="s">
        <v>72</v>
      </c>
      <c r="F12" s="27" t="s">
        <v>14</v>
      </c>
      <c r="G12" s="33" t="s">
        <v>39</v>
      </c>
      <c r="H12" s="29" t="s">
        <v>40</v>
      </c>
      <c r="I12" s="29">
        <f t="shared" si="1"/>
        <v>3</v>
      </c>
      <c r="J12" s="26" t="s">
        <v>73</v>
      </c>
      <c r="K12" s="26" t="s">
        <v>74</v>
      </c>
    </row>
    <row r="13" ht="30.0" hidden="1" customHeight="1">
      <c r="A13" s="30" t="s">
        <v>65</v>
      </c>
      <c r="B13" s="30" t="s">
        <v>66</v>
      </c>
      <c r="C13" s="27" t="s">
        <v>14</v>
      </c>
      <c r="D13" s="30" t="s">
        <v>75</v>
      </c>
      <c r="E13" s="30" t="s">
        <v>76</v>
      </c>
      <c r="F13" s="27" t="s">
        <v>16</v>
      </c>
      <c r="G13" s="31" t="s">
        <v>50</v>
      </c>
      <c r="H13" s="32" t="s">
        <v>45</v>
      </c>
      <c r="I13" s="32">
        <f t="shared" si="1"/>
        <v>5</v>
      </c>
      <c r="J13" s="30" t="s">
        <v>77</v>
      </c>
      <c r="K13" s="30" t="s">
        <v>78</v>
      </c>
    </row>
    <row r="14" ht="30.0" hidden="1" customHeight="1">
      <c r="A14" s="26" t="s">
        <v>48</v>
      </c>
      <c r="B14" s="26" t="s">
        <v>49</v>
      </c>
      <c r="C14" s="27" t="s">
        <v>14</v>
      </c>
      <c r="D14" s="26" t="s">
        <v>79</v>
      </c>
      <c r="E14" s="26" t="s">
        <v>80</v>
      </c>
      <c r="F14" s="27" t="s">
        <v>17</v>
      </c>
      <c r="G14" s="33" t="s">
        <v>50</v>
      </c>
      <c r="H14" s="29" t="s">
        <v>40</v>
      </c>
      <c r="I14" s="29">
        <f t="shared" si="1"/>
        <v>3</v>
      </c>
      <c r="J14" s="26" t="s">
        <v>81</v>
      </c>
      <c r="K14" s="26" t="s">
        <v>82</v>
      </c>
    </row>
    <row r="15" ht="30.0" hidden="1" customHeight="1">
      <c r="A15" s="30" t="s">
        <v>48</v>
      </c>
      <c r="B15" s="30" t="s">
        <v>49</v>
      </c>
      <c r="C15" s="27" t="s">
        <v>14</v>
      </c>
      <c r="D15" s="30" t="s">
        <v>43</v>
      </c>
      <c r="E15" s="30" t="s">
        <v>44</v>
      </c>
      <c r="F15" s="27" t="s">
        <v>14</v>
      </c>
      <c r="G15" s="31" t="s">
        <v>50</v>
      </c>
      <c r="H15" s="29" t="s">
        <v>40</v>
      </c>
      <c r="I15" s="29">
        <f t="shared" si="1"/>
        <v>3</v>
      </c>
      <c r="J15" s="30" t="s">
        <v>83</v>
      </c>
      <c r="K15" s="30" t="s">
        <v>84</v>
      </c>
    </row>
    <row r="16" ht="30.0" hidden="1" customHeight="1">
      <c r="A16" s="26" t="s">
        <v>71</v>
      </c>
      <c r="B16" s="26" t="s">
        <v>72</v>
      </c>
      <c r="C16" s="27" t="s">
        <v>14</v>
      </c>
      <c r="D16" s="26" t="s">
        <v>35</v>
      </c>
      <c r="E16" s="26" t="s">
        <v>36</v>
      </c>
      <c r="F16" s="27" t="s">
        <v>14</v>
      </c>
      <c r="G16" s="33" t="s">
        <v>39</v>
      </c>
      <c r="H16" s="32" t="s">
        <v>45</v>
      </c>
      <c r="I16" s="32">
        <f t="shared" si="1"/>
        <v>5</v>
      </c>
      <c r="J16" s="26" t="s">
        <v>85</v>
      </c>
      <c r="K16" s="26" t="s">
        <v>86</v>
      </c>
    </row>
    <row r="17" ht="30.0" hidden="1" customHeight="1">
      <c r="A17" s="30" t="s">
        <v>71</v>
      </c>
      <c r="B17" s="30" t="s">
        <v>72</v>
      </c>
      <c r="C17" s="27" t="s">
        <v>14</v>
      </c>
      <c r="D17" s="30" t="s">
        <v>53</v>
      </c>
      <c r="E17" s="30" t="s">
        <v>54</v>
      </c>
      <c r="F17" s="27" t="s">
        <v>18</v>
      </c>
      <c r="G17" s="31" t="s">
        <v>50</v>
      </c>
      <c r="H17" s="32" t="s">
        <v>45</v>
      </c>
      <c r="I17" s="32">
        <f t="shared" si="1"/>
        <v>5</v>
      </c>
      <c r="J17" s="30" t="s">
        <v>87</v>
      </c>
      <c r="K17" s="30" t="s">
        <v>88</v>
      </c>
    </row>
    <row r="18" ht="42.0" hidden="1" customHeight="1">
      <c r="A18" s="26" t="s">
        <v>71</v>
      </c>
      <c r="B18" s="26" t="s">
        <v>72</v>
      </c>
      <c r="C18" s="27" t="s">
        <v>14</v>
      </c>
      <c r="D18" s="26" t="s">
        <v>89</v>
      </c>
      <c r="E18" s="26" t="s">
        <v>90</v>
      </c>
      <c r="F18" s="27" t="s">
        <v>15</v>
      </c>
      <c r="G18" s="33" t="s">
        <v>39</v>
      </c>
      <c r="H18" s="29" t="s">
        <v>40</v>
      </c>
      <c r="I18" s="29">
        <f t="shared" si="1"/>
        <v>3</v>
      </c>
      <c r="J18" s="26" t="s">
        <v>91</v>
      </c>
      <c r="K18" s="26" t="s">
        <v>92</v>
      </c>
    </row>
    <row r="19" ht="30.0" hidden="1" customHeight="1">
      <c r="A19" s="30" t="s">
        <v>71</v>
      </c>
      <c r="B19" s="30" t="s">
        <v>72</v>
      </c>
      <c r="C19" s="27" t="s">
        <v>14</v>
      </c>
      <c r="D19" s="30" t="s">
        <v>57</v>
      </c>
      <c r="E19" s="30" t="s">
        <v>58</v>
      </c>
      <c r="F19" s="27" t="s">
        <v>15</v>
      </c>
      <c r="G19" s="31" t="s">
        <v>39</v>
      </c>
      <c r="H19" s="29" t="s">
        <v>40</v>
      </c>
      <c r="I19" s="29">
        <f t="shared" si="1"/>
        <v>3</v>
      </c>
      <c r="J19" s="30" t="s">
        <v>93</v>
      </c>
      <c r="K19" s="30" t="s">
        <v>94</v>
      </c>
    </row>
    <row r="20" ht="30.0" hidden="1" customHeight="1">
      <c r="A20" s="26" t="s">
        <v>71</v>
      </c>
      <c r="B20" s="26" t="s">
        <v>72</v>
      </c>
      <c r="C20" s="27" t="s">
        <v>14</v>
      </c>
      <c r="D20" s="26" t="s">
        <v>61</v>
      </c>
      <c r="E20" s="26" t="s">
        <v>62</v>
      </c>
      <c r="F20" s="27" t="s">
        <v>15</v>
      </c>
      <c r="G20" s="33" t="s">
        <v>39</v>
      </c>
      <c r="H20" s="29" t="s">
        <v>40</v>
      </c>
      <c r="I20" s="29">
        <f t="shared" si="1"/>
        <v>3</v>
      </c>
      <c r="J20" s="26" t="s">
        <v>95</v>
      </c>
      <c r="K20" s="26" t="s">
        <v>96</v>
      </c>
    </row>
    <row r="21" ht="30.0" hidden="1" customHeight="1">
      <c r="A21" s="30" t="s">
        <v>43</v>
      </c>
      <c r="B21" s="30" t="s">
        <v>44</v>
      </c>
      <c r="C21" s="27" t="s">
        <v>14</v>
      </c>
      <c r="D21" s="30" t="s">
        <v>35</v>
      </c>
      <c r="E21" s="30" t="s">
        <v>36</v>
      </c>
      <c r="F21" s="27" t="s">
        <v>14</v>
      </c>
      <c r="G21" s="31" t="s">
        <v>50</v>
      </c>
      <c r="H21" s="29" t="s">
        <v>40</v>
      </c>
      <c r="I21" s="29">
        <f t="shared" si="1"/>
        <v>3</v>
      </c>
      <c r="J21" s="30" t="s">
        <v>97</v>
      </c>
      <c r="K21" s="30" t="s">
        <v>98</v>
      </c>
    </row>
    <row r="22" ht="30.0" hidden="1" customHeight="1">
      <c r="A22" s="26" t="s">
        <v>43</v>
      </c>
      <c r="B22" s="26" t="s">
        <v>44</v>
      </c>
      <c r="C22" s="27" t="s">
        <v>14</v>
      </c>
      <c r="D22" s="26" t="s">
        <v>48</v>
      </c>
      <c r="E22" s="26" t="s">
        <v>49</v>
      </c>
      <c r="F22" s="27" t="s">
        <v>14</v>
      </c>
      <c r="G22" s="33" t="s">
        <v>39</v>
      </c>
      <c r="H22" s="29" t="s">
        <v>40</v>
      </c>
      <c r="I22" s="29">
        <f t="shared" si="1"/>
        <v>3</v>
      </c>
      <c r="J22" s="26" t="s">
        <v>99</v>
      </c>
      <c r="K22" s="26" t="s">
        <v>100</v>
      </c>
    </row>
    <row r="23" ht="30.0" hidden="1" customHeight="1">
      <c r="A23" s="30" t="s">
        <v>89</v>
      </c>
      <c r="B23" s="30" t="s">
        <v>90</v>
      </c>
      <c r="C23" s="27" t="s">
        <v>15</v>
      </c>
      <c r="D23" s="30" t="s">
        <v>57</v>
      </c>
      <c r="E23" s="30" t="s">
        <v>58</v>
      </c>
      <c r="F23" s="27" t="s">
        <v>15</v>
      </c>
      <c r="G23" s="31" t="s">
        <v>39</v>
      </c>
      <c r="H23" s="32" t="s">
        <v>45</v>
      </c>
      <c r="I23" s="32">
        <f t="shared" si="1"/>
        <v>5</v>
      </c>
      <c r="J23" s="30" t="s">
        <v>101</v>
      </c>
      <c r="K23" s="30" t="s">
        <v>102</v>
      </c>
    </row>
    <row r="24" ht="30.0" hidden="1" customHeight="1">
      <c r="A24" s="26" t="s">
        <v>89</v>
      </c>
      <c r="B24" s="26" t="s">
        <v>90</v>
      </c>
      <c r="C24" s="27" t="s">
        <v>15</v>
      </c>
      <c r="D24" s="26" t="s">
        <v>61</v>
      </c>
      <c r="E24" s="26" t="s">
        <v>62</v>
      </c>
      <c r="F24" s="27" t="s">
        <v>15</v>
      </c>
      <c r="G24" s="33" t="s">
        <v>39</v>
      </c>
      <c r="H24" s="32" t="s">
        <v>45</v>
      </c>
      <c r="I24" s="32">
        <f t="shared" si="1"/>
        <v>5</v>
      </c>
      <c r="J24" s="26" t="s">
        <v>103</v>
      </c>
      <c r="K24" s="26" t="s">
        <v>104</v>
      </c>
    </row>
    <row r="25" ht="44.25" hidden="1" customHeight="1">
      <c r="A25" s="30" t="s">
        <v>89</v>
      </c>
      <c r="B25" s="30" t="s">
        <v>90</v>
      </c>
      <c r="C25" s="27" t="s">
        <v>15</v>
      </c>
      <c r="D25" s="30" t="s">
        <v>105</v>
      </c>
      <c r="E25" s="30" t="s">
        <v>106</v>
      </c>
      <c r="F25" s="27" t="s">
        <v>16</v>
      </c>
      <c r="G25" s="31" t="s">
        <v>50</v>
      </c>
      <c r="H25" s="29" t="s">
        <v>40</v>
      </c>
      <c r="I25" s="29">
        <f t="shared" si="1"/>
        <v>3</v>
      </c>
      <c r="J25" s="34" t="s">
        <v>107</v>
      </c>
      <c r="K25" s="30" t="s">
        <v>108</v>
      </c>
    </row>
    <row r="26" ht="30.0" hidden="1" customHeight="1">
      <c r="A26" s="26" t="s">
        <v>57</v>
      </c>
      <c r="B26" s="26" t="s">
        <v>58</v>
      </c>
      <c r="C26" s="27" t="s">
        <v>15</v>
      </c>
      <c r="D26" s="26" t="s">
        <v>61</v>
      </c>
      <c r="E26" s="26" t="s">
        <v>62</v>
      </c>
      <c r="F26" s="27" t="s">
        <v>15</v>
      </c>
      <c r="G26" s="33" t="s">
        <v>50</v>
      </c>
      <c r="H26" s="32" t="s">
        <v>45</v>
      </c>
      <c r="I26" s="32">
        <f t="shared" si="1"/>
        <v>5</v>
      </c>
      <c r="J26" s="26" t="s">
        <v>109</v>
      </c>
      <c r="K26" s="26" t="s">
        <v>110</v>
      </c>
    </row>
    <row r="27" ht="30.0" hidden="1" customHeight="1">
      <c r="A27" s="30" t="s">
        <v>57</v>
      </c>
      <c r="B27" s="30" t="s">
        <v>58</v>
      </c>
      <c r="C27" s="27" t="s">
        <v>15</v>
      </c>
      <c r="D27" s="30" t="s">
        <v>105</v>
      </c>
      <c r="E27" s="30" t="s">
        <v>106</v>
      </c>
      <c r="F27" s="27" t="s">
        <v>16</v>
      </c>
      <c r="G27" s="31" t="s">
        <v>50</v>
      </c>
      <c r="H27" s="32" t="s">
        <v>45</v>
      </c>
      <c r="I27" s="32">
        <f t="shared" si="1"/>
        <v>5</v>
      </c>
      <c r="J27" s="30" t="s">
        <v>111</v>
      </c>
      <c r="K27" s="30" t="s">
        <v>112</v>
      </c>
    </row>
    <row r="28" ht="30.0" hidden="1" customHeight="1">
      <c r="A28" s="26" t="s">
        <v>61</v>
      </c>
      <c r="B28" s="26" t="s">
        <v>62</v>
      </c>
      <c r="C28" s="27" t="s">
        <v>15</v>
      </c>
      <c r="D28" s="26" t="s">
        <v>57</v>
      </c>
      <c r="E28" s="26" t="s">
        <v>58</v>
      </c>
      <c r="F28" s="27" t="s">
        <v>15</v>
      </c>
      <c r="G28" s="33" t="s">
        <v>50</v>
      </c>
      <c r="H28" s="32" t="s">
        <v>45</v>
      </c>
      <c r="I28" s="32">
        <f t="shared" si="1"/>
        <v>5</v>
      </c>
      <c r="J28" s="26" t="s">
        <v>113</v>
      </c>
      <c r="K28" s="26" t="s">
        <v>114</v>
      </c>
    </row>
    <row r="29" ht="30.0" hidden="1" customHeight="1">
      <c r="A29" s="30" t="s">
        <v>61</v>
      </c>
      <c r="B29" s="30" t="s">
        <v>62</v>
      </c>
      <c r="C29" s="27" t="s">
        <v>15</v>
      </c>
      <c r="D29" s="30" t="s">
        <v>105</v>
      </c>
      <c r="E29" s="30" t="s">
        <v>106</v>
      </c>
      <c r="F29" s="27" t="s">
        <v>16</v>
      </c>
      <c r="G29" s="31" t="s">
        <v>50</v>
      </c>
      <c r="H29" s="32" t="s">
        <v>45</v>
      </c>
      <c r="I29" s="32">
        <f t="shared" si="1"/>
        <v>5</v>
      </c>
      <c r="J29" s="30" t="s">
        <v>115</v>
      </c>
      <c r="K29" s="30" t="s">
        <v>116</v>
      </c>
    </row>
    <row r="30" ht="30.0" customHeight="1">
      <c r="A30" s="26" t="s">
        <v>37</v>
      </c>
      <c r="B30" s="26" t="s">
        <v>38</v>
      </c>
      <c r="C30" s="27" t="s">
        <v>16</v>
      </c>
      <c r="D30" s="26" t="s">
        <v>35</v>
      </c>
      <c r="E30" s="26" t="s">
        <v>36</v>
      </c>
      <c r="F30" s="27" t="s">
        <v>14</v>
      </c>
      <c r="G30" s="33" t="s">
        <v>39</v>
      </c>
      <c r="H30" s="32" t="s">
        <v>45</v>
      </c>
      <c r="I30" s="32">
        <f t="shared" si="1"/>
        <v>5</v>
      </c>
      <c r="J30" s="26" t="s">
        <v>117</v>
      </c>
      <c r="K30" s="26" t="s">
        <v>118</v>
      </c>
    </row>
    <row r="31" ht="30.0" customHeight="1">
      <c r="A31" s="30" t="s">
        <v>37</v>
      </c>
      <c r="B31" s="30" t="s">
        <v>38</v>
      </c>
      <c r="C31" s="27" t="s">
        <v>16</v>
      </c>
      <c r="D31" s="30" t="s">
        <v>89</v>
      </c>
      <c r="E31" s="30" t="s">
        <v>90</v>
      </c>
      <c r="F31" s="27" t="s">
        <v>15</v>
      </c>
      <c r="G31" s="31" t="s">
        <v>39</v>
      </c>
      <c r="H31" s="29" t="s">
        <v>40</v>
      </c>
      <c r="I31" s="29">
        <f t="shared" si="1"/>
        <v>3</v>
      </c>
      <c r="J31" s="30" t="s">
        <v>119</v>
      </c>
      <c r="K31" s="30" t="s">
        <v>120</v>
      </c>
    </row>
    <row r="32" ht="30.0" customHeight="1">
      <c r="A32" s="26" t="s">
        <v>37</v>
      </c>
      <c r="B32" s="26" t="s">
        <v>38</v>
      </c>
      <c r="C32" s="27" t="s">
        <v>16</v>
      </c>
      <c r="D32" s="26" t="s">
        <v>57</v>
      </c>
      <c r="E32" s="26" t="s">
        <v>58</v>
      </c>
      <c r="F32" s="27" t="s">
        <v>15</v>
      </c>
      <c r="G32" s="33" t="s">
        <v>39</v>
      </c>
      <c r="H32" s="29" t="s">
        <v>40</v>
      </c>
      <c r="I32" s="29">
        <f t="shared" si="1"/>
        <v>3</v>
      </c>
      <c r="J32" s="26" t="s">
        <v>121</v>
      </c>
      <c r="K32" s="26" t="s">
        <v>122</v>
      </c>
    </row>
    <row r="33" ht="30.0" customHeight="1">
      <c r="A33" s="30" t="s">
        <v>37</v>
      </c>
      <c r="B33" s="30" t="s">
        <v>38</v>
      </c>
      <c r="C33" s="27" t="s">
        <v>16</v>
      </c>
      <c r="D33" s="30" t="s">
        <v>61</v>
      </c>
      <c r="E33" s="30" t="s">
        <v>62</v>
      </c>
      <c r="F33" s="27" t="s">
        <v>15</v>
      </c>
      <c r="G33" s="31" t="s">
        <v>39</v>
      </c>
      <c r="H33" s="29" t="s">
        <v>40</v>
      </c>
      <c r="I33" s="29">
        <f t="shared" si="1"/>
        <v>3</v>
      </c>
      <c r="J33" s="30" t="s">
        <v>123</v>
      </c>
      <c r="K33" s="30" t="s">
        <v>124</v>
      </c>
    </row>
    <row r="34" ht="30.0" customHeight="1">
      <c r="A34" s="26" t="s">
        <v>37</v>
      </c>
      <c r="B34" s="26" t="s">
        <v>38</v>
      </c>
      <c r="C34" s="27" t="s">
        <v>16</v>
      </c>
      <c r="D34" s="26" t="s">
        <v>125</v>
      </c>
      <c r="E34" s="26" t="s">
        <v>126</v>
      </c>
      <c r="F34" s="27" t="s">
        <v>18</v>
      </c>
      <c r="G34" s="33" t="s">
        <v>39</v>
      </c>
      <c r="H34" s="29" t="s">
        <v>40</v>
      </c>
      <c r="I34" s="29">
        <f t="shared" si="1"/>
        <v>3</v>
      </c>
      <c r="J34" s="26" t="s">
        <v>127</v>
      </c>
      <c r="K34" s="26" t="s">
        <v>128</v>
      </c>
    </row>
    <row r="35" ht="30.0" customHeight="1">
      <c r="A35" s="30" t="s">
        <v>37</v>
      </c>
      <c r="B35" s="30" t="s">
        <v>38</v>
      </c>
      <c r="C35" s="27" t="s">
        <v>16</v>
      </c>
      <c r="D35" s="30" t="s">
        <v>129</v>
      </c>
      <c r="E35" s="30" t="s">
        <v>130</v>
      </c>
      <c r="F35" s="27" t="s">
        <v>18</v>
      </c>
      <c r="G35" s="31" t="s">
        <v>39</v>
      </c>
      <c r="H35" s="32" t="s">
        <v>45</v>
      </c>
      <c r="I35" s="32">
        <f t="shared" si="1"/>
        <v>5</v>
      </c>
      <c r="J35" s="30" t="s">
        <v>131</v>
      </c>
      <c r="K35" s="30" t="s">
        <v>132</v>
      </c>
    </row>
    <row r="36" ht="30.0" customHeight="1">
      <c r="A36" s="26" t="s">
        <v>37</v>
      </c>
      <c r="B36" s="26" t="s">
        <v>38</v>
      </c>
      <c r="C36" s="27" t="s">
        <v>16</v>
      </c>
      <c r="D36" s="26" t="s">
        <v>53</v>
      </c>
      <c r="E36" s="26" t="s">
        <v>54</v>
      </c>
      <c r="F36" s="27" t="s">
        <v>18</v>
      </c>
      <c r="G36" s="33" t="s">
        <v>39</v>
      </c>
      <c r="H36" s="29" t="s">
        <v>40</v>
      </c>
      <c r="I36" s="29">
        <f t="shared" si="1"/>
        <v>3</v>
      </c>
      <c r="J36" s="26" t="s">
        <v>133</v>
      </c>
      <c r="K36" s="26" t="s">
        <v>134</v>
      </c>
    </row>
    <row r="37" ht="30.0" customHeight="1">
      <c r="A37" s="30" t="s">
        <v>75</v>
      </c>
      <c r="B37" s="30" t="s">
        <v>76</v>
      </c>
      <c r="C37" s="27" t="s">
        <v>16</v>
      </c>
      <c r="D37" s="30" t="s">
        <v>135</v>
      </c>
      <c r="E37" s="30" t="s">
        <v>136</v>
      </c>
      <c r="F37" s="27" t="s">
        <v>18</v>
      </c>
      <c r="G37" s="31" t="s">
        <v>39</v>
      </c>
      <c r="H37" s="32" t="s">
        <v>45</v>
      </c>
      <c r="I37" s="32">
        <f t="shared" si="1"/>
        <v>5</v>
      </c>
      <c r="J37" s="30" t="s">
        <v>137</v>
      </c>
      <c r="K37" s="30" t="s">
        <v>138</v>
      </c>
    </row>
    <row r="38" ht="30.0" customHeight="1">
      <c r="A38" s="26" t="s">
        <v>75</v>
      </c>
      <c r="B38" s="26" t="s">
        <v>76</v>
      </c>
      <c r="C38" s="27" t="s">
        <v>16</v>
      </c>
      <c r="D38" s="26" t="s">
        <v>139</v>
      </c>
      <c r="E38" s="26" t="s">
        <v>140</v>
      </c>
      <c r="F38" s="27" t="s">
        <v>17</v>
      </c>
      <c r="G38" s="33" t="s">
        <v>39</v>
      </c>
      <c r="H38" s="29" t="s">
        <v>40</v>
      </c>
      <c r="I38" s="29">
        <f t="shared" si="1"/>
        <v>3</v>
      </c>
      <c r="J38" s="26" t="s">
        <v>141</v>
      </c>
      <c r="K38" s="26" t="s">
        <v>142</v>
      </c>
    </row>
    <row r="39" ht="30.0" customHeight="1">
      <c r="A39" s="30" t="s">
        <v>75</v>
      </c>
      <c r="B39" s="30" t="s">
        <v>76</v>
      </c>
      <c r="C39" s="27" t="s">
        <v>16</v>
      </c>
      <c r="D39" s="30" t="s">
        <v>79</v>
      </c>
      <c r="E39" s="30" t="s">
        <v>80</v>
      </c>
      <c r="F39" s="27" t="s">
        <v>17</v>
      </c>
      <c r="G39" s="31" t="s">
        <v>39</v>
      </c>
      <c r="H39" s="29" t="s">
        <v>40</v>
      </c>
      <c r="I39" s="29">
        <f t="shared" si="1"/>
        <v>3</v>
      </c>
      <c r="J39" s="30" t="s">
        <v>143</v>
      </c>
      <c r="K39" s="30" t="s">
        <v>144</v>
      </c>
    </row>
    <row r="40" ht="30.0" customHeight="1">
      <c r="A40" s="26" t="s">
        <v>75</v>
      </c>
      <c r="B40" s="26" t="s">
        <v>76</v>
      </c>
      <c r="C40" s="27" t="s">
        <v>16</v>
      </c>
      <c r="D40" s="26" t="s">
        <v>65</v>
      </c>
      <c r="E40" s="26" t="s">
        <v>66</v>
      </c>
      <c r="F40" s="27" t="s">
        <v>14</v>
      </c>
      <c r="G40" s="33" t="s">
        <v>50</v>
      </c>
      <c r="H40" s="32" t="s">
        <v>45</v>
      </c>
      <c r="I40" s="32">
        <f t="shared" si="1"/>
        <v>5</v>
      </c>
      <c r="J40" s="26" t="s">
        <v>145</v>
      </c>
      <c r="K40" s="26" t="s">
        <v>146</v>
      </c>
    </row>
    <row r="41" ht="30.0" customHeight="1">
      <c r="A41" s="30" t="s">
        <v>105</v>
      </c>
      <c r="B41" s="30" t="s">
        <v>106</v>
      </c>
      <c r="C41" s="27" t="s">
        <v>16</v>
      </c>
      <c r="D41" s="30" t="s">
        <v>89</v>
      </c>
      <c r="E41" s="30" t="s">
        <v>90</v>
      </c>
      <c r="F41" s="27" t="s">
        <v>15</v>
      </c>
      <c r="G41" s="31" t="s">
        <v>50</v>
      </c>
      <c r="H41" s="29" t="s">
        <v>40</v>
      </c>
      <c r="I41" s="29">
        <f t="shared" si="1"/>
        <v>3</v>
      </c>
      <c r="J41" s="30" t="s">
        <v>147</v>
      </c>
      <c r="K41" s="30" t="s">
        <v>148</v>
      </c>
    </row>
    <row r="42" ht="30.0" hidden="1" customHeight="1">
      <c r="A42" s="26" t="s">
        <v>79</v>
      </c>
      <c r="B42" s="26" t="s">
        <v>80</v>
      </c>
      <c r="C42" s="27" t="s">
        <v>17</v>
      </c>
      <c r="D42" s="26" t="s">
        <v>48</v>
      </c>
      <c r="E42" s="26" t="s">
        <v>49</v>
      </c>
      <c r="F42" s="27" t="s">
        <v>14</v>
      </c>
      <c r="G42" s="33" t="s">
        <v>39</v>
      </c>
      <c r="H42" s="32" t="s">
        <v>45</v>
      </c>
      <c r="I42" s="32">
        <f t="shared" si="1"/>
        <v>5</v>
      </c>
      <c r="J42" s="26" t="s">
        <v>149</v>
      </c>
      <c r="K42" s="26" t="s">
        <v>150</v>
      </c>
    </row>
    <row r="43" ht="30.0" hidden="1" customHeight="1">
      <c r="A43" s="30" t="s">
        <v>79</v>
      </c>
      <c r="B43" s="30" t="s">
        <v>80</v>
      </c>
      <c r="C43" s="27" t="s">
        <v>17</v>
      </c>
      <c r="D43" s="30" t="s">
        <v>139</v>
      </c>
      <c r="E43" s="30" t="s">
        <v>140</v>
      </c>
      <c r="F43" s="27" t="s">
        <v>17</v>
      </c>
      <c r="G43" s="31" t="s">
        <v>50</v>
      </c>
      <c r="H43" s="32" t="s">
        <v>45</v>
      </c>
      <c r="I43" s="32">
        <f t="shared" si="1"/>
        <v>5</v>
      </c>
      <c r="J43" s="30" t="s">
        <v>151</v>
      </c>
      <c r="K43" s="30" t="s">
        <v>152</v>
      </c>
    </row>
    <row r="44" ht="30.0" hidden="1" customHeight="1">
      <c r="A44" s="26" t="s">
        <v>139</v>
      </c>
      <c r="B44" s="26" t="s">
        <v>140</v>
      </c>
      <c r="C44" s="27" t="s">
        <v>17</v>
      </c>
      <c r="D44" s="26" t="s">
        <v>48</v>
      </c>
      <c r="E44" s="26" t="s">
        <v>49</v>
      </c>
      <c r="F44" s="27" t="s">
        <v>14</v>
      </c>
      <c r="G44" s="33" t="s">
        <v>39</v>
      </c>
      <c r="H44" s="29" t="s">
        <v>40</v>
      </c>
      <c r="I44" s="29">
        <f t="shared" si="1"/>
        <v>3</v>
      </c>
      <c r="J44" s="26" t="s">
        <v>153</v>
      </c>
      <c r="K44" s="26" t="s">
        <v>154</v>
      </c>
    </row>
    <row r="45" ht="30.0" hidden="1" customHeight="1">
      <c r="A45" s="30" t="s">
        <v>139</v>
      </c>
      <c r="B45" s="30" t="s">
        <v>140</v>
      </c>
      <c r="C45" s="27" t="s">
        <v>17</v>
      </c>
      <c r="D45" s="30" t="s">
        <v>135</v>
      </c>
      <c r="E45" s="30" t="s">
        <v>136</v>
      </c>
      <c r="F45" s="27" t="s">
        <v>18</v>
      </c>
      <c r="G45" s="31" t="s">
        <v>50</v>
      </c>
      <c r="H45" s="32" t="s">
        <v>45</v>
      </c>
      <c r="I45" s="32">
        <f t="shared" si="1"/>
        <v>5</v>
      </c>
      <c r="J45" s="30" t="s">
        <v>155</v>
      </c>
      <c r="K45" s="30" t="s">
        <v>156</v>
      </c>
    </row>
    <row r="46" ht="30.0" hidden="1" customHeight="1">
      <c r="A46" s="26" t="s">
        <v>125</v>
      </c>
      <c r="B46" s="26" t="s">
        <v>126</v>
      </c>
      <c r="C46" s="27" t="s">
        <v>18</v>
      </c>
      <c r="D46" s="26" t="s">
        <v>129</v>
      </c>
      <c r="E46" s="26" t="s">
        <v>130</v>
      </c>
      <c r="F46" s="27" t="s">
        <v>18</v>
      </c>
      <c r="G46" s="33" t="s">
        <v>39</v>
      </c>
      <c r="H46" s="32" t="s">
        <v>45</v>
      </c>
      <c r="I46" s="32">
        <f t="shared" si="1"/>
        <v>5</v>
      </c>
      <c r="J46" s="26" t="s">
        <v>157</v>
      </c>
      <c r="K46" s="26" t="s">
        <v>158</v>
      </c>
    </row>
    <row r="47" ht="30.0" hidden="1" customHeight="1">
      <c r="A47" s="30" t="s">
        <v>125</v>
      </c>
      <c r="B47" s="30" t="s">
        <v>126</v>
      </c>
      <c r="C47" s="27" t="s">
        <v>18</v>
      </c>
      <c r="D47" s="30" t="s">
        <v>53</v>
      </c>
      <c r="E47" s="30" t="s">
        <v>54</v>
      </c>
      <c r="F47" s="27" t="s">
        <v>18</v>
      </c>
      <c r="G47" s="31" t="s">
        <v>39</v>
      </c>
      <c r="H47" s="32" t="s">
        <v>45</v>
      </c>
      <c r="I47" s="32">
        <f t="shared" si="1"/>
        <v>5</v>
      </c>
      <c r="J47" s="30" t="s">
        <v>159</v>
      </c>
      <c r="K47" s="30" t="s">
        <v>160</v>
      </c>
    </row>
    <row r="48" ht="30.0" hidden="1" customHeight="1">
      <c r="A48" s="26" t="s">
        <v>125</v>
      </c>
      <c r="B48" s="26" t="s">
        <v>126</v>
      </c>
      <c r="C48" s="27" t="s">
        <v>18</v>
      </c>
      <c r="D48" s="26" t="s">
        <v>65</v>
      </c>
      <c r="E48" s="26" t="s">
        <v>66</v>
      </c>
      <c r="F48" s="27" t="s">
        <v>14</v>
      </c>
      <c r="G48" s="33" t="s">
        <v>39</v>
      </c>
      <c r="H48" s="29" t="s">
        <v>40</v>
      </c>
      <c r="I48" s="29">
        <f t="shared" si="1"/>
        <v>3</v>
      </c>
      <c r="J48" s="26" t="s">
        <v>161</v>
      </c>
      <c r="K48" s="26" t="s">
        <v>162</v>
      </c>
    </row>
    <row r="49" ht="30.0" hidden="1" customHeight="1">
      <c r="A49" s="30" t="s">
        <v>125</v>
      </c>
      <c r="B49" s="30" t="s">
        <v>126</v>
      </c>
      <c r="C49" s="27" t="s">
        <v>18</v>
      </c>
      <c r="D49" s="30" t="s">
        <v>48</v>
      </c>
      <c r="E49" s="30" t="s">
        <v>49</v>
      </c>
      <c r="F49" s="27" t="s">
        <v>14</v>
      </c>
      <c r="G49" s="31" t="s">
        <v>39</v>
      </c>
      <c r="H49" s="29" t="s">
        <v>40</v>
      </c>
      <c r="I49" s="29">
        <f t="shared" si="1"/>
        <v>3</v>
      </c>
      <c r="J49" s="30" t="s">
        <v>163</v>
      </c>
      <c r="K49" s="30" t="s">
        <v>164</v>
      </c>
    </row>
    <row r="50" ht="30.0" hidden="1" customHeight="1">
      <c r="A50" s="26" t="s">
        <v>125</v>
      </c>
      <c r="B50" s="26" t="s">
        <v>126</v>
      </c>
      <c r="C50" s="27" t="s">
        <v>18</v>
      </c>
      <c r="D50" s="26" t="s">
        <v>105</v>
      </c>
      <c r="E50" s="26" t="s">
        <v>106</v>
      </c>
      <c r="F50" s="27" t="s">
        <v>16</v>
      </c>
      <c r="G50" s="33" t="s">
        <v>39</v>
      </c>
      <c r="H50" s="29" t="s">
        <v>40</v>
      </c>
      <c r="I50" s="29">
        <f t="shared" si="1"/>
        <v>3</v>
      </c>
      <c r="J50" s="26" t="s">
        <v>165</v>
      </c>
      <c r="K50" s="26" t="s">
        <v>166</v>
      </c>
    </row>
    <row r="51" ht="30.0" hidden="1" customHeight="1">
      <c r="A51" s="30" t="s">
        <v>129</v>
      </c>
      <c r="B51" s="30" t="s">
        <v>130</v>
      </c>
      <c r="C51" s="27" t="s">
        <v>18</v>
      </c>
      <c r="D51" s="30" t="s">
        <v>53</v>
      </c>
      <c r="E51" s="30" t="s">
        <v>54</v>
      </c>
      <c r="F51" s="27" t="s">
        <v>18</v>
      </c>
      <c r="G51" s="31" t="s">
        <v>39</v>
      </c>
      <c r="H51" s="32" t="s">
        <v>45</v>
      </c>
      <c r="I51" s="32">
        <f t="shared" si="1"/>
        <v>5</v>
      </c>
      <c r="J51" s="30" t="s">
        <v>167</v>
      </c>
      <c r="K51" s="30" t="s">
        <v>168</v>
      </c>
    </row>
    <row r="52" ht="30.0" hidden="1" customHeight="1">
      <c r="A52" s="26" t="s">
        <v>53</v>
      </c>
      <c r="B52" s="26" t="s">
        <v>54</v>
      </c>
      <c r="C52" s="27" t="s">
        <v>18</v>
      </c>
      <c r="D52" s="26" t="s">
        <v>135</v>
      </c>
      <c r="E52" s="26" t="s">
        <v>136</v>
      </c>
      <c r="F52" s="27" t="s">
        <v>18</v>
      </c>
      <c r="G52" s="33" t="s">
        <v>39</v>
      </c>
      <c r="H52" s="32" t="s">
        <v>45</v>
      </c>
      <c r="I52" s="32">
        <f t="shared" si="1"/>
        <v>5</v>
      </c>
      <c r="J52" s="26" t="s">
        <v>169</v>
      </c>
      <c r="K52" s="26" t="s">
        <v>170</v>
      </c>
    </row>
    <row r="53" ht="30.0" hidden="1" customHeight="1">
      <c r="A53" s="30" t="s">
        <v>53</v>
      </c>
      <c r="B53" s="30" t="s">
        <v>54</v>
      </c>
      <c r="C53" s="27" t="s">
        <v>18</v>
      </c>
      <c r="D53" s="30" t="s">
        <v>35</v>
      </c>
      <c r="E53" s="30" t="s">
        <v>36</v>
      </c>
      <c r="F53" s="27" t="s">
        <v>14</v>
      </c>
      <c r="G53" s="31" t="s">
        <v>39</v>
      </c>
      <c r="H53" s="32" t="s">
        <v>45</v>
      </c>
      <c r="I53" s="32">
        <f t="shared" si="1"/>
        <v>5</v>
      </c>
      <c r="J53" s="30" t="s">
        <v>171</v>
      </c>
      <c r="K53" s="30" t="s">
        <v>172</v>
      </c>
    </row>
    <row r="54" ht="30.0" hidden="1" customHeight="1">
      <c r="A54" s="26" t="s">
        <v>53</v>
      </c>
      <c r="B54" s="26" t="s">
        <v>54</v>
      </c>
      <c r="C54" s="27" t="s">
        <v>18</v>
      </c>
      <c r="D54" s="26" t="s">
        <v>71</v>
      </c>
      <c r="E54" s="26" t="s">
        <v>72</v>
      </c>
      <c r="F54" s="27" t="s">
        <v>14</v>
      </c>
      <c r="G54" s="33" t="s">
        <v>39</v>
      </c>
      <c r="H54" s="32" t="s">
        <v>45</v>
      </c>
      <c r="I54" s="32">
        <f t="shared" si="1"/>
        <v>5</v>
      </c>
      <c r="J54" s="26" t="s">
        <v>173</v>
      </c>
      <c r="K54" s="26" t="s">
        <v>174</v>
      </c>
    </row>
    <row r="55" ht="30.0" hidden="1" customHeight="1">
      <c r="A55" s="30" t="s">
        <v>53</v>
      </c>
      <c r="B55" s="30" t="s">
        <v>54</v>
      </c>
      <c r="C55" s="27" t="s">
        <v>18</v>
      </c>
      <c r="D55" s="30" t="s">
        <v>89</v>
      </c>
      <c r="E55" s="30" t="s">
        <v>90</v>
      </c>
      <c r="F55" s="27" t="s">
        <v>15</v>
      </c>
      <c r="G55" s="31" t="s">
        <v>39</v>
      </c>
      <c r="H55" s="32" t="s">
        <v>45</v>
      </c>
      <c r="I55" s="32">
        <f t="shared" si="1"/>
        <v>5</v>
      </c>
      <c r="J55" s="30" t="s">
        <v>175</v>
      </c>
      <c r="K55" s="30" t="s">
        <v>176</v>
      </c>
    </row>
    <row r="56" ht="30.0" hidden="1" customHeight="1">
      <c r="A56" s="26" t="s">
        <v>53</v>
      </c>
      <c r="B56" s="26" t="s">
        <v>54</v>
      </c>
      <c r="C56" s="27" t="s">
        <v>18</v>
      </c>
      <c r="D56" s="26" t="s">
        <v>57</v>
      </c>
      <c r="E56" s="26" t="s">
        <v>58</v>
      </c>
      <c r="F56" s="27" t="s">
        <v>15</v>
      </c>
      <c r="G56" s="33" t="s">
        <v>39</v>
      </c>
      <c r="H56" s="29" t="s">
        <v>40</v>
      </c>
      <c r="I56" s="29">
        <f t="shared" si="1"/>
        <v>3</v>
      </c>
      <c r="J56" s="26" t="s">
        <v>177</v>
      </c>
      <c r="K56" s="26" t="s">
        <v>178</v>
      </c>
    </row>
    <row r="57" ht="30.0" hidden="1" customHeight="1">
      <c r="A57" s="30" t="s">
        <v>53</v>
      </c>
      <c r="B57" s="30" t="s">
        <v>54</v>
      </c>
      <c r="C57" s="27" t="s">
        <v>18</v>
      </c>
      <c r="D57" s="30" t="s">
        <v>61</v>
      </c>
      <c r="E57" s="30" t="s">
        <v>62</v>
      </c>
      <c r="F57" s="27" t="s">
        <v>15</v>
      </c>
      <c r="G57" s="31" t="s">
        <v>39</v>
      </c>
      <c r="H57" s="29" t="s">
        <v>40</v>
      </c>
      <c r="I57" s="29">
        <f t="shared" si="1"/>
        <v>3</v>
      </c>
      <c r="J57" s="30" t="s">
        <v>179</v>
      </c>
      <c r="K57" s="30" t="s">
        <v>180</v>
      </c>
    </row>
    <row r="58" ht="30.0" hidden="1" customHeight="1">
      <c r="A58" s="26" t="s">
        <v>135</v>
      </c>
      <c r="B58" s="26" t="s">
        <v>136</v>
      </c>
      <c r="C58" s="27" t="s">
        <v>18</v>
      </c>
      <c r="D58" s="26" t="s">
        <v>75</v>
      </c>
      <c r="E58" s="26" t="s">
        <v>76</v>
      </c>
      <c r="F58" s="27" t="s">
        <v>16</v>
      </c>
      <c r="G58" s="33" t="s">
        <v>50</v>
      </c>
      <c r="H58" s="29" t="s">
        <v>40</v>
      </c>
      <c r="I58" s="29">
        <f t="shared" si="1"/>
        <v>3</v>
      </c>
      <c r="J58" s="26" t="s">
        <v>181</v>
      </c>
      <c r="K58" s="26" t="s">
        <v>182</v>
      </c>
    </row>
    <row r="59" ht="30.0" hidden="1" customHeight="1">
      <c r="A59" s="30" t="s">
        <v>135</v>
      </c>
      <c r="B59" s="30" t="s">
        <v>136</v>
      </c>
      <c r="C59" s="27" t="s">
        <v>18</v>
      </c>
      <c r="D59" s="30" t="s">
        <v>139</v>
      </c>
      <c r="E59" s="30" t="s">
        <v>140</v>
      </c>
      <c r="F59" s="27" t="s">
        <v>17</v>
      </c>
      <c r="G59" s="31" t="s">
        <v>39</v>
      </c>
      <c r="H59" s="32" t="s">
        <v>45</v>
      </c>
      <c r="I59" s="32">
        <f t="shared" si="1"/>
        <v>5</v>
      </c>
      <c r="J59" s="30" t="s">
        <v>183</v>
      </c>
      <c r="K59" s="30" t="s">
        <v>184</v>
      </c>
    </row>
    <row r="60" ht="30.0" hidden="1" customHeight="1">
      <c r="A60" s="26" t="s">
        <v>135</v>
      </c>
      <c r="B60" s="26" t="s">
        <v>136</v>
      </c>
      <c r="C60" s="27" t="s">
        <v>18</v>
      </c>
      <c r="D60" s="26" t="s">
        <v>65</v>
      </c>
      <c r="E60" s="26" t="s">
        <v>66</v>
      </c>
      <c r="F60" s="27" t="s">
        <v>14</v>
      </c>
      <c r="G60" s="33" t="s">
        <v>39</v>
      </c>
      <c r="H60" s="29" t="s">
        <v>40</v>
      </c>
      <c r="I60" s="29">
        <f t="shared" si="1"/>
        <v>3</v>
      </c>
      <c r="J60" s="26" t="s">
        <v>185</v>
      </c>
      <c r="K60" s="26" t="s">
        <v>186</v>
      </c>
    </row>
    <row r="61" ht="30.0" hidden="1" customHeight="1">
      <c r="A61" s="30" t="s">
        <v>135</v>
      </c>
      <c r="B61" s="30" t="s">
        <v>136</v>
      </c>
      <c r="C61" s="27" t="s">
        <v>18</v>
      </c>
      <c r="D61" s="30" t="s">
        <v>37</v>
      </c>
      <c r="E61" s="30" t="s">
        <v>38</v>
      </c>
      <c r="F61" s="27" t="s">
        <v>16</v>
      </c>
      <c r="G61" s="31" t="s">
        <v>39</v>
      </c>
      <c r="H61" s="29" t="s">
        <v>40</v>
      </c>
      <c r="I61" s="29">
        <f t="shared" si="1"/>
        <v>3</v>
      </c>
      <c r="J61" s="30" t="s">
        <v>187</v>
      </c>
      <c r="K61" s="30" t="s">
        <v>188</v>
      </c>
    </row>
    <row r="62" ht="15.0" customHeight="1">
      <c r="A62" s="20"/>
      <c r="B62" s="20"/>
      <c r="C62" s="20"/>
      <c r="D62" s="20"/>
      <c r="E62" s="20"/>
      <c r="F62" s="20"/>
      <c r="G62" s="20"/>
      <c r="H62" s="20"/>
      <c r="I62" s="20" t="str">
        <f t="shared" si="1"/>
        <v/>
      </c>
      <c r="J62" s="20"/>
      <c r="K62" s="20"/>
    </row>
    <row r="63" ht="15.0" customHeight="1">
      <c r="A63" s="20"/>
      <c r="B63" s="20"/>
      <c r="C63" s="20"/>
      <c r="D63" s="20"/>
      <c r="E63" s="20"/>
      <c r="F63" s="20"/>
      <c r="G63" s="20"/>
      <c r="H63" s="20"/>
      <c r="I63" s="20" t="str">
        <f t="shared" si="1"/>
        <v/>
      </c>
      <c r="J63" s="20"/>
      <c r="K63" s="20"/>
    </row>
    <row r="64" ht="21.75" customHeight="1">
      <c r="A64" s="35" t="s">
        <v>189</v>
      </c>
      <c r="B64" s="22"/>
      <c r="C64" s="22"/>
      <c r="D64" s="22"/>
      <c r="E64" s="22"/>
      <c r="F64" s="22"/>
      <c r="G64" s="22"/>
      <c r="H64" s="22"/>
      <c r="I64" s="22"/>
      <c r="J64" s="22"/>
      <c r="K64" s="23"/>
    </row>
    <row r="65" ht="18.0" customHeight="1">
      <c r="A65" s="36" t="s">
        <v>39</v>
      </c>
      <c r="B65" s="37" t="s">
        <v>190</v>
      </c>
      <c r="C65" s="2"/>
      <c r="D65" s="2"/>
      <c r="E65" s="2"/>
      <c r="F65" s="2"/>
      <c r="G65" s="2"/>
      <c r="H65" s="2"/>
      <c r="I65" s="2"/>
      <c r="J65" s="2"/>
      <c r="K65" s="38"/>
    </row>
    <row r="66" ht="18.0" customHeight="1">
      <c r="A66" s="36" t="s">
        <v>50</v>
      </c>
      <c r="B66" s="37" t="s">
        <v>191</v>
      </c>
      <c r="C66" s="2"/>
      <c r="D66" s="2"/>
      <c r="E66" s="2"/>
      <c r="F66" s="2"/>
      <c r="G66" s="2"/>
      <c r="H66" s="2"/>
      <c r="I66" s="2"/>
      <c r="J66" s="2"/>
      <c r="K66" s="38"/>
    </row>
    <row r="67" ht="18.0" customHeight="1">
      <c r="A67" s="39" t="s">
        <v>192</v>
      </c>
      <c r="B67" s="40" t="s">
        <v>193</v>
      </c>
      <c r="C67" s="2"/>
      <c r="D67" s="2"/>
      <c r="E67" s="2"/>
      <c r="F67" s="2"/>
      <c r="G67" s="2"/>
      <c r="H67" s="2"/>
      <c r="I67" s="2"/>
      <c r="J67" s="2"/>
      <c r="K67" s="38"/>
    </row>
    <row r="68" ht="18.0" customHeight="1">
      <c r="A68" s="36" t="s">
        <v>194</v>
      </c>
      <c r="B68" s="41" t="s">
        <v>195</v>
      </c>
      <c r="C68" s="2"/>
      <c r="D68" s="2"/>
      <c r="E68" s="2"/>
      <c r="F68" s="2"/>
      <c r="G68" s="2"/>
      <c r="H68" s="2"/>
      <c r="I68" s="2"/>
      <c r="J68" s="2"/>
      <c r="K68" s="38"/>
    </row>
    <row r="69" ht="18.0" customHeight="1">
      <c r="A69" s="36" t="s">
        <v>196</v>
      </c>
      <c r="B69" s="41" t="s">
        <v>197</v>
      </c>
      <c r="C69" s="2"/>
      <c r="D69" s="2"/>
      <c r="E69" s="2"/>
      <c r="F69" s="2"/>
      <c r="G69" s="2"/>
      <c r="H69" s="2"/>
      <c r="I69" s="2"/>
      <c r="J69" s="2"/>
      <c r="K69" s="38"/>
    </row>
    <row r="70" ht="15.0" customHeight="1">
      <c r="A70" s="20"/>
      <c r="B70" s="20"/>
      <c r="C70" s="20"/>
      <c r="D70" s="20"/>
      <c r="E70" s="20"/>
      <c r="F70" s="20"/>
      <c r="G70" s="20"/>
      <c r="H70" s="20"/>
      <c r="I70" s="20" t="str">
        <f t="shared" ref="I70:I202" si="2">IF(H70="Alta",5,IF(H70="Media",3,IF(H70="Baja",1,IF(H70="","",0))))</f>
        <v/>
      </c>
      <c r="J70" s="20"/>
      <c r="K70" s="20"/>
    </row>
    <row r="71" ht="15.0" customHeight="1">
      <c r="A71" s="20"/>
      <c r="B71" s="20"/>
      <c r="C71" s="20"/>
      <c r="D71" s="20"/>
      <c r="E71" s="20"/>
      <c r="F71" s="20"/>
      <c r="G71" s="20"/>
      <c r="H71" s="20"/>
      <c r="I71" s="20" t="str">
        <f t="shared" si="2"/>
        <v/>
      </c>
      <c r="J71" s="20"/>
      <c r="K71" s="20"/>
    </row>
    <row r="72" ht="15.0" customHeight="1">
      <c r="A72" s="20"/>
      <c r="B72" s="20"/>
      <c r="C72" s="20"/>
      <c r="D72" s="20"/>
      <c r="E72" s="20"/>
      <c r="F72" s="20"/>
      <c r="G72" s="20"/>
      <c r="H72" s="20"/>
      <c r="I72" s="20" t="str">
        <f t="shared" si="2"/>
        <v/>
      </c>
      <c r="J72" s="20"/>
      <c r="K72" s="20"/>
    </row>
    <row r="73" ht="15.0" customHeight="1">
      <c r="A73" s="20"/>
      <c r="B73" s="20"/>
      <c r="C73" s="20"/>
      <c r="D73" s="20"/>
      <c r="E73" s="20"/>
      <c r="F73" s="20"/>
      <c r="G73" s="20"/>
      <c r="H73" s="20"/>
      <c r="I73" s="20" t="str">
        <f t="shared" si="2"/>
        <v/>
      </c>
      <c r="J73" s="20"/>
      <c r="K73" s="20"/>
    </row>
    <row r="74" ht="15.0" customHeight="1">
      <c r="A74" s="20"/>
      <c r="B74" s="20"/>
      <c r="C74" s="20"/>
      <c r="D74" s="20"/>
      <c r="E74" s="20"/>
      <c r="F74" s="20"/>
      <c r="G74" s="20"/>
      <c r="H74" s="20"/>
      <c r="I74" s="20" t="str">
        <f t="shared" si="2"/>
        <v/>
      </c>
      <c r="J74" s="20"/>
      <c r="K74" s="20"/>
    </row>
    <row r="75" ht="15.0" customHeight="1">
      <c r="A75" s="20"/>
      <c r="B75" s="20"/>
      <c r="C75" s="20"/>
      <c r="D75" s="20"/>
      <c r="E75" s="20"/>
      <c r="F75" s="20"/>
      <c r="G75" s="20"/>
      <c r="H75" s="20"/>
      <c r="I75" s="20" t="str">
        <f t="shared" si="2"/>
        <v/>
      </c>
      <c r="J75" s="20"/>
      <c r="K75" s="20"/>
    </row>
    <row r="76" ht="15.0" customHeight="1">
      <c r="A76" s="20"/>
      <c r="B76" s="20"/>
      <c r="C76" s="20"/>
      <c r="D76" s="20"/>
      <c r="E76" s="20"/>
      <c r="F76" s="20"/>
      <c r="G76" s="20"/>
      <c r="H76" s="20"/>
      <c r="I76" s="20" t="str">
        <f t="shared" si="2"/>
        <v/>
      </c>
      <c r="J76" s="20"/>
      <c r="K76" s="20"/>
    </row>
    <row r="77" ht="15.0" customHeight="1">
      <c r="A77" s="20"/>
      <c r="B77" s="20"/>
      <c r="C77" s="20"/>
      <c r="D77" s="20"/>
      <c r="E77" s="20"/>
      <c r="F77" s="20"/>
      <c r="G77" s="20"/>
      <c r="H77" s="20"/>
      <c r="I77" s="20" t="str">
        <f t="shared" si="2"/>
        <v/>
      </c>
      <c r="J77" s="20"/>
      <c r="K77" s="20"/>
    </row>
    <row r="78" ht="15.0" customHeight="1">
      <c r="A78" s="20"/>
      <c r="B78" s="20"/>
      <c r="C78" s="20"/>
      <c r="D78" s="20"/>
      <c r="E78" s="20"/>
      <c r="F78" s="20"/>
      <c r="G78" s="20"/>
      <c r="H78" s="20"/>
      <c r="I78" s="20" t="str">
        <f t="shared" si="2"/>
        <v/>
      </c>
      <c r="J78" s="20"/>
      <c r="K78" s="20"/>
    </row>
    <row r="79" ht="15.0" customHeight="1">
      <c r="A79" s="20"/>
      <c r="B79" s="20"/>
      <c r="C79" s="20"/>
      <c r="D79" s="20"/>
      <c r="E79" s="20"/>
      <c r="F79" s="20"/>
      <c r="G79" s="20"/>
      <c r="H79" s="20"/>
      <c r="I79" s="20" t="str">
        <f t="shared" si="2"/>
        <v/>
      </c>
      <c r="J79" s="20"/>
      <c r="K79" s="20"/>
    </row>
    <row r="80" ht="15.0" customHeight="1">
      <c r="A80" s="20"/>
      <c r="B80" s="20"/>
      <c r="C80" s="20"/>
      <c r="D80" s="20"/>
      <c r="E80" s="20"/>
      <c r="F80" s="20"/>
      <c r="G80" s="20"/>
      <c r="H80" s="20"/>
      <c r="I80" s="20" t="str">
        <f t="shared" si="2"/>
        <v/>
      </c>
      <c r="J80" s="20"/>
      <c r="K80" s="20"/>
    </row>
    <row r="81" ht="15.0" customHeight="1">
      <c r="A81" s="20"/>
      <c r="B81" s="20"/>
      <c r="C81" s="20"/>
      <c r="D81" s="20"/>
      <c r="E81" s="20"/>
      <c r="F81" s="20"/>
      <c r="G81" s="20"/>
      <c r="H81" s="20"/>
      <c r="I81" s="20" t="str">
        <f t="shared" si="2"/>
        <v/>
      </c>
      <c r="J81" s="20"/>
      <c r="K81" s="20"/>
    </row>
    <row r="82" ht="15.0" customHeight="1">
      <c r="A82" s="20"/>
      <c r="B82" s="20"/>
      <c r="C82" s="20"/>
      <c r="D82" s="20"/>
      <c r="E82" s="20"/>
      <c r="F82" s="20"/>
      <c r="G82" s="20"/>
      <c r="H82" s="20"/>
      <c r="I82" s="20" t="str">
        <f t="shared" si="2"/>
        <v/>
      </c>
      <c r="J82" s="20"/>
      <c r="K82" s="20"/>
    </row>
    <row r="83" ht="15.0" customHeight="1">
      <c r="A83" s="20"/>
      <c r="B83" s="20"/>
      <c r="C83" s="20"/>
      <c r="D83" s="20"/>
      <c r="E83" s="20"/>
      <c r="F83" s="20"/>
      <c r="G83" s="20"/>
      <c r="H83" s="20"/>
      <c r="I83" s="20" t="str">
        <f t="shared" si="2"/>
        <v/>
      </c>
      <c r="J83" s="20"/>
      <c r="K83" s="20"/>
    </row>
    <row r="84" ht="15.0" customHeight="1">
      <c r="A84" s="20"/>
      <c r="B84" s="20"/>
      <c r="C84" s="20"/>
      <c r="D84" s="20"/>
      <c r="E84" s="20"/>
      <c r="F84" s="20"/>
      <c r="G84" s="20"/>
      <c r="H84" s="20"/>
      <c r="I84" s="20" t="str">
        <f t="shared" si="2"/>
        <v/>
      </c>
      <c r="J84" s="20"/>
      <c r="K84" s="20"/>
    </row>
    <row r="85" ht="15.0" customHeight="1">
      <c r="A85" s="20"/>
      <c r="B85" s="20"/>
      <c r="C85" s="20"/>
      <c r="D85" s="20"/>
      <c r="E85" s="20"/>
      <c r="F85" s="20"/>
      <c r="G85" s="20"/>
      <c r="H85" s="20"/>
      <c r="I85" s="20" t="str">
        <f t="shared" si="2"/>
        <v/>
      </c>
      <c r="J85" s="20"/>
      <c r="K85" s="20"/>
    </row>
    <row r="86" ht="15.0" customHeight="1">
      <c r="A86" s="20"/>
      <c r="B86" s="20"/>
      <c r="C86" s="20"/>
      <c r="D86" s="20"/>
      <c r="E86" s="20"/>
      <c r="F86" s="20"/>
      <c r="G86" s="20"/>
      <c r="H86" s="20"/>
      <c r="I86" s="20" t="str">
        <f t="shared" si="2"/>
        <v/>
      </c>
      <c r="J86" s="20"/>
      <c r="K86" s="20"/>
    </row>
    <row r="87" ht="15.0" customHeight="1">
      <c r="A87" s="20"/>
      <c r="B87" s="20"/>
      <c r="C87" s="20"/>
      <c r="D87" s="20"/>
      <c r="E87" s="20"/>
      <c r="F87" s="20"/>
      <c r="G87" s="20"/>
      <c r="H87" s="20"/>
      <c r="I87" s="20" t="str">
        <f t="shared" si="2"/>
        <v/>
      </c>
      <c r="J87" s="20"/>
      <c r="K87" s="20"/>
    </row>
    <row r="88" ht="15.0" customHeight="1">
      <c r="A88" s="20"/>
      <c r="B88" s="20"/>
      <c r="C88" s="20"/>
      <c r="D88" s="20"/>
      <c r="E88" s="20"/>
      <c r="F88" s="20"/>
      <c r="G88" s="20"/>
      <c r="H88" s="20"/>
      <c r="I88" s="20" t="str">
        <f t="shared" si="2"/>
        <v/>
      </c>
      <c r="J88" s="20"/>
      <c r="K88" s="20"/>
    </row>
    <row r="89" ht="15.0" customHeight="1">
      <c r="A89" s="20"/>
      <c r="B89" s="20"/>
      <c r="C89" s="20"/>
      <c r="D89" s="20"/>
      <c r="E89" s="20"/>
      <c r="F89" s="20"/>
      <c r="G89" s="20"/>
      <c r="H89" s="20"/>
      <c r="I89" s="20" t="str">
        <f t="shared" si="2"/>
        <v/>
      </c>
      <c r="J89" s="20"/>
      <c r="K89" s="20"/>
    </row>
    <row r="90" ht="15.0" customHeight="1">
      <c r="A90" s="20"/>
      <c r="B90" s="20"/>
      <c r="C90" s="20"/>
      <c r="D90" s="20"/>
      <c r="E90" s="20"/>
      <c r="F90" s="20"/>
      <c r="G90" s="20"/>
      <c r="H90" s="20"/>
      <c r="I90" s="20" t="str">
        <f t="shared" si="2"/>
        <v/>
      </c>
      <c r="J90" s="20"/>
      <c r="K90" s="20"/>
    </row>
    <row r="91" ht="15.0" customHeight="1">
      <c r="A91" s="20"/>
      <c r="B91" s="20"/>
      <c r="C91" s="20"/>
      <c r="D91" s="20"/>
      <c r="E91" s="20"/>
      <c r="F91" s="20"/>
      <c r="G91" s="20"/>
      <c r="H91" s="20"/>
      <c r="I91" s="20" t="str">
        <f t="shared" si="2"/>
        <v/>
      </c>
      <c r="J91" s="20"/>
      <c r="K91" s="20"/>
    </row>
    <row r="92" ht="15.0" customHeight="1">
      <c r="A92" s="20"/>
      <c r="B92" s="20"/>
      <c r="C92" s="20"/>
      <c r="D92" s="20"/>
      <c r="E92" s="20"/>
      <c r="F92" s="20"/>
      <c r="G92" s="20"/>
      <c r="H92" s="20"/>
      <c r="I92" s="20" t="str">
        <f t="shared" si="2"/>
        <v/>
      </c>
      <c r="J92" s="20"/>
      <c r="K92" s="20"/>
    </row>
    <row r="93" ht="15.0" customHeight="1">
      <c r="A93" s="20"/>
      <c r="B93" s="20"/>
      <c r="C93" s="20"/>
      <c r="D93" s="20"/>
      <c r="E93" s="20"/>
      <c r="F93" s="20"/>
      <c r="G93" s="20"/>
      <c r="H93" s="20"/>
      <c r="I93" s="20" t="str">
        <f t="shared" si="2"/>
        <v/>
      </c>
      <c r="J93" s="20"/>
      <c r="K93" s="20"/>
    </row>
    <row r="94" ht="15.0" customHeight="1">
      <c r="A94" s="20"/>
      <c r="B94" s="20"/>
      <c r="C94" s="20"/>
      <c r="D94" s="20"/>
      <c r="E94" s="20"/>
      <c r="F94" s="20"/>
      <c r="G94" s="20"/>
      <c r="H94" s="20"/>
      <c r="I94" s="20" t="str">
        <f t="shared" si="2"/>
        <v/>
      </c>
      <c r="J94" s="20"/>
      <c r="K94" s="20"/>
    </row>
    <row r="95" ht="15.0" customHeight="1">
      <c r="A95" s="20"/>
      <c r="B95" s="20"/>
      <c r="C95" s="20"/>
      <c r="D95" s="20"/>
      <c r="E95" s="20"/>
      <c r="F95" s="20"/>
      <c r="G95" s="20"/>
      <c r="H95" s="20"/>
      <c r="I95" s="20" t="str">
        <f t="shared" si="2"/>
        <v/>
      </c>
      <c r="J95" s="20"/>
      <c r="K95" s="20"/>
    </row>
    <row r="96" ht="15.0" customHeight="1">
      <c r="A96" s="20"/>
      <c r="B96" s="20"/>
      <c r="C96" s="20"/>
      <c r="D96" s="20"/>
      <c r="E96" s="20"/>
      <c r="F96" s="20"/>
      <c r="G96" s="20"/>
      <c r="H96" s="20"/>
      <c r="I96" s="20" t="str">
        <f t="shared" si="2"/>
        <v/>
      </c>
      <c r="J96" s="20"/>
      <c r="K96" s="20"/>
    </row>
    <row r="97" ht="15.0" customHeight="1">
      <c r="A97" s="20"/>
      <c r="B97" s="20"/>
      <c r="C97" s="20"/>
      <c r="D97" s="20"/>
      <c r="E97" s="20"/>
      <c r="F97" s="20"/>
      <c r="G97" s="20"/>
      <c r="H97" s="20"/>
      <c r="I97" s="20" t="str">
        <f t="shared" si="2"/>
        <v/>
      </c>
      <c r="J97" s="20"/>
      <c r="K97" s="20"/>
    </row>
    <row r="98" ht="15.0" customHeight="1">
      <c r="A98" s="20"/>
      <c r="B98" s="20"/>
      <c r="C98" s="20"/>
      <c r="D98" s="20"/>
      <c r="E98" s="20"/>
      <c r="F98" s="20"/>
      <c r="G98" s="20"/>
      <c r="H98" s="20"/>
      <c r="I98" s="20" t="str">
        <f t="shared" si="2"/>
        <v/>
      </c>
      <c r="J98" s="20"/>
      <c r="K98" s="20"/>
    </row>
    <row r="99" ht="15.0" customHeight="1">
      <c r="A99" s="20"/>
      <c r="B99" s="20"/>
      <c r="C99" s="20"/>
      <c r="D99" s="20"/>
      <c r="E99" s="20"/>
      <c r="F99" s="20"/>
      <c r="G99" s="20"/>
      <c r="H99" s="20"/>
      <c r="I99" s="20" t="str">
        <f t="shared" si="2"/>
        <v/>
      </c>
      <c r="J99" s="20"/>
      <c r="K99" s="20"/>
    </row>
    <row r="100" ht="15.0" customHeight="1">
      <c r="A100" s="20"/>
      <c r="B100" s="20"/>
      <c r="C100" s="20"/>
      <c r="D100" s="20"/>
      <c r="E100" s="20"/>
      <c r="F100" s="20"/>
      <c r="G100" s="20"/>
      <c r="H100" s="20"/>
      <c r="I100" s="20" t="str">
        <f t="shared" si="2"/>
        <v/>
      </c>
      <c r="J100" s="20"/>
      <c r="K100" s="20"/>
    </row>
    <row r="101" ht="15.0" customHeight="1">
      <c r="A101" s="20"/>
      <c r="B101" s="20"/>
      <c r="C101" s="20"/>
      <c r="D101" s="20"/>
      <c r="E101" s="20"/>
      <c r="F101" s="20"/>
      <c r="G101" s="20"/>
      <c r="H101" s="20"/>
      <c r="I101" s="20" t="str">
        <f t="shared" si="2"/>
        <v/>
      </c>
      <c r="J101" s="20"/>
      <c r="K101" s="20"/>
    </row>
    <row r="102" ht="15.0" customHeight="1">
      <c r="A102" s="20"/>
      <c r="B102" s="20"/>
      <c r="C102" s="20"/>
      <c r="D102" s="20"/>
      <c r="E102" s="20"/>
      <c r="F102" s="20"/>
      <c r="G102" s="20"/>
      <c r="H102" s="20"/>
      <c r="I102" s="20" t="str">
        <f t="shared" si="2"/>
        <v/>
      </c>
      <c r="J102" s="20"/>
      <c r="K102" s="20"/>
    </row>
    <row r="103" ht="15.0" customHeight="1">
      <c r="A103" s="20"/>
      <c r="B103" s="20"/>
      <c r="C103" s="20"/>
      <c r="D103" s="20"/>
      <c r="E103" s="20"/>
      <c r="F103" s="20"/>
      <c r="G103" s="20"/>
      <c r="H103" s="20"/>
      <c r="I103" s="20" t="str">
        <f t="shared" si="2"/>
        <v/>
      </c>
      <c r="J103" s="20"/>
      <c r="K103" s="20"/>
    </row>
    <row r="104" ht="15.0" customHeight="1">
      <c r="A104" s="20"/>
      <c r="B104" s="20"/>
      <c r="C104" s="20"/>
      <c r="D104" s="20"/>
      <c r="E104" s="20"/>
      <c r="F104" s="20"/>
      <c r="G104" s="20"/>
      <c r="H104" s="20"/>
      <c r="I104" s="20" t="str">
        <f t="shared" si="2"/>
        <v/>
      </c>
      <c r="J104" s="20"/>
      <c r="K104" s="20"/>
    </row>
    <row r="105" ht="15.0" customHeight="1">
      <c r="A105" s="20"/>
      <c r="B105" s="20"/>
      <c r="C105" s="20"/>
      <c r="D105" s="20"/>
      <c r="E105" s="20"/>
      <c r="F105" s="20"/>
      <c r="G105" s="20"/>
      <c r="H105" s="20"/>
      <c r="I105" s="20" t="str">
        <f t="shared" si="2"/>
        <v/>
      </c>
      <c r="J105" s="20"/>
      <c r="K105" s="20"/>
    </row>
    <row r="106" ht="15.0" customHeight="1">
      <c r="A106" s="20"/>
      <c r="B106" s="20"/>
      <c r="C106" s="20"/>
      <c r="D106" s="20"/>
      <c r="E106" s="20"/>
      <c r="F106" s="20"/>
      <c r="G106" s="20"/>
      <c r="H106" s="20"/>
      <c r="I106" s="20" t="str">
        <f t="shared" si="2"/>
        <v/>
      </c>
      <c r="J106" s="20"/>
      <c r="K106" s="20"/>
    </row>
    <row r="107" ht="15.0" customHeight="1">
      <c r="A107" s="20"/>
      <c r="B107" s="20"/>
      <c r="C107" s="20"/>
      <c r="D107" s="20"/>
      <c r="E107" s="20"/>
      <c r="F107" s="20"/>
      <c r="G107" s="20"/>
      <c r="H107" s="20"/>
      <c r="I107" s="20" t="str">
        <f t="shared" si="2"/>
        <v/>
      </c>
      <c r="J107" s="20"/>
      <c r="K107" s="20"/>
    </row>
    <row r="108" ht="15.0" customHeight="1">
      <c r="A108" s="20"/>
      <c r="B108" s="20"/>
      <c r="C108" s="20"/>
      <c r="D108" s="20"/>
      <c r="E108" s="20"/>
      <c r="F108" s="20"/>
      <c r="G108" s="20"/>
      <c r="H108" s="20"/>
      <c r="I108" s="20" t="str">
        <f t="shared" si="2"/>
        <v/>
      </c>
      <c r="J108" s="20"/>
      <c r="K108" s="20"/>
    </row>
    <row r="109" ht="15.0" customHeight="1">
      <c r="A109" s="20"/>
      <c r="B109" s="20"/>
      <c r="C109" s="20"/>
      <c r="D109" s="20"/>
      <c r="E109" s="20"/>
      <c r="F109" s="20"/>
      <c r="G109" s="20"/>
      <c r="H109" s="20"/>
      <c r="I109" s="20" t="str">
        <f t="shared" si="2"/>
        <v/>
      </c>
      <c r="J109" s="20"/>
      <c r="K109" s="20"/>
    </row>
    <row r="110" ht="15.0" customHeight="1">
      <c r="A110" s="20"/>
      <c r="B110" s="20"/>
      <c r="C110" s="20"/>
      <c r="D110" s="20"/>
      <c r="E110" s="20"/>
      <c r="F110" s="20"/>
      <c r="G110" s="20"/>
      <c r="H110" s="20"/>
      <c r="I110" s="20" t="str">
        <f t="shared" si="2"/>
        <v/>
      </c>
      <c r="J110" s="20"/>
      <c r="K110" s="20"/>
    </row>
    <row r="111" ht="15.0" customHeight="1">
      <c r="A111" s="20"/>
      <c r="B111" s="20"/>
      <c r="C111" s="20"/>
      <c r="D111" s="20"/>
      <c r="E111" s="20"/>
      <c r="F111" s="20"/>
      <c r="G111" s="20"/>
      <c r="H111" s="20"/>
      <c r="I111" s="20" t="str">
        <f t="shared" si="2"/>
        <v/>
      </c>
      <c r="J111" s="20"/>
      <c r="K111" s="20"/>
    </row>
    <row r="112" ht="15.0" customHeight="1">
      <c r="A112" s="20"/>
      <c r="B112" s="20"/>
      <c r="C112" s="20"/>
      <c r="D112" s="20"/>
      <c r="E112" s="20"/>
      <c r="F112" s="20"/>
      <c r="G112" s="20"/>
      <c r="H112" s="20"/>
      <c r="I112" s="20" t="str">
        <f t="shared" si="2"/>
        <v/>
      </c>
      <c r="J112" s="20"/>
      <c r="K112" s="20"/>
    </row>
    <row r="113" ht="15.0" customHeight="1">
      <c r="A113" s="20"/>
      <c r="B113" s="20"/>
      <c r="C113" s="20"/>
      <c r="D113" s="20"/>
      <c r="E113" s="20"/>
      <c r="F113" s="20"/>
      <c r="G113" s="20"/>
      <c r="H113" s="20"/>
      <c r="I113" s="20" t="str">
        <f t="shared" si="2"/>
        <v/>
      </c>
      <c r="J113" s="20"/>
      <c r="K113" s="20"/>
    </row>
    <row r="114" ht="15.0" customHeight="1">
      <c r="A114" s="20"/>
      <c r="B114" s="20"/>
      <c r="C114" s="20"/>
      <c r="D114" s="20"/>
      <c r="E114" s="20"/>
      <c r="F114" s="20"/>
      <c r="G114" s="20"/>
      <c r="H114" s="20"/>
      <c r="I114" s="20" t="str">
        <f t="shared" si="2"/>
        <v/>
      </c>
      <c r="J114" s="20"/>
      <c r="K114" s="20"/>
    </row>
    <row r="115" ht="15.0" customHeight="1">
      <c r="A115" s="20"/>
      <c r="B115" s="20"/>
      <c r="C115" s="20"/>
      <c r="D115" s="20"/>
      <c r="E115" s="20"/>
      <c r="F115" s="20"/>
      <c r="G115" s="20"/>
      <c r="H115" s="20"/>
      <c r="I115" s="20" t="str">
        <f t="shared" si="2"/>
        <v/>
      </c>
      <c r="J115" s="20"/>
      <c r="K115" s="20"/>
    </row>
    <row r="116" ht="15.0" customHeight="1">
      <c r="A116" s="20"/>
      <c r="B116" s="20"/>
      <c r="C116" s="20"/>
      <c r="D116" s="20"/>
      <c r="E116" s="20"/>
      <c r="F116" s="20"/>
      <c r="G116" s="20"/>
      <c r="H116" s="20"/>
      <c r="I116" s="20" t="str">
        <f t="shared" si="2"/>
        <v/>
      </c>
      <c r="J116" s="20"/>
      <c r="K116" s="20"/>
    </row>
    <row r="117" ht="15.0" customHeight="1">
      <c r="A117" s="20"/>
      <c r="B117" s="20"/>
      <c r="C117" s="20"/>
      <c r="D117" s="20"/>
      <c r="E117" s="20"/>
      <c r="F117" s="20"/>
      <c r="G117" s="20"/>
      <c r="H117" s="20"/>
      <c r="I117" s="20" t="str">
        <f t="shared" si="2"/>
        <v/>
      </c>
      <c r="J117" s="20"/>
      <c r="K117" s="20"/>
    </row>
    <row r="118" ht="15.0" customHeight="1">
      <c r="A118" s="20"/>
      <c r="B118" s="20"/>
      <c r="C118" s="20"/>
      <c r="D118" s="20"/>
      <c r="E118" s="20"/>
      <c r="F118" s="20"/>
      <c r="G118" s="20"/>
      <c r="H118" s="20"/>
      <c r="I118" s="20" t="str">
        <f t="shared" si="2"/>
        <v/>
      </c>
      <c r="J118" s="20"/>
      <c r="K118" s="20"/>
    </row>
    <row r="119" ht="15.0" customHeight="1">
      <c r="A119" s="20"/>
      <c r="B119" s="20"/>
      <c r="C119" s="20"/>
      <c r="D119" s="20"/>
      <c r="E119" s="20"/>
      <c r="F119" s="20"/>
      <c r="G119" s="20"/>
      <c r="H119" s="20"/>
      <c r="I119" s="20" t="str">
        <f t="shared" si="2"/>
        <v/>
      </c>
      <c r="J119" s="20"/>
      <c r="K119" s="20"/>
    </row>
    <row r="120" ht="15.0" customHeight="1">
      <c r="A120" s="20"/>
      <c r="B120" s="20"/>
      <c r="C120" s="20"/>
      <c r="D120" s="20"/>
      <c r="E120" s="20"/>
      <c r="F120" s="20"/>
      <c r="G120" s="20"/>
      <c r="H120" s="20"/>
      <c r="I120" s="20" t="str">
        <f t="shared" si="2"/>
        <v/>
      </c>
      <c r="J120" s="20"/>
      <c r="K120" s="20"/>
    </row>
    <row r="121" ht="15.0" customHeight="1">
      <c r="A121" s="20"/>
      <c r="B121" s="20"/>
      <c r="C121" s="20"/>
      <c r="D121" s="20"/>
      <c r="E121" s="20"/>
      <c r="F121" s="20"/>
      <c r="G121" s="20"/>
      <c r="H121" s="20"/>
      <c r="I121" s="20" t="str">
        <f t="shared" si="2"/>
        <v/>
      </c>
      <c r="J121" s="20"/>
      <c r="K121" s="20"/>
    </row>
    <row r="122" ht="15.0" customHeight="1">
      <c r="A122" s="20"/>
      <c r="B122" s="20"/>
      <c r="C122" s="20"/>
      <c r="D122" s="20"/>
      <c r="E122" s="20"/>
      <c r="F122" s="20"/>
      <c r="G122" s="20"/>
      <c r="H122" s="20"/>
      <c r="I122" s="20" t="str">
        <f t="shared" si="2"/>
        <v/>
      </c>
      <c r="J122" s="20"/>
      <c r="K122" s="20"/>
    </row>
    <row r="123" ht="15.0" customHeight="1">
      <c r="A123" s="20"/>
      <c r="B123" s="20"/>
      <c r="C123" s="20"/>
      <c r="D123" s="20"/>
      <c r="E123" s="20"/>
      <c r="F123" s="20"/>
      <c r="G123" s="20"/>
      <c r="H123" s="20"/>
      <c r="I123" s="20" t="str">
        <f t="shared" si="2"/>
        <v/>
      </c>
      <c r="J123" s="20"/>
      <c r="K123" s="20"/>
    </row>
    <row r="124" ht="15.0" customHeight="1">
      <c r="A124" s="20"/>
      <c r="B124" s="20"/>
      <c r="C124" s="20"/>
      <c r="D124" s="20"/>
      <c r="E124" s="20"/>
      <c r="F124" s="20"/>
      <c r="G124" s="20"/>
      <c r="H124" s="20"/>
      <c r="I124" s="20" t="str">
        <f t="shared" si="2"/>
        <v/>
      </c>
      <c r="J124" s="20"/>
      <c r="K124" s="20"/>
    </row>
    <row r="125" ht="15.0" customHeight="1">
      <c r="A125" s="20"/>
      <c r="B125" s="20"/>
      <c r="C125" s="20"/>
      <c r="D125" s="20"/>
      <c r="E125" s="20"/>
      <c r="F125" s="20"/>
      <c r="G125" s="20"/>
      <c r="H125" s="20"/>
      <c r="I125" s="20" t="str">
        <f t="shared" si="2"/>
        <v/>
      </c>
      <c r="J125" s="20"/>
      <c r="K125" s="20"/>
    </row>
    <row r="126" ht="15.0" customHeight="1">
      <c r="A126" s="20"/>
      <c r="B126" s="20"/>
      <c r="C126" s="20"/>
      <c r="D126" s="20"/>
      <c r="E126" s="20"/>
      <c r="F126" s="20"/>
      <c r="G126" s="20"/>
      <c r="H126" s="20"/>
      <c r="I126" s="20" t="str">
        <f t="shared" si="2"/>
        <v/>
      </c>
      <c r="J126" s="20"/>
      <c r="K126" s="20"/>
    </row>
    <row r="127" ht="15.0" customHeight="1">
      <c r="A127" s="20"/>
      <c r="B127" s="20"/>
      <c r="C127" s="20"/>
      <c r="D127" s="20"/>
      <c r="E127" s="20"/>
      <c r="F127" s="20"/>
      <c r="G127" s="20"/>
      <c r="H127" s="20"/>
      <c r="I127" s="20" t="str">
        <f t="shared" si="2"/>
        <v/>
      </c>
      <c r="J127" s="20"/>
      <c r="K127" s="20"/>
    </row>
    <row r="128" ht="15.0" customHeight="1">
      <c r="A128" s="20"/>
      <c r="B128" s="20"/>
      <c r="C128" s="20"/>
      <c r="D128" s="20"/>
      <c r="E128" s="20"/>
      <c r="F128" s="20"/>
      <c r="G128" s="20"/>
      <c r="H128" s="20"/>
      <c r="I128" s="20" t="str">
        <f t="shared" si="2"/>
        <v/>
      </c>
      <c r="J128" s="20"/>
      <c r="K128" s="20"/>
    </row>
    <row r="129" ht="15.0" customHeight="1">
      <c r="A129" s="20"/>
      <c r="B129" s="20"/>
      <c r="C129" s="20"/>
      <c r="D129" s="20"/>
      <c r="E129" s="20"/>
      <c r="F129" s="20"/>
      <c r="G129" s="20"/>
      <c r="H129" s="20"/>
      <c r="I129" s="20" t="str">
        <f t="shared" si="2"/>
        <v/>
      </c>
      <c r="J129" s="20"/>
      <c r="K129" s="20"/>
    </row>
    <row r="130" ht="15.0" customHeight="1">
      <c r="A130" s="20"/>
      <c r="B130" s="20"/>
      <c r="C130" s="20"/>
      <c r="D130" s="20"/>
      <c r="E130" s="20"/>
      <c r="F130" s="20"/>
      <c r="G130" s="20"/>
      <c r="H130" s="20"/>
      <c r="I130" s="20" t="str">
        <f t="shared" si="2"/>
        <v/>
      </c>
      <c r="J130" s="20"/>
      <c r="K130" s="20"/>
    </row>
    <row r="131" ht="15.0" customHeight="1">
      <c r="A131" s="20"/>
      <c r="B131" s="20"/>
      <c r="C131" s="20"/>
      <c r="D131" s="20"/>
      <c r="E131" s="20"/>
      <c r="F131" s="20"/>
      <c r="G131" s="20"/>
      <c r="H131" s="20"/>
      <c r="I131" s="20" t="str">
        <f t="shared" si="2"/>
        <v/>
      </c>
      <c r="J131" s="20"/>
      <c r="K131" s="20"/>
    </row>
    <row r="132" ht="15.0" customHeight="1">
      <c r="A132" s="20"/>
      <c r="B132" s="20"/>
      <c r="C132" s="20"/>
      <c r="D132" s="20"/>
      <c r="E132" s="20"/>
      <c r="F132" s="20"/>
      <c r="G132" s="20"/>
      <c r="H132" s="20"/>
      <c r="I132" s="20" t="str">
        <f t="shared" si="2"/>
        <v/>
      </c>
      <c r="J132" s="20"/>
      <c r="K132" s="20"/>
    </row>
    <row r="133" ht="15.0" customHeight="1">
      <c r="A133" s="20"/>
      <c r="B133" s="20"/>
      <c r="C133" s="20"/>
      <c r="D133" s="20"/>
      <c r="E133" s="20"/>
      <c r="F133" s="20"/>
      <c r="G133" s="20"/>
      <c r="H133" s="20"/>
      <c r="I133" s="20" t="str">
        <f t="shared" si="2"/>
        <v/>
      </c>
      <c r="J133" s="20"/>
      <c r="K133" s="20"/>
    </row>
    <row r="134" ht="15.0" customHeight="1">
      <c r="A134" s="20"/>
      <c r="B134" s="20"/>
      <c r="C134" s="20"/>
      <c r="D134" s="20"/>
      <c r="E134" s="20"/>
      <c r="F134" s="20"/>
      <c r="G134" s="20"/>
      <c r="H134" s="20"/>
      <c r="I134" s="20" t="str">
        <f t="shared" si="2"/>
        <v/>
      </c>
      <c r="J134" s="20"/>
      <c r="K134" s="20"/>
    </row>
    <row r="135" ht="15.0" customHeight="1">
      <c r="A135" s="20"/>
      <c r="B135" s="20"/>
      <c r="C135" s="20"/>
      <c r="D135" s="20"/>
      <c r="E135" s="20"/>
      <c r="F135" s="20"/>
      <c r="G135" s="20"/>
      <c r="H135" s="20"/>
      <c r="I135" s="20" t="str">
        <f t="shared" si="2"/>
        <v/>
      </c>
      <c r="J135" s="20"/>
      <c r="K135" s="20"/>
    </row>
    <row r="136" ht="15.0" customHeight="1">
      <c r="A136" s="20"/>
      <c r="B136" s="20"/>
      <c r="C136" s="20"/>
      <c r="D136" s="20"/>
      <c r="E136" s="20"/>
      <c r="F136" s="20"/>
      <c r="G136" s="20"/>
      <c r="H136" s="20"/>
      <c r="I136" s="20" t="str">
        <f t="shared" si="2"/>
        <v/>
      </c>
      <c r="J136" s="20"/>
      <c r="K136" s="20"/>
    </row>
    <row r="137" ht="15.0" customHeight="1">
      <c r="A137" s="20"/>
      <c r="B137" s="20"/>
      <c r="C137" s="20"/>
      <c r="D137" s="20"/>
      <c r="E137" s="20"/>
      <c r="F137" s="20"/>
      <c r="G137" s="20"/>
      <c r="H137" s="20"/>
      <c r="I137" s="20" t="str">
        <f t="shared" si="2"/>
        <v/>
      </c>
      <c r="J137" s="20"/>
      <c r="K137" s="20"/>
    </row>
    <row r="138" ht="15.0" customHeight="1">
      <c r="A138" s="20"/>
      <c r="B138" s="20"/>
      <c r="C138" s="20"/>
      <c r="D138" s="20"/>
      <c r="E138" s="20"/>
      <c r="F138" s="20"/>
      <c r="G138" s="20"/>
      <c r="H138" s="20"/>
      <c r="I138" s="20" t="str">
        <f t="shared" si="2"/>
        <v/>
      </c>
      <c r="J138" s="20"/>
      <c r="K138" s="20"/>
    </row>
    <row r="139" ht="15.0" customHeight="1">
      <c r="A139" s="20"/>
      <c r="B139" s="20"/>
      <c r="C139" s="20"/>
      <c r="D139" s="20"/>
      <c r="E139" s="20"/>
      <c r="F139" s="20"/>
      <c r="G139" s="20"/>
      <c r="H139" s="20"/>
      <c r="I139" s="20" t="str">
        <f t="shared" si="2"/>
        <v/>
      </c>
      <c r="J139" s="20"/>
      <c r="K139" s="20"/>
    </row>
    <row r="140" ht="15.0" customHeight="1">
      <c r="A140" s="20"/>
      <c r="B140" s="20"/>
      <c r="C140" s="20"/>
      <c r="D140" s="20"/>
      <c r="E140" s="20"/>
      <c r="F140" s="20"/>
      <c r="G140" s="20"/>
      <c r="H140" s="20"/>
      <c r="I140" s="20" t="str">
        <f t="shared" si="2"/>
        <v/>
      </c>
      <c r="J140" s="20"/>
      <c r="K140" s="20"/>
    </row>
    <row r="141" ht="15.0" customHeight="1">
      <c r="A141" s="20"/>
      <c r="B141" s="20"/>
      <c r="C141" s="20"/>
      <c r="D141" s="20"/>
      <c r="E141" s="20"/>
      <c r="F141" s="20"/>
      <c r="G141" s="20"/>
      <c r="H141" s="20"/>
      <c r="I141" s="20" t="str">
        <f t="shared" si="2"/>
        <v/>
      </c>
      <c r="J141" s="20"/>
      <c r="K141" s="20"/>
    </row>
    <row r="142" ht="15.0" customHeight="1">
      <c r="A142" s="20"/>
      <c r="B142" s="20"/>
      <c r="C142" s="20"/>
      <c r="D142" s="20"/>
      <c r="E142" s="20"/>
      <c r="F142" s="20"/>
      <c r="G142" s="20"/>
      <c r="H142" s="20"/>
      <c r="I142" s="20" t="str">
        <f t="shared" si="2"/>
        <v/>
      </c>
      <c r="J142" s="20"/>
      <c r="K142" s="20"/>
    </row>
    <row r="143" ht="15.0" customHeight="1">
      <c r="A143" s="20"/>
      <c r="B143" s="20"/>
      <c r="C143" s="20"/>
      <c r="D143" s="20"/>
      <c r="E143" s="20"/>
      <c r="F143" s="20"/>
      <c r="G143" s="20"/>
      <c r="H143" s="20"/>
      <c r="I143" s="20" t="str">
        <f t="shared" si="2"/>
        <v/>
      </c>
      <c r="J143" s="20"/>
      <c r="K143" s="20"/>
    </row>
    <row r="144" ht="15.0" customHeight="1">
      <c r="A144" s="20"/>
      <c r="B144" s="20"/>
      <c r="C144" s="20"/>
      <c r="D144" s="20"/>
      <c r="E144" s="20"/>
      <c r="F144" s="20"/>
      <c r="G144" s="20"/>
      <c r="H144" s="20"/>
      <c r="I144" s="20" t="str">
        <f t="shared" si="2"/>
        <v/>
      </c>
      <c r="J144" s="20"/>
      <c r="K144" s="20"/>
    </row>
    <row r="145" ht="15.0" customHeight="1">
      <c r="A145" s="20"/>
      <c r="B145" s="20"/>
      <c r="C145" s="20"/>
      <c r="D145" s="20"/>
      <c r="E145" s="20"/>
      <c r="F145" s="20"/>
      <c r="G145" s="20"/>
      <c r="H145" s="20"/>
      <c r="I145" s="20" t="str">
        <f t="shared" si="2"/>
        <v/>
      </c>
      <c r="J145" s="20"/>
      <c r="K145" s="20"/>
    </row>
    <row r="146" ht="15.0" customHeight="1">
      <c r="A146" s="20"/>
      <c r="B146" s="20"/>
      <c r="C146" s="20"/>
      <c r="D146" s="20"/>
      <c r="E146" s="20"/>
      <c r="F146" s="20"/>
      <c r="G146" s="20"/>
      <c r="H146" s="20"/>
      <c r="I146" s="20" t="str">
        <f t="shared" si="2"/>
        <v/>
      </c>
      <c r="J146" s="20"/>
      <c r="K146" s="20"/>
    </row>
    <row r="147" ht="15.0" customHeight="1">
      <c r="A147" s="20"/>
      <c r="B147" s="20"/>
      <c r="C147" s="20"/>
      <c r="D147" s="20"/>
      <c r="E147" s="20"/>
      <c r="F147" s="20"/>
      <c r="G147" s="20"/>
      <c r="H147" s="20"/>
      <c r="I147" s="20" t="str">
        <f t="shared" si="2"/>
        <v/>
      </c>
      <c r="J147" s="20"/>
      <c r="K147" s="20"/>
    </row>
    <row r="148" ht="15.0" customHeight="1">
      <c r="A148" s="20"/>
      <c r="B148" s="20"/>
      <c r="C148" s="20"/>
      <c r="D148" s="20"/>
      <c r="E148" s="20"/>
      <c r="F148" s="20"/>
      <c r="G148" s="20"/>
      <c r="H148" s="20"/>
      <c r="I148" s="20" t="str">
        <f t="shared" si="2"/>
        <v/>
      </c>
      <c r="J148" s="20"/>
      <c r="K148" s="20"/>
    </row>
    <row r="149" ht="15.0" customHeight="1">
      <c r="A149" s="20"/>
      <c r="B149" s="20"/>
      <c r="C149" s="20"/>
      <c r="D149" s="20"/>
      <c r="E149" s="20"/>
      <c r="F149" s="20"/>
      <c r="G149" s="20"/>
      <c r="H149" s="20"/>
      <c r="I149" s="20" t="str">
        <f t="shared" si="2"/>
        <v/>
      </c>
      <c r="J149" s="20"/>
      <c r="K149" s="20"/>
    </row>
    <row r="150" ht="15.0" customHeight="1">
      <c r="A150" s="20"/>
      <c r="B150" s="20"/>
      <c r="C150" s="20"/>
      <c r="D150" s="20"/>
      <c r="E150" s="20"/>
      <c r="F150" s="20"/>
      <c r="G150" s="20"/>
      <c r="H150" s="20"/>
      <c r="I150" s="20" t="str">
        <f t="shared" si="2"/>
        <v/>
      </c>
      <c r="J150" s="20"/>
      <c r="K150" s="20"/>
    </row>
    <row r="151" ht="15.0" customHeight="1">
      <c r="A151" s="20"/>
      <c r="B151" s="20"/>
      <c r="C151" s="20"/>
      <c r="D151" s="20"/>
      <c r="E151" s="20"/>
      <c r="F151" s="20"/>
      <c r="G151" s="20"/>
      <c r="H151" s="20"/>
      <c r="I151" s="20" t="str">
        <f t="shared" si="2"/>
        <v/>
      </c>
      <c r="J151" s="20"/>
      <c r="K151" s="20"/>
    </row>
    <row r="152" ht="15.0" customHeight="1">
      <c r="A152" s="20"/>
      <c r="B152" s="20"/>
      <c r="C152" s="20"/>
      <c r="D152" s="20"/>
      <c r="E152" s="20"/>
      <c r="F152" s="20"/>
      <c r="G152" s="20"/>
      <c r="H152" s="20"/>
      <c r="I152" s="20" t="str">
        <f t="shared" si="2"/>
        <v/>
      </c>
      <c r="J152" s="20"/>
      <c r="K152" s="20"/>
    </row>
    <row r="153" ht="15.0" customHeight="1">
      <c r="A153" s="20"/>
      <c r="B153" s="20"/>
      <c r="C153" s="20"/>
      <c r="D153" s="20"/>
      <c r="E153" s="20"/>
      <c r="F153" s="20"/>
      <c r="G153" s="20"/>
      <c r="H153" s="20"/>
      <c r="I153" s="20" t="str">
        <f t="shared" si="2"/>
        <v/>
      </c>
      <c r="J153" s="20"/>
      <c r="K153" s="20"/>
    </row>
    <row r="154" ht="15.0" customHeight="1">
      <c r="A154" s="20"/>
      <c r="B154" s="20"/>
      <c r="C154" s="20"/>
      <c r="D154" s="20"/>
      <c r="E154" s="20"/>
      <c r="F154" s="20"/>
      <c r="G154" s="20"/>
      <c r="H154" s="20"/>
      <c r="I154" s="20" t="str">
        <f t="shared" si="2"/>
        <v/>
      </c>
      <c r="J154" s="20"/>
      <c r="K154" s="20"/>
    </row>
    <row r="155" ht="15.0" customHeight="1">
      <c r="A155" s="20"/>
      <c r="B155" s="20"/>
      <c r="C155" s="20"/>
      <c r="D155" s="20"/>
      <c r="E155" s="20"/>
      <c r="F155" s="20"/>
      <c r="G155" s="20"/>
      <c r="H155" s="20"/>
      <c r="I155" s="20" t="str">
        <f t="shared" si="2"/>
        <v/>
      </c>
      <c r="J155" s="20"/>
      <c r="K155" s="20"/>
    </row>
    <row r="156" ht="15.0" customHeight="1">
      <c r="A156" s="20"/>
      <c r="B156" s="20"/>
      <c r="C156" s="20"/>
      <c r="D156" s="20"/>
      <c r="E156" s="20"/>
      <c r="F156" s="20"/>
      <c r="G156" s="20"/>
      <c r="H156" s="20"/>
      <c r="I156" s="20" t="str">
        <f t="shared" si="2"/>
        <v/>
      </c>
      <c r="J156" s="20"/>
      <c r="K156" s="20"/>
    </row>
    <row r="157" ht="15.0" customHeight="1">
      <c r="A157" s="20"/>
      <c r="B157" s="20"/>
      <c r="C157" s="20"/>
      <c r="D157" s="20"/>
      <c r="E157" s="20"/>
      <c r="F157" s="20"/>
      <c r="G157" s="20"/>
      <c r="H157" s="20"/>
      <c r="I157" s="20" t="str">
        <f t="shared" si="2"/>
        <v/>
      </c>
      <c r="J157" s="20"/>
      <c r="K157" s="20"/>
    </row>
    <row r="158" ht="15.0" customHeight="1">
      <c r="A158" s="20"/>
      <c r="B158" s="20"/>
      <c r="C158" s="20"/>
      <c r="D158" s="20"/>
      <c r="E158" s="20"/>
      <c r="F158" s="20"/>
      <c r="G158" s="20"/>
      <c r="H158" s="20"/>
      <c r="I158" s="20" t="str">
        <f t="shared" si="2"/>
        <v/>
      </c>
      <c r="J158" s="20"/>
      <c r="K158" s="20"/>
    </row>
    <row r="159" ht="15.0" customHeight="1">
      <c r="A159" s="20"/>
      <c r="B159" s="20"/>
      <c r="C159" s="20"/>
      <c r="D159" s="20"/>
      <c r="E159" s="20"/>
      <c r="F159" s="20"/>
      <c r="G159" s="20"/>
      <c r="H159" s="20"/>
      <c r="I159" s="20" t="str">
        <f t="shared" si="2"/>
        <v/>
      </c>
      <c r="J159" s="20"/>
      <c r="K159" s="20"/>
    </row>
    <row r="160" ht="15.0" customHeight="1">
      <c r="A160" s="20"/>
      <c r="B160" s="20"/>
      <c r="C160" s="20"/>
      <c r="D160" s="20"/>
      <c r="E160" s="20"/>
      <c r="F160" s="20"/>
      <c r="G160" s="20"/>
      <c r="H160" s="20"/>
      <c r="I160" s="20" t="str">
        <f t="shared" si="2"/>
        <v/>
      </c>
      <c r="J160" s="20"/>
      <c r="K160" s="20"/>
    </row>
    <row r="161" ht="15.0" customHeight="1">
      <c r="A161" s="20"/>
      <c r="B161" s="20"/>
      <c r="C161" s="20"/>
      <c r="D161" s="20"/>
      <c r="E161" s="20"/>
      <c r="F161" s="20"/>
      <c r="G161" s="20"/>
      <c r="H161" s="20"/>
      <c r="I161" s="20" t="str">
        <f t="shared" si="2"/>
        <v/>
      </c>
      <c r="J161" s="20"/>
      <c r="K161" s="20"/>
    </row>
    <row r="162" ht="15.0" customHeight="1">
      <c r="A162" s="20"/>
      <c r="B162" s="20"/>
      <c r="C162" s="20"/>
      <c r="D162" s="20"/>
      <c r="E162" s="20"/>
      <c r="F162" s="20"/>
      <c r="G162" s="20"/>
      <c r="H162" s="20"/>
      <c r="I162" s="20" t="str">
        <f t="shared" si="2"/>
        <v/>
      </c>
      <c r="J162" s="20"/>
      <c r="K162" s="20"/>
    </row>
    <row r="163" ht="15.0" customHeight="1">
      <c r="A163" s="20"/>
      <c r="B163" s="20"/>
      <c r="C163" s="20"/>
      <c r="D163" s="20"/>
      <c r="E163" s="20"/>
      <c r="F163" s="20"/>
      <c r="G163" s="20"/>
      <c r="H163" s="20"/>
      <c r="I163" s="20" t="str">
        <f t="shared" si="2"/>
        <v/>
      </c>
      <c r="J163" s="20"/>
      <c r="K163" s="20"/>
    </row>
    <row r="164" ht="15.0" customHeight="1">
      <c r="A164" s="20"/>
      <c r="B164" s="20"/>
      <c r="C164" s="20"/>
      <c r="D164" s="20"/>
      <c r="E164" s="20"/>
      <c r="F164" s="20"/>
      <c r="G164" s="20"/>
      <c r="H164" s="20"/>
      <c r="I164" s="20" t="str">
        <f t="shared" si="2"/>
        <v/>
      </c>
      <c r="J164" s="20"/>
      <c r="K164" s="20"/>
    </row>
    <row r="165" ht="15.0" customHeight="1">
      <c r="A165" s="20"/>
      <c r="B165" s="20"/>
      <c r="C165" s="20"/>
      <c r="D165" s="20"/>
      <c r="E165" s="20"/>
      <c r="F165" s="20"/>
      <c r="G165" s="20"/>
      <c r="H165" s="20"/>
      <c r="I165" s="20" t="str">
        <f t="shared" si="2"/>
        <v/>
      </c>
      <c r="J165" s="20"/>
      <c r="K165" s="20"/>
    </row>
    <row r="166" ht="15.0" customHeight="1">
      <c r="A166" s="20"/>
      <c r="B166" s="20"/>
      <c r="C166" s="20"/>
      <c r="D166" s="20"/>
      <c r="E166" s="20"/>
      <c r="F166" s="20"/>
      <c r="G166" s="20"/>
      <c r="H166" s="20"/>
      <c r="I166" s="20" t="str">
        <f t="shared" si="2"/>
        <v/>
      </c>
      <c r="J166" s="20"/>
      <c r="K166" s="20"/>
    </row>
    <row r="167" ht="15.0" customHeight="1">
      <c r="A167" s="20"/>
      <c r="B167" s="20"/>
      <c r="C167" s="20"/>
      <c r="D167" s="20"/>
      <c r="E167" s="20"/>
      <c r="F167" s="20"/>
      <c r="G167" s="20"/>
      <c r="H167" s="20"/>
      <c r="I167" s="20" t="str">
        <f t="shared" si="2"/>
        <v/>
      </c>
      <c r="J167" s="20"/>
      <c r="K167" s="20"/>
    </row>
    <row r="168" ht="15.0" customHeight="1">
      <c r="A168" s="20"/>
      <c r="B168" s="20"/>
      <c r="C168" s="20"/>
      <c r="D168" s="20"/>
      <c r="E168" s="20"/>
      <c r="F168" s="20"/>
      <c r="G168" s="20"/>
      <c r="H168" s="20"/>
      <c r="I168" s="20" t="str">
        <f t="shared" si="2"/>
        <v/>
      </c>
      <c r="J168" s="20"/>
      <c r="K168" s="20"/>
    </row>
    <row r="169" ht="15.0" customHeight="1">
      <c r="A169" s="20"/>
      <c r="B169" s="20"/>
      <c r="C169" s="20"/>
      <c r="D169" s="20"/>
      <c r="E169" s="20"/>
      <c r="F169" s="20"/>
      <c r="G169" s="20"/>
      <c r="H169" s="20"/>
      <c r="I169" s="20" t="str">
        <f t="shared" si="2"/>
        <v/>
      </c>
      <c r="J169" s="20"/>
      <c r="K169" s="20"/>
    </row>
    <row r="170" ht="15.0" customHeight="1">
      <c r="A170" s="20"/>
      <c r="B170" s="20"/>
      <c r="C170" s="20"/>
      <c r="D170" s="20"/>
      <c r="E170" s="20"/>
      <c r="F170" s="20"/>
      <c r="G170" s="20"/>
      <c r="H170" s="20"/>
      <c r="I170" s="20" t="str">
        <f t="shared" si="2"/>
        <v/>
      </c>
      <c r="J170" s="20"/>
      <c r="K170" s="20"/>
    </row>
    <row r="171" ht="15.0" customHeight="1">
      <c r="A171" s="20"/>
      <c r="B171" s="20"/>
      <c r="C171" s="20"/>
      <c r="D171" s="20"/>
      <c r="E171" s="20"/>
      <c r="F171" s="20"/>
      <c r="G171" s="20"/>
      <c r="H171" s="20"/>
      <c r="I171" s="20" t="str">
        <f t="shared" si="2"/>
        <v/>
      </c>
      <c r="J171" s="20"/>
      <c r="K171" s="20"/>
    </row>
    <row r="172" ht="15.0" customHeight="1">
      <c r="A172" s="20"/>
      <c r="B172" s="20"/>
      <c r="C172" s="20"/>
      <c r="D172" s="20"/>
      <c r="E172" s="20"/>
      <c r="F172" s="20"/>
      <c r="G172" s="20"/>
      <c r="H172" s="20"/>
      <c r="I172" s="20" t="str">
        <f t="shared" si="2"/>
        <v/>
      </c>
      <c r="J172" s="20"/>
      <c r="K172" s="20"/>
    </row>
    <row r="173" ht="15.0" customHeight="1">
      <c r="A173" s="20"/>
      <c r="B173" s="20"/>
      <c r="C173" s="20"/>
      <c r="D173" s="20"/>
      <c r="E173" s="20"/>
      <c r="F173" s="20"/>
      <c r="G173" s="20"/>
      <c r="H173" s="20"/>
      <c r="I173" s="20" t="str">
        <f t="shared" si="2"/>
        <v/>
      </c>
      <c r="J173" s="20"/>
      <c r="K173" s="20"/>
    </row>
    <row r="174" ht="15.0" customHeight="1">
      <c r="A174" s="20"/>
      <c r="B174" s="20"/>
      <c r="C174" s="20"/>
      <c r="D174" s="20"/>
      <c r="E174" s="20"/>
      <c r="F174" s="20"/>
      <c r="G174" s="20"/>
      <c r="H174" s="20"/>
      <c r="I174" s="20" t="str">
        <f t="shared" si="2"/>
        <v/>
      </c>
      <c r="J174" s="20"/>
      <c r="K174" s="20"/>
    </row>
    <row r="175" ht="15.0" customHeight="1">
      <c r="A175" s="20"/>
      <c r="B175" s="20"/>
      <c r="C175" s="20"/>
      <c r="D175" s="20"/>
      <c r="E175" s="20"/>
      <c r="F175" s="20"/>
      <c r="G175" s="20"/>
      <c r="H175" s="20"/>
      <c r="I175" s="20" t="str">
        <f t="shared" si="2"/>
        <v/>
      </c>
      <c r="J175" s="20"/>
      <c r="K175" s="20"/>
    </row>
    <row r="176" ht="15.0" customHeight="1">
      <c r="A176" s="20"/>
      <c r="B176" s="20"/>
      <c r="C176" s="20"/>
      <c r="D176" s="20"/>
      <c r="E176" s="20"/>
      <c r="F176" s="20"/>
      <c r="G176" s="20"/>
      <c r="H176" s="20"/>
      <c r="I176" s="20" t="str">
        <f t="shared" si="2"/>
        <v/>
      </c>
      <c r="J176" s="20"/>
      <c r="K176" s="20"/>
    </row>
    <row r="177" ht="15.0" customHeight="1">
      <c r="A177" s="20"/>
      <c r="B177" s="20"/>
      <c r="C177" s="20"/>
      <c r="D177" s="20"/>
      <c r="E177" s="20"/>
      <c r="F177" s="20"/>
      <c r="G177" s="20"/>
      <c r="H177" s="20"/>
      <c r="I177" s="20" t="str">
        <f t="shared" si="2"/>
        <v/>
      </c>
      <c r="J177" s="20"/>
      <c r="K177" s="20"/>
    </row>
    <row r="178" ht="15.0" customHeight="1">
      <c r="A178" s="20"/>
      <c r="B178" s="20"/>
      <c r="C178" s="20"/>
      <c r="D178" s="20"/>
      <c r="E178" s="20"/>
      <c r="F178" s="20"/>
      <c r="G178" s="20"/>
      <c r="H178" s="20"/>
      <c r="I178" s="20" t="str">
        <f t="shared" si="2"/>
        <v/>
      </c>
      <c r="J178" s="20"/>
      <c r="K178" s="20"/>
    </row>
    <row r="179" ht="15.0" customHeight="1">
      <c r="A179" s="20"/>
      <c r="B179" s="20"/>
      <c r="C179" s="20"/>
      <c r="D179" s="20"/>
      <c r="E179" s="20"/>
      <c r="F179" s="20"/>
      <c r="G179" s="20"/>
      <c r="H179" s="20"/>
      <c r="I179" s="20" t="str">
        <f t="shared" si="2"/>
        <v/>
      </c>
      <c r="J179" s="20"/>
      <c r="K179" s="20"/>
    </row>
    <row r="180" ht="15.0" customHeight="1">
      <c r="A180" s="20"/>
      <c r="B180" s="20"/>
      <c r="C180" s="20"/>
      <c r="D180" s="20"/>
      <c r="E180" s="20"/>
      <c r="F180" s="20"/>
      <c r="G180" s="20"/>
      <c r="H180" s="20"/>
      <c r="I180" s="20" t="str">
        <f t="shared" si="2"/>
        <v/>
      </c>
      <c r="J180" s="20"/>
      <c r="K180" s="20"/>
    </row>
    <row r="181" ht="15.0" customHeight="1">
      <c r="A181" s="20"/>
      <c r="B181" s="20"/>
      <c r="C181" s="20"/>
      <c r="D181" s="20"/>
      <c r="E181" s="20"/>
      <c r="F181" s="20"/>
      <c r="G181" s="20"/>
      <c r="H181" s="20"/>
      <c r="I181" s="20" t="str">
        <f t="shared" si="2"/>
        <v/>
      </c>
      <c r="J181" s="20"/>
      <c r="K181" s="20"/>
    </row>
    <row r="182" ht="15.0" customHeight="1">
      <c r="A182" s="20"/>
      <c r="B182" s="20"/>
      <c r="C182" s="20"/>
      <c r="D182" s="20"/>
      <c r="E182" s="20"/>
      <c r="F182" s="20"/>
      <c r="G182" s="20"/>
      <c r="H182" s="20"/>
      <c r="I182" s="20" t="str">
        <f t="shared" si="2"/>
        <v/>
      </c>
      <c r="J182" s="20"/>
      <c r="K182" s="20"/>
    </row>
    <row r="183" ht="15.0" customHeight="1">
      <c r="A183" s="20"/>
      <c r="B183" s="20"/>
      <c r="C183" s="20"/>
      <c r="D183" s="20"/>
      <c r="E183" s="20"/>
      <c r="F183" s="20"/>
      <c r="G183" s="20"/>
      <c r="H183" s="20"/>
      <c r="I183" s="20" t="str">
        <f t="shared" si="2"/>
        <v/>
      </c>
      <c r="J183" s="20"/>
      <c r="K183" s="20"/>
    </row>
    <row r="184" ht="15.0" customHeight="1">
      <c r="A184" s="20"/>
      <c r="B184" s="20"/>
      <c r="C184" s="20"/>
      <c r="D184" s="20"/>
      <c r="E184" s="20"/>
      <c r="F184" s="20"/>
      <c r="G184" s="20"/>
      <c r="H184" s="20"/>
      <c r="I184" s="20" t="str">
        <f t="shared" si="2"/>
        <v/>
      </c>
      <c r="J184" s="20"/>
      <c r="K184" s="20"/>
    </row>
    <row r="185" ht="15.0" customHeight="1">
      <c r="A185" s="20"/>
      <c r="B185" s="20"/>
      <c r="C185" s="20"/>
      <c r="D185" s="20"/>
      <c r="E185" s="20"/>
      <c r="F185" s="20"/>
      <c r="G185" s="20"/>
      <c r="H185" s="20"/>
      <c r="I185" s="20" t="str">
        <f t="shared" si="2"/>
        <v/>
      </c>
      <c r="J185" s="20"/>
      <c r="K185" s="20"/>
    </row>
    <row r="186" ht="15.0" customHeight="1">
      <c r="A186" s="20"/>
      <c r="B186" s="20"/>
      <c r="C186" s="20"/>
      <c r="D186" s="20"/>
      <c r="E186" s="20"/>
      <c r="F186" s="20"/>
      <c r="G186" s="20"/>
      <c r="H186" s="20"/>
      <c r="I186" s="20" t="str">
        <f t="shared" si="2"/>
        <v/>
      </c>
      <c r="J186" s="20"/>
      <c r="K186" s="20"/>
    </row>
    <row r="187" ht="15.0" customHeight="1">
      <c r="A187" s="20"/>
      <c r="B187" s="20"/>
      <c r="C187" s="20"/>
      <c r="D187" s="20"/>
      <c r="E187" s="20"/>
      <c r="F187" s="20"/>
      <c r="G187" s="20"/>
      <c r="H187" s="20"/>
      <c r="I187" s="20" t="str">
        <f t="shared" si="2"/>
        <v/>
      </c>
      <c r="J187" s="20"/>
      <c r="K187" s="20"/>
    </row>
    <row r="188" ht="15.0" customHeight="1">
      <c r="A188" s="20"/>
      <c r="B188" s="20"/>
      <c r="C188" s="20"/>
      <c r="D188" s="20"/>
      <c r="E188" s="20"/>
      <c r="F188" s="20"/>
      <c r="G188" s="20"/>
      <c r="H188" s="20"/>
      <c r="I188" s="20" t="str">
        <f t="shared" si="2"/>
        <v/>
      </c>
      <c r="J188" s="20"/>
      <c r="K188" s="20"/>
    </row>
    <row r="189" ht="15.0" customHeight="1">
      <c r="A189" s="20"/>
      <c r="B189" s="20"/>
      <c r="C189" s="20"/>
      <c r="D189" s="20"/>
      <c r="E189" s="20"/>
      <c r="F189" s="20"/>
      <c r="G189" s="20"/>
      <c r="H189" s="20"/>
      <c r="I189" s="20" t="str">
        <f t="shared" si="2"/>
        <v/>
      </c>
      <c r="J189" s="20"/>
      <c r="K189" s="20"/>
    </row>
    <row r="190" ht="15.0" customHeight="1">
      <c r="A190" s="20"/>
      <c r="B190" s="20"/>
      <c r="C190" s="20"/>
      <c r="D190" s="20"/>
      <c r="E190" s="20"/>
      <c r="F190" s="20"/>
      <c r="G190" s="20"/>
      <c r="H190" s="20"/>
      <c r="I190" s="20" t="str">
        <f t="shared" si="2"/>
        <v/>
      </c>
      <c r="J190" s="20"/>
      <c r="K190" s="20"/>
    </row>
    <row r="191" ht="15.0" customHeight="1">
      <c r="A191" s="20"/>
      <c r="B191" s="20"/>
      <c r="C191" s="20"/>
      <c r="D191" s="20"/>
      <c r="E191" s="20"/>
      <c r="F191" s="20"/>
      <c r="G191" s="20"/>
      <c r="H191" s="20"/>
      <c r="I191" s="20" t="str">
        <f t="shared" si="2"/>
        <v/>
      </c>
      <c r="J191" s="20"/>
      <c r="K191" s="20"/>
    </row>
    <row r="192" ht="15.0" customHeight="1">
      <c r="A192" s="20"/>
      <c r="B192" s="20"/>
      <c r="C192" s="20"/>
      <c r="D192" s="20"/>
      <c r="E192" s="20"/>
      <c r="F192" s="20"/>
      <c r="G192" s="20"/>
      <c r="H192" s="20"/>
      <c r="I192" s="20" t="str">
        <f t="shared" si="2"/>
        <v/>
      </c>
      <c r="J192" s="20"/>
      <c r="K192" s="20"/>
    </row>
    <row r="193" ht="15.0" customHeight="1">
      <c r="A193" s="20"/>
      <c r="B193" s="20"/>
      <c r="C193" s="20"/>
      <c r="D193" s="20"/>
      <c r="E193" s="20"/>
      <c r="F193" s="20"/>
      <c r="G193" s="20"/>
      <c r="H193" s="20"/>
      <c r="I193" s="20" t="str">
        <f t="shared" si="2"/>
        <v/>
      </c>
      <c r="J193" s="20"/>
      <c r="K193" s="20"/>
    </row>
    <row r="194" ht="15.0" customHeight="1">
      <c r="A194" s="20"/>
      <c r="B194" s="20"/>
      <c r="C194" s="20"/>
      <c r="D194" s="20"/>
      <c r="E194" s="20"/>
      <c r="F194" s="20"/>
      <c r="G194" s="20"/>
      <c r="H194" s="20"/>
      <c r="I194" s="20" t="str">
        <f t="shared" si="2"/>
        <v/>
      </c>
      <c r="J194" s="20"/>
      <c r="K194" s="20"/>
    </row>
    <row r="195" ht="15.0" customHeight="1">
      <c r="A195" s="20"/>
      <c r="B195" s="20"/>
      <c r="C195" s="20"/>
      <c r="D195" s="20"/>
      <c r="E195" s="20"/>
      <c r="F195" s="20"/>
      <c r="G195" s="20"/>
      <c r="H195" s="20"/>
      <c r="I195" s="20" t="str">
        <f t="shared" si="2"/>
        <v/>
      </c>
      <c r="J195" s="20"/>
      <c r="K195" s="20"/>
    </row>
    <row r="196" ht="15.0" customHeight="1">
      <c r="A196" s="20"/>
      <c r="B196" s="20"/>
      <c r="C196" s="20"/>
      <c r="D196" s="20"/>
      <c r="E196" s="20"/>
      <c r="F196" s="20"/>
      <c r="G196" s="20"/>
      <c r="H196" s="20"/>
      <c r="I196" s="20" t="str">
        <f t="shared" si="2"/>
        <v/>
      </c>
      <c r="J196" s="20"/>
      <c r="K196" s="20"/>
    </row>
    <row r="197" ht="15.0" customHeight="1">
      <c r="A197" s="20"/>
      <c r="B197" s="20"/>
      <c r="C197" s="20"/>
      <c r="D197" s="20"/>
      <c r="E197" s="20"/>
      <c r="F197" s="20"/>
      <c r="G197" s="20"/>
      <c r="H197" s="20"/>
      <c r="I197" s="20" t="str">
        <f t="shared" si="2"/>
        <v/>
      </c>
      <c r="J197" s="20"/>
      <c r="K197" s="20"/>
    </row>
    <row r="198" ht="15.0" customHeight="1">
      <c r="A198" s="20"/>
      <c r="B198" s="20"/>
      <c r="C198" s="20"/>
      <c r="D198" s="20"/>
      <c r="E198" s="20"/>
      <c r="F198" s="20"/>
      <c r="G198" s="20"/>
      <c r="H198" s="20"/>
      <c r="I198" s="20" t="str">
        <f t="shared" si="2"/>
        <v/>
      </c>
      <c r="J198" s="20"/>
      <c r="K198" s="20"/>
    </row>
    <row r="199" ht="15.0" customHeight="1">
      <c r="A199" s="20"/>
      <c r="B199" s="20"/>
      <c r="C199" s="20"/>
      <c r="D199" s="20"/>
      <c r="E199" s="20"/>
      <c r="F199" s="20"/>
      <c r="G199" s="20"/>
      <c r="H199" s="20"/>
      <c r="I199" s="20" t="str">
        <f t="shared" si="2"/>
        <v/>
      </c>
      <c r="J199" s="20"/>
      <c r="K199" s="20"/>
    </row>
    <row r="200" ht="15.0" customHeight="1">
      <c r="A200" s="20"/>
      <c r="B200" s="20"/>
      <c r="C200" s="20"/>
      <c r="D200" s="20"/>
      <c r="E200" s="20"/>
      <c r="F200" s="20"/>
      <c r="G200" s="20"/>
      <c r="H200" s="20"/>
      <c r="I200" s="20" t="str">
        <f t="shared" si="2"/>
        <v/>
      </c>
      <c r="J200" s="20"/>
      <c r="K200" s="20"/>
    </row>
    <row r="201" ht="15.0" customHeight="1">
      <c r="A201" s="20"/>
      <c r="B201" s="20"/>
      <c r="C201" s="20"/>
      <c r="D201" s="20"/>
      <c r="E201" s="20"/>
      <c r="F201" s="20"/>
      <c r="G201" s="20"/>
      <c r="H201" s="20"/>
      <c r="I201" s="20" t="str">
        <f t="shared" si="2"/>
        <v/>
      </c>
      <c r="J201" s="20"/>
      <c r="K201" s="20"/>
    </row>
    <row r="202" ht="15.0" customHeight="1">
      <c r="A202" s="20"/>
      <c r="B202" s="20"/>
      <c r="C202" s="20"/>
      <c r="D202" s="20"/>
      <c r="E202" s="20"/>
      <c r="F202" s="20"/>
      <c r="G202" s="20"/>
      <c r="H202" s="20"/>
      <c r="I202" s="20" t="str">
        <f t="shared" si="2"/>
        <v/>
      </c>
      <c r="J202" s="20"/>
      <c r="K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</row>
  </sheetData>
  <autoFilter ref="$A$3:$Z$61">
    <filterColumn colId="0">
      <filters>
        <filter val="M3-P1"/>
        <filter val="M3-P2"/>
        <filter val="M3-P3"/>
      </filters>
    </filterColumn>
  </autoFilter>
  <mergeCells count="8">
    <mergeCell ref="A1:K1"/>
    <mergeCell ref="A2:K2"/>
    <mergeCell ref="A64:K64"/>
    <mergeCell ref="B65:K65"/>
    <mergeCell ref="B66:K66"/>
    <mergeCell ref="B67:K67"/>
    <mergeCell ref="B68:K68"/>
    <mergeCell ref="B69:K69"/>
  </mergeCells>
  <dataValidations>
    <dataValidation type="list" allowBlank="1" showInputMessage="1" showErrorMessage="1" prompt="Valor inválido - Use: Alta, Media o Baja" sqref="H4:H63">
      <formula1>"Alta,Media,Baja"</formula1>
    </dataValidation>
    <dataValidation type="list" allowBlank="1" showInputMessage="1" showErrorMessage="1" prompt="Haz clic e introduce un valor de la lista de elementos" sqref="G4:G63">
      <formula1>"Habilitadora,Complementariedad,Dependencia"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CC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9.0"/>
    <col customWidth="1" min="4" max="4" width="30.0"/>
    <col customWidth="1" min="5" max="6" width="14.0"/>
    <col customWidth="1" min="7" max="8" width="12.0"/>
    <col customWidth="1" min="9" max="10" width="16.0"/>
    <col customWidth="1" min="11" max="11" width="26.0"/>
    <col customWidth="1" min="12" max="26" width="8.57"/>
  </cols>
  <sheetData>
    <row r="1" ht="33.75" customHeight="1">
      <c r="A1" s="21" t="s">
        <v>198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ht="21.75" customHeight="1">
      <c r="A2" s="42" t="s">
        <v>199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ht="36.0" customHeight="1">
      <c r="A3" s="25" t="s">
        <v>200</v>
      </c>
      <c r="B3" s="25" t="s">
        <v>201</v>
      </c>
      <c r="C3" s="25" t="s">
        <v>202</v>
      </c>
      <c r="D3" s="25" t="s">
        <v>203</v>
      </c>
      <c r="E3" s="25" t="s">
        <v>204</v>
      </c>
      <c r="F3" s="25" t="s">
        <v>205</v>
      </c>
      <c r="G3" s="25" t="s">
        <v>206</v>
      </c>
      <c r="H3" s="25" t="s">
        <v>207</v>
      </c>
      <c r="I3" s="25" t="s">
        <v>208</v>
      </c>
      <c r="J3" s="25" t="s">
        <v>209</v>
      </c>
      <c r="K3" s="25" t="s">
        <v>210</v>
      </c>
    </row>
    <row r="4" ht="24.0" customHeight="1">
      <c r="A4" s="26" t="s">
        <v>35</v>
      </c>
      <c r="B4" s="26" t="s">
        <v>36</v>
      </c>
      <c r="C4" s="43" t="s">
        <v>211</v>
      </c>
      <c r="D4" s="26" t="s">
        <v>14</v>
      </c>
      <c r="E4" s="44">
        <f>COUNTIF(Relaciones!A:A,A4)</f>
        <v>6</v>
      </c>
      <c r="F4" s="44">
        <f>COUNTIF(Relaciones!D:D,A4)</f>
        <v>5</v>
      </c>
      <c r="G4" s="44">
        <f t="shared" ref="G4:G20" si="1">E4+F4</f>
        <v>11</v>
      </c>
      <c r="H4" s="45">
        <f>SUMIF(Relaciones!A:A,A4,Relaciones!I:I)+SUMIF(Relaciones!D:D,A4,Relaciones!I:I)</f>
        <v>47</v>
      </c>
      <c r="I4" s="44" t="str">
        <f t="shared" ref="I4:I20" si="2">IF(G4&gt;=8,"Alta",IF(G4&gt;=6,"Media","Baja"))</f>
        <v>Alta</v>
      </c>
      <c r="J4" s="45" t="str">
        <f t="shared" ref="J4:J20" si="3">IF(G4&gt;=8,"Prioridad Alta",IF(G4&gt;=6,"Prioridad Media","Prioridad Baja"))</f>
        <v>Prioridad Alta</v>
      </c>
      <c r="K4" s="46" t="str">
        <f t="shared" ref="K4:K20" si="4">IF(J4="Prioridad Alta","Requiere articulación alta – seguimiento prioritario",IF(J4="Prioridad Media","Coordinación moderada – articular en seguimiento PDI","Baja necesidad de articulación – monitoreo periódico"))</f>
        <v>Requiere articulación alta – seguimiento prioritario</v>
      </c>
    </row>
    <row r="5" ht="24.0" customHeight="1">
      <c r="A5" s="30" t="s">
        <v>65</v>
      </c>
      <c r="B5" s="30" t="s">
        <v>66</v>
      </c>
      <c r="C5" s="43" t="s">
        <v>211</v>
      </c>
      <c r="D5" s="30" t="s">
        <v>14</v>
      </c>
      <c r="E5" s="47">
        <f>COUNTIF(Relaciones!A:A,A5)</f>
        <v>4</v>
      </c>
      <c r="F5" s="47">
        <f>COUNTIF(Relaciones!D:D,A5)</f>
        <v>3</v>
      </c>
      <c r="G5" s="47">
        <f t="shared" si="1"/>
        <v>7</v>
      </c>
      <c r="H5" s="48">
        <f>SUMIF(Relaciones!A:A,A5,Relaciones!I:I)+SUMIF(Relaciones!D:D,A5,Relaciones!I:I)</f>
        <v>27</v>
      </c>
      <c r="I5" s="47" t="str">
        <f t="shared" si="2"/>
        <v>Media</v>
      </c>
      <c r="J5" s="48" t="str">
        <f t="shared" si="3"/>
        <v>Prioridad Media</v>
      </c>
      <c r="K5" s="49" t="str">
        <f t="shared" si="4"/>
        <v>Coordinación moderada – articular en seguimiento PDI</v>
      </c>
    </row>
    <row r="6" ht="24.0" customHeight="1">
      <c r="A6" s="26" t="s">
        <v>48</v>
      </c>
      <c r="B6" s="26" t="s">
        <v>49</v>
      </c>
      <c r="C6" s="43" t="s">
        <v>211</v>
      </c>
      <c r="D6" s="26" t="s">
        <v>14</v>
      </c>
      <c r="E6" s="44">
        <f>COUNTIF(Relaciones!A:A,A6)</f>
        <v>2</v>
      </c>
      <c r="F6" s="44">
        <f>COUNTIF(Relaciones!D:D,A6)</f>
        <v>6</v>
      </c>
      <c r="G6" s="44">
        <f t="shared" si="1"/>
        <v>8</v>
      </c>
      <c r="H6" s="45">
        <f>SUMIF(Relaciones!A:A,A6,Relaciones!I:I)+SUMIF(Relaciones!D:D,A6,Relaciones!I:I)</f>
        <v>28</v>
      </c>
      <c r="I6" s="44" t="str">
        <f t="shared" si="2"/>
        <v>Alta</v>
      </c>
      <c r="J6" s="45" t="str">
        <f t="shared" si="3"/>
        <v>Prioridad Alta</v>
      </c>
      <c r="K6" s="46" t="str">
        <f t="shared" si="4"/>
        <v>Requiere articulación alta – seguimiento prioritario</v>
      </c>
    </row>
    <row r="7" ht="24.0" customHeight="1">
      <c r="A7" s="30" t="s">
        <v>71</v>
      </c>
      <c r="B7" s="30" t="s">
        <v>72</v>
      </c>
      <c r="C7" s="43" t="s">
        <v>211</v>
      </c>
      <c r="D7" s="30" t="s">
        <v>14</v>
      </c>
      <c r="E7" s="47">
        <f>COUNTIF(Relaciones!A:A,A7)</f>
        <v>5</v>
      </c>
      <c r="F7" s="47">
        <f>COUNTIF(Relaciones!D:D,A7)</f>
        <v>2</v>
      </c>
      <c r="G7" s="47">
        <f t="shared" si="1"/>
        <v>7</v>
      </c>
      <c r="H7" s="48">
        <f>SUMIF(Relaciones!A:A,A7,Relaciones!I:I)+SUMIF(Relaciones!D:D,A7,Relaciones!I:I)</f>
        <v>27</v>
      </c>
      <c r="I7" s="47" t="str">
        <f t="shared" si="2"/>
        <v>Media</v>
      </c>
      <c r="J7" s="48" t="str">
        <f t="shared" si="3"/>
        <v>Prioridad Media</v>
      </c>
      <c r="K7" s="49" t="str">
        <f t="shared" si="4"/>
        <v>Coordinación moderada – articular en seguimiento PDI</v>
      </c>
    </row>
    <row r="8" ht="24.0" customHeight="1">
      <c r="A8" s="26" t="s">
        <v>43</v>
      </c>
      <c r="B8" s="26" t="s">
        <v>44</v>
      </c>
      <c r="C8" s="43" t="s">
        <v>211</v>
      </c>
      <c r="D8" s="26" t="s">
        <v>14</v>
      </c>
      <c r="E8" s="44">
        <f>COUNTIF(Relaciones!A:A,A8)</f>
        <v>2</v>
      </c>
      <c r="F8" s="44">
        <f>COUNTIF(Relaciones!D:D,A8)</f>
        <v>2</v>
      </c>
      <c r="G8" s="44">
        <f t="shared" si="1"/>
        <v>4</v>
      </c>
      <c r="H8" s="45">
        <f>SUMIF(Relaciones!A:A,A8,Relaciones!I:I)+SUMIF(Relaciones!D:D,A8,Relaciones!I:I)</f>
        <v>14</v>
      </c>
      <c r="I8" s="44" t="str">
        <f t="shared" si="2"/>
        <v>Baja</v>
      </c>
      <c r="J8" s="45" t="str">
        <f t="shared" si="3"/>
        <v>Prioridad Baja</v>
      </c>
      <c r="K8" s="46" t="str">
        <f t="shared" si="4"/>
        <v>Baja necesidad de articulación – monitoreo periódico</v>
      </c>
    </row>
    <row r="9" ht="24.0" customHeight="1">
      <c r="A9" s="30" t="s">
        <v>89</v>
      </c>
      <c r="B9" s="30" t="s">
        <v>90</v>
      </c>
      <c r="C9" s="43" t="s">
        <v>212</v>
      </c>
      <c r="D9" s="30" t="s">
        <v>15</v>
      </c>
      <c r="E9" s="47">
        <f>COUNTIF(Relaciones!A:A,A9)</f>
        <v>3</v>
      </c>
      <c r="F9" s="47">
        <f>COUNTIF(Relaciones!D:D,A9)</f>
        <v>4</v>
      </c>
      <c r="G9" s="47">
        <f t="shared" si="1"/>
        <v>7</v>
      </c>
      <c r="H9" s="48">
        <f>SUMIF(Relaciones!A:A,A9,Relaciones!I:I)+SUMIF(Relaciones!D:D,A9,Relaciones!I:I)</f>
        <v>27</v>
      </c>
      <c r="I9" s="47" t="str">
        <f t="shared" si="2"/>
        <v>Media</v>
      </c>
      <c r="J9" s="48" t="str">
        <f t="shared" si="3"/>
        <v>Prioridad Media</v>
      </c>
      <c r="K9" s="49" t="str">
        <f t="shared" si="4"/>
        <v>Coordinación moderada – articular en seguimiento PDI</v>
      </c>
    </row>
    <row r="10" ht="24.0" customHeight="1">
      <c r="A10" s="26" t="s">
        <v>57</v>
      </c>
      <c r="B10" s="26" t="s">
        <v>58</v>
      </c>
      <c r="C10" s="43" t="s">
        <v>212</v>
      </c>
      <c r="D10" s="26" t="s">
        <v>15</v>
      </c>
      <c r="E10" s="44">
        <f>COUNTIF(Relaciones!A:A,A10)</f>
        <v>2</v>
      </c>
      <c r="F10" s="44">
        <f>COUNTIF(Relaciones!D:D,A10)</f>
        <v>6</v>
      </c>
      <c r="G10" s="44">
        <f t="shared" si="1"/>
        <v>8</v>
      </c>
      <c r="H10" s="45">
        <f>SUMIF(Relaciones!A:A,A10,Relaciones!I:I)+SUMIF(Relaciones!D:D,A10,Relaciones!I:I)</f>
        <v>32</v>
      </c>
      <c r="I10" s="44" t="str">
        <f t="shared" si="2"/>
        <v>Alta</v>
      </c>
      <c r="J10" s="45" t="str">
        <f t="shared" si="3"/>
        <v>Prioridad Alta</v>
      </c>
      <c r="K10" s="46" t="str">
        <f t="shared" si="4"/>
        <v>Requiere articulación alta – seguimiento prioritario</v>
      </c>
    </row>
    <row r="11" ht="24.0" customHeight="1">
      <c r="A11" s="30" t="s">
        <v>61</v>
      </c>
      <c r="B11" s="30" t="s">
        <v>62</v>
      </c>
      <c r="C11" s="43" t="s">
        <v>212</v>
      </c>
      <c r="D11" s="30" t="s">
        <v>15</v>
      </c>
      <c r="E11" s="47">
        <f>COUNTIF(Relaciones!A:A,A11)</f>
        <v>2</v>
      </c>
      <c r="F11" s="47">
        <f>COUNTIF(Relaciones!D:D,A11)</f>
        <v>6</v>
      </c>
      <c r="G11" s="47">
        <f t="shared" si="1"/>
        <v>8</v>
      </c>
      <c r="H11" s="48">
        <f>SUMIF(Relaciones!A:A,A11,Relaciones!I:I)+SUMIF(Relaciones!D:D,A11,Relaciones!I:I)</f>
        <v>32</v>
      </c>
      <c r="I11" s="47" t="str">
        <f t="shared" si="2"/>
        <v>Alta</v>
      </c>
      <c r="J11" s="48" t="str">
        <f t="shared" si="3"/>
        <v>Prioridad Alta</v>
      </c>
      <c r="K11" s="49" t="str">
        <f t="shared" si="4"/>
        <v>Requiere articulación alta – seguimiento prioritario</v>
      </c>
    </row>
    <row r="12" ht="24.0" customHeight="1">
      <c r="A12" s="26" t="s">
        <v>37</v>
      </c>
      <c r="B12" s="26" t="s">
        <v>38</v>
      </c>
      <c r="C12" s="43" t="s">
        <v>213</v>
      </c>
      <c r="D12" s="26" t="s">
        <v>16</v>
      </c>
      <c r="E12" s="44">
        <f>COUNTIF(Relaciones!A:A,A12)</f>
        <v>7</v>
      </c>
      <c r="F12" s="44">
        <f>COUNTIF(Relaciones!D:D,A12)</f>
        <v>2</v>
      </c>
      <c r="G12" s="44">
        <f t="shared" si="1"/>
        <v>9</v>
      </c>
      <c r="H12" s="45">
        <f>SUMIF(Relaciones!A:A,A12,Relaciones!I:I)+SUMIF(Relaciones!D:D,A12,Relaciones!I:I)</f>
        <v>31</v>
      </c>
      <c r="I12" s="44" t="str">
        <f t="shared" si="2"/>
        <v>Alta</v>
      </c>
      <c r="J12" s="45" t="str">
        <f t="shared" si="3"/>
        <v>Prioridad Alta</v>
      </c>
      <c r="K12" s="46" t="str">
        <f t="shared" si="4"/>
        <v>Requiere articulación alta – seguimiento prioritario</v>
      </c>
    </row>
    <row r="13" ht="24.0" customHeight="1">
      <c r="A13" s="30" t="s">
        <v>75</v>
      </c>
      <c r="B13" s="30" t="s">
        <v>76</v>
      </c>
      <c r="C13" s="43" t="s">
        <v>213</v>
      </c>
      <c r="D13" s="30" t="s">
        <v>16</v>
      </c>
      <c r="E13" s="47">
        <f>COUNTIF(Relaciones!A:A,A13)</f>
        <v>4</v>
      </c>
      <c r="F13" s="47">
        <f>COUNTIF(Relaciones!D:D,A13)</f>
        <v>2</v>
      </c>
      <c r="G13" s="47">
        <f t="shared" si="1"/>
        <v>6</v>
      </c>
      <c r="H13" s="48">
        <f>SUMIF(Relaciones!A:A,A13,Relaciones!I:I)+SUMIF(Relaciones!D:D,A13,Relaciones!I:I)</f>
        <v>24</v>
      </c>
      <c r="I13" s="47" t="str">
        <f t="shared" si="2"/>
        <v>Media</v>
      </c>
      <c r="J13" s="48" t="str">
        <f t="shared" si="3"/>
        <v>Prioridad Media</v>
      </c>
      <c r="K13" s="49" t="str">
        <f t="shared" si="4"/>
        <v>Coordinación moderada – articular en seguimiento PDI</v>
      </c>
    </row>
    <row r="14" ht="24.0" customHeight="1">
      <c r="A14" s="26" t="s">
        <v>105</v>
      </c>
      <c r="B14" s="26" t="s">
        <v>106</v>
      </c>
      <c r="C14" s="43" t="s">
        <v>213</v>
      </c>
      <c r="D14" s="26" t="s">
        <v>16</v>
      </c>
      <c r="E14" s="44">
        <f>COUNTIF(Relaciones!A:A,A14)</f>
        <v>1</v>
      </c>
      <c r="F14" s="44">
        <f>COUNTIF(Relaciones!D:D,A14)</f>
        <v>4</v>
      </c>
      <c r="G14" s="44">
        <f t="shared" si="1"/>
        <v>5</v>
      </c>
      <c r="H14" s="45">
        <f>SUMIF(Relaciones!A:A,A14,Relaciones!I:I)+SUMIF(Relaciones!D:D,A14,Relaciones!I:I)</f>
        <v>19</v>
      </c>
      <c r="I14" s="44" t="str">
        <f t="shared" si="2"/>
        <v>Baja</v>
      </c>
      <c r="J14" s="45" t="str">
        <f t="shared" si="3"/>
        <v>Prioridad Baja</v>
      </c>
      <c r="K14" s="46" t="str">
        <f t="shared" si="4"/>
        <v>Baja necesidad de articulación – monitoreo periódico</v>
      </c>
    </row>
    <row r="15" ht="24.0" customHeight="1">
      <c r="A15" s="30" t="s">
        <v>79</v>
      </c>
      <c r="B15" s="30" t="s">
        <v>80</v>
      </c>
      <c r="C15" s="43" t="s">
        <v>214</v>
      </c>
      <c r="D15" s="30" t="s">
        <v>17</v>
      </c>
      <c r="E15" s="47">
        <f>COUNTIF(Relaciones!A:A,A15)</f>
        <v>2</v>
      </c>
      <c r="F15" s="47">
        <f>COUNTIF(Relaciones!D:D,A15)</f>
        <v>2</v>
      </c>
      <c r="G15" s="47">
        <f t="shared" si="1"/>
        <v>4</v>
      </c>
      <c r="H15" s="48">
        <f>SUMIF(Relaciones!A:A,A15,Relaciones!I:I)+SUMIF(Relaciones!D:D,A15,Relaciones!I:I)</f>
        <v>16</v>
      </c>
      <c r="I15" s="47" t="str">
        <f t="shared" si="2"/>
        <v>Baja</v>
      </c>
      <c r="J15" s="48" t="str">
        <f t="shared" si="3"/>
        <v>Prioridad Baja</v>
      </c>
      <c r="K15" s="49" t="str">
        <f t="shared" si="4"/>
        <v>Baja necesidad de articulación – monitoreo periódico</v>
      </c>
    </row>
    <row r="16" ht="24.0" customHeight="1">
      <c r="A16" s="26" t="s">
        <v>139</v>
      </c>
      <c r="B16" s="26" t="s">
        <v>140</v>
      </c>
      <c r="C16" s="43" t="s">
        <v>214</v>
      </c>
      <c r="D16" s="26" t="s">
        <v>17</v>
      </c>
      <c r="E16" s="44">
        <f>COUNTIF(Relaciones!A:A,A16)</f>
        <v>2</v>
      </c>
      <c r="F16" s="44">
        <f>COUNTIF(Relaciones!D:D,A16)</f>
        <v>3</v>
      </c>
      <c r="G16" s="44">
        <f t="shared" si="1"/>
        <v>5</v>
      </c>
      <c r="H16" s="45">
        <f>SUMIF(Relaciones!A:A,A16,Relaciones!I:I)+SUMIF(Relaciones!D:D,A16,Relaciones!I:I)</f>
        <v>21</v>
      </c>
      <c r="I16" s="44" t="str">
        <f t="shared" si="2"/>
        <v>Baja</v>
      </c>
      <c r="J16" s="45" t="str">
        <f t="shared" si="3"/>
        <v>Prioridad Baja</v>
      </c>
      <c r="K16" s="46" t="str">
        <f t="shared" si="4"/>
        <v>Baja necesidad de articulación – monitoreo periódico</v>
      </c>
    </row>
    <row r="17" ht="24.0" customHeight="1">
      <c r="A17" s="30" t="s">
        <v>125</v>
      </c>
      <c r="B17" s="30" t="s">
        <v>126</v>
      </c>
      <c r="C17" s="43" t="s">
        <v>215</v>
      </c>
      <c r="D17" s="30" t="s">
        <v>18</v>
      </c>
      <c r="E17" s="47">
        <f>COUNTIF(Relaciones!A:A,A17)</f>
        <v>5</v>
      </c>
      <c r="F17" s="47">
        <f>COUNTIF(Relaciones!D:D,A17)</f>
        <v>1</v>
      </c>
      <c r="G17" s="47">
        <f t="shared" si="1"/>
        <v>6</v>
      </c>
      <c r="H17" s="48">
        <f>SUMIF(Relaciones!A:A,A17,Relaciones!I:I)+SUMIF(Relaciones!D:D,A17,Relaciones!I:I)</f>
        <v>22</v>
      </c>
      <c r="I17" s="47" t="str">
        <f t="shared" si="2"/>
        <v>Media</v>
      </c>
      <c r="J17" s="48" t="str">
        <f t="shared" si="3"/>
        <v>Prioridad Media</v>
      </c>
      <c r="K17" s="49" t="str">
        <f t="shared" si="4"/>
        <v>Coordinación moderada – articular en seguimiento PDI</v>
      </c>
    </row>
    <row r="18" ht="24.0" customHeight="1">
      <c r="A18" s="26" t="s">
        <v>129</v>
      </c>
      <c r="B18" s="26" t="s">
        <v>130</v>
      </c>
      <c r="C18" s="43" t="s">
        <v>215</v>
      </c>
      <c r="D18" s="26" t="s">
        <v>18</v>
      </c>
      <c r="E18" s="44">
        <f>COUNTIF(Relaciones!A:A,A18)</f>
        <v>1</v>
      </c>
      <c r="F18" s="44">
        <f>COUNTIF(Relaciones!D:D,A18)</f>
        <v>2</v>
      </c>
      <c r="G18" s="44">
        <f t="shared" si="1"/>
        <v>3</v>
      </c>
      <c r="H18" s="45">
        <f>SUMIF(Relaciones!A:A,A18,Relaciones!I:I)+SUMIF(Relaciones!D:D,A18,Relaciones!I:I)</f>
        <v>15</v>
      </c>
      <c r="I18" s="44" t="str">
        <f t="shared" si="2"/>
        <v>Baja</v>
      </c>
      <c r="J18" s="45" t="str">
        <f t="shared" si="3"/>
        <v>Prioridad Baja</v>
      </c>
      <c r="K18" s="46" t="str">
        <f t="shared" si="4"/>
        <v>Baja necesidad de articulación – monitoreo periódico</v>
      </c>
    </row>
    <row r="19" ht="24.0" customHeight="1">
      <c r="A19" s="30" t="s">
        <v>53</v>
      </c>
      <c r="B19" s="30" t="s">
        <v>54</v>
      </c>
      <c r="C19" s="43" t="s">
        <v>215</v>
      </c>
      <c r="D19" s="30" t="s">
        <v>18</v>
      </c>
      <c r="E19" s="47">
        <f>COUNTIF(Relaciones!A:A,A19)</f>
        <v>6</v>
      </c>
      <c r="F19" s="47">
        <f>COUNTIF(Relaciones!D:D,A19)</f>
        <v>5</v>
      </c>
      <c r="G19" s="47">
        <f t="shared" si="1"/>
        <v>11</v>
      </c>
      <c r="H19" s="48">
        <f>SUMIF(Relaciones!A:A,A19,Relaciones!I:I)+SUMIF(Relaciones!D:D,A19,Relaciones!I:I)</f>
        <v>49</v>
      </c>
      <c r="I19" s="47" t="str">
        <f t="shared" si="2"/>
        <v>Alta</v>
      </c>
      <c r="J19" s="48" t="str">
        <f t="shared" si="3"/>
        <v>Prioridad Alta</v>
      </c>
      <c r="K19" s="49" t="str">
        <f t="shared" si="4"/>
        <v>Requiere articulación alta – seguimiento prioritario</v>
      </c>
    </row>
    <row r="20" ht="24.0" customHeight="1">
      <c r="A20" s="26" t="s">
        <v>135</v>
      </c>
      <c r="B20" s="26" t="s">
        <v>136</v>
      </c>
      <c r="C20" s="43" t="s">
        <v>215</v>
      </c>
      <c r="D20" s="26" t="s">
        <v>18</v>
      </c>
      <c r="E20" s="44">
        <f>COUNTIF(Relaciones!A:A,A20)</f>
        <v>4</v>
      </c>
      <c r="F20" s="44">
        <f>COUNTIF(Relaciones!D:D,A20)</f>
        <v>3</v>
      </c>
      <c r="G20" s="44">
        <f t="shared" si="1"/>
        <v>7</v>
      </c>
      <c r="H20" s="45">
        <f>SUMIF(Relaciones!A:A,A20,Relaciones!I:I)+SUMIF(Relaciones!D:D,A20,Relaciones!I:I)</f>
        <v>29</v>
      </c>
      <c r="I20" s="44" t="str">
        <f t="shared" si="2"/>
        <v>Media</v>
      </c>
      <c r="J20" s="45" t="str">
        <f t="shared" si="3"/>
        <v>Prioridad Media</v>
      </c>
      <c r="K20" s="46" t="str">
        <f t="shared" si="4"/>
        <v>Coordinación moderada – articular en seguimiento PDI</v>
      </c>
    </row>
    <row r="21" ht="14.2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ht="19.5" customHeight="1">
      <c r="A22" s="19" t="str">
        <f>IF(COUNTA(A4:A20)=17,"✔ Modelo correcto — 17 proyectos activos","⚠ Revisar: número de proyectos inesperado")</f>
        <v>✔ Modelo correcto — 17 proyectos activos</v>
      </c>
      <c r="B22" s="2"/>
      <c r="C22" s="2"/>
      <c r="D22" s="2"/>
      <c r="E22" s="2"/>
      <c r="F22" s="2"/>
      <c r="G22" s="2"/>
      <c r="H22" s="2"/>
      <c r="I22" s="2"/>
      <c r="J22" s="2"/>
      <c r="K22" s="38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ht="14.2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</row>
  </sheetData>
  <autoFilter ref="$A$3:$K$20"/>
  <mergeCells count="3">
    <mergeCell ref="A1:K1"/>
    <mergeCell ref="A2:K2"/>
    <mergeCell ref="A22:K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36.0"/>
    <col customWidth="1" min="4" max="4" width="10.0"/>
    <col customWidth="1" min="5" max="6" width="13.0"/>
    <col customWidth="1" min="7" max="7" width="16.0"/>
    <col customWidth="1" min="8" max="8" width="30.0"/>
    <col customWidth="1" min="9" max="26" width="8.57"/>
  </cols>
  <sheetData>
    <row r="1" ht="33.75" customHeight="1">
      <c r="A1" s="50" t="s">
        <v>216</v>
      </c>
      <c r="B1" s="20"/>
      <c r="C1" s="20"/>
      <c r="D1" s="20"/>
      <c r="E1" s="20"/>
      <c r="F1" s="20"/>
      <c r="G1" s="20"/>
      <c r="H1" s="20"/>
    </row>
    <row r="2" ht="21.75" customHeight="1">
      <c r="A2" s="42" t="s">
        <v>217</v>
      </c>
      <c r="B2" s="22"/>
      <c r="C2" s="22"/>
      <c r="D2" s="22"/>
      <c r="E2" s="22"/>
      <c r="F2" s="22"/>
      <c r="G2" s="22"/>
      <c r="H2" s="23"/>
    </row>
    <row r="3" ht="31.5" customHeight="1">
      <c r="A3" s="25" t="s">
        <v>218</v>
      </c>
      <c r="B3" s="25" t="s">
        <v>200</v>
      </c>
      <c r="C3" s="25" t="s">
        <v>201</v>
      </c>
      <c r="D3" s="25" t="s">
        <v>202</v>
      </c>
      <c r="E3" s="25" t="s">
        <v>207</v>
      </c>
      <c r="F3" s="25" t="s">
        <v>206</v>
      </c>
      <c r="G3" s="25" t="s">
        <v>209</v>
      </c>
      <c r="H3" s="25" t="s">
        <v>210</v>
      </c>
    </row>
    <row r="4" ht="24.0" customHeight="1">
      <c r="A4" s="51">
        <f t="shared" ref="A4:A20" si="1">IFERROR(RANK(E4,E$4:E$20,0),"")</f>
        <v>1</v>
      </c>
      <c r="B4" s="52" t="str">
        <f>'Nodos y Métricas'!A19</f>
        <v>M5-P3</v>
      </c>
      <c r="C4" s="53" t="str">
        <f>'Nodos y Métricas'!B19</f>
        <v>Herramientas Digitales</v>
      </c>
      <c r="D4" s="54" t="str">
        <f>'Nodos y Métricas'!C19</f>
        <v>M5</v>
      </c>
      <c r="E4" s="52">
        <f>'Nodos y Métricas'!H19</f>
        <v>49</v>
      </c>
      <c r="F4" s="54">
        <f>'Nodos y Métricas'!G19</f>
        <v>11</v>
      </c>
      <c r="G4" s="54" t="str">
        <f>'Nodos y Métricas'!J19</f>
        <v>Prioridad Alta</v>
      </c>
      <c r="H4" s="53" t="str">
        <f>'Nodos y Métricas'!K19</f>
        <v>Requiere articulación alta – seguimiento prioritario</v>
      </c>
    </row>
    <row r="5" ht="24.0" customHeight="1">
      <c r="A5" s="55">
        <f t="shared" si="1"/>
        <v>2</v>
      </c>
      <c r="B5" s="56" t="str">
        <f>'Nodos y Métricas'!A4</f>
        <v>M1-P1</v>
      </c>
      <c r="C5" s="57" t="str">
        <f>'Nodos y Métricas'!B4</f>
        <v>Travesías del Conocimiento</v>
      </c>
      <c r="D5" s="58" t="str">
        <f>'Nodos y Métricas'!C4</f>
        <v>M1</v>
      </c>
      <c r="E5" s="56">
        <f>'Nodos y Métricas'!H4</f>
        <v>47</v>
      </c>
      <c r="F5" s="58">
        <f>'Nodos y Métricas'!G4</f>
        <v>11</v>
      </c>
      <c r="G5" s="58" t="str">
        <f>'Nodos y Métricas'!J4</f>
        <v>Prioridad Alta</v>
      </c>
      <c r="H5" s="57" t="str">
        <f>'Nodos y Métricas'!K4</f>
        <v>Requiere articulación alta – seguimiento prioritario</v>
      </c>
    </row>
    <row r="6" ht="24.0" customHeight="1">
      <c r="A6" s="55">
        <f t="shared" si="1"/>
        <v>3</v>
      </c>
      <c r="B6" s="56" t="str">
        <f>'Nodos y Métricas'!A10</f>
        <v>M2-P2</v>
      </c>
      <c r="C6" s="57" t="str">
        <f>'Nodos y Métricas'!B10</f>
        <v>Misiones Académicas y Científicas</v>
      </c>
      <c r="D6" s="58" t="str">
        <f>'Nodos y Métricas'!C10</f>
        <v>M2</v>
      </c>
      <c r="E6" s="56">
        <f>'Nodos y Métricas'!H10</f>
        <v>32</v>
      </c>
      <c r="F6" s="58">
        <f>'Nodos y Métricas'!G10</f>
        <v>8</v>
      </c>
      <c r="G6" s="58" t="str">
        <f>'Nodos y Métricas'!J10</f>
        <v>Prioridad Alta</v>
      </c>
      <c r="H6" s="57" t="str">
        <f>'Nodos y Métricas'!K10</f>
        <v>Requiere articulación alta – seguimiento prioritario</v>
      </c>
    </row>
    <row r="7" ht="24.0" customHeight="1">
      <c r="A7" s="51">
        <f t="shared" si="1"/>
        <v>3</v>
      </c>
      <c r="B7" s="52" t="str">
        <f>'Nodos y Métricas'!A11</f>
        <v>M2-P3</v>
      </c>
      <c r="C7" s="53" t="str">
        <f>'Nodos y Métricas'!B11</f>
        <v>Laboratorios Vivos de Innovación</v>
      </c>
      <c r="D7" s="54" t="str">
        <f>'Nodos y Métricas'!C11</f>
        <v>M2</v>
      </c>
      <c r="E7" s="52">
        <f>'Nodos y Métricas'!H11</f>
        <v>32</v>
      </c>
      <c r="F7" s="54">
        <f>'Nodos y Métricas'!G11</f>
        <v>8</v>
      </c>
      <c r="G7" s="54" t="str">
        <f>'Nodos y Métricas'!J11</f>
        <v>Prioridad Alta</v>
      </c>
      <c r="H7" s="53" t="str">
        <f>'Nodos y Métricas'!K11</f>
        <v>Requiere articulación alta – seguimiento prioritario</v>
      </c>
    </row>
    <row r="8" ht="24.0" customHeight="1">
      <c r="A8" s="55">
        <f t="shared" si="1"/>
        <v>5</v>
      </c>
      <c r="B8" s="56" t="str">
        <f>'Nodos y Métricas'!A12</f>
        <v>M3-P1</v>
      </c>
      <c r="C8" s="57" t="str">
        <f>'Nodos y Métricas'!B12</f>
        <v>Viabilidad Financiera</v>
      </c>
      <c r="D8" s="58" t="str">
        <f>'Nodos y Métricas'!C12</f>
        <v>M3</v>
      </c>
      <c r="E8" s="56">
        <f>'Nodos y Métricas'!H12</f>
        <v>31</v>
      </c>
      <c r="F8" s="58">
        <f>'Nodos y Métricas'!G12</f>
        <v>9</v>
      </c>
      <c r="G8" s="58" t="str">
        <f>'Nodos y Métricas'!J12</f>
        <v>Prioridad Alta</v>
      </c>
      <c r="H8" s="57" t="str">
        <f>'Nodos y Métricas'!K12</f>
        <v>Requiere articulación alta – seguimiento prioritario</v>
      </c>
    </row>
    <row r="9" ht="24.0" customHeight="1">
      <c r="A9" s="55">
        <f t="shared" si="1"/>
        <v>6</v>
      </c>
      <c r="B9" s="56" t="str">
        <f>'Nodos y Métricas'!A20</f>
        <v>M5-P4</v>
      </c>
      <c r="C9" s="57" t="str">
        <f>'Nodos y Métricas'!B20</f>
        <v>Universidad Ágil</v>
      </c>
      <c r="D9" s="58" t="str">
        <f>'Nodos y Métricas'!C20</f>
        <v>M5</v>
      </c>
      <c r="E9" s="56">
        <f>'Nodos y Métricas'!H20</f>
        <v>29</v>
      </c>
      <c r="F9" s="58">
        <f>'Nodos y Métricas'!G20</f>
        <v>7</v>
      </c>
      <c r="G9" s="58" t="str">
        <f>'Nodos y Métricas'!J20</f>
        <v>Prioridad Media</v>
      </c>
      <c r="H9" s="57" t="str">
        <f>'Nodos y Métricas'!K20</f>
        <v>Coordinación moderada – articular en seguimiento PDI</v>
      </c>
    </row>
    <row r="10" ht="24.0" customHeight="1">
      <c r="A10" s="55">
        <f t="shared" si="1"/>
        <v>7</v>
      </c>
      <c r="B10" s="56" t="str">
        <f>'Nodos y Métricas'!A6</f>
        <v>M1-P3</v>
      </c>
      <c r="C10" s="57" t="str">
        <f>'Nodos y Métricas'!B6</f>
        <v>Tránsito Vital</v>
      </c>
      <c r="D10" s="58" t="str">
        <f>'Nodos y Métricas'!C6</f>
        <v>M1</v>
      </c>
      <c r="E10" s="56">
        <f>'Nodos y Métricas'!H6</f>
        <v>28</v>
      </c>
      <c r="F10" s="58">
        <f>'Nodos y Métricas'!G6</f>
        <v>8</v>
      </c>
      <c r="G10" s="58" t="str">
        <f>'Nodos y Métricas'!J6</f>
        <v>Prioridad Alta</v>
      </c>
      <c r="H10" s="57" t="str">
        <f>'Nodos y Métricas'!K6</f>
        <v>Requiere articulación alta – seguimiento prioritario</v>
      </c>
    </row>
    <row r="11" ht="24.0" customHeight="1">
      <c r="A11" s="51">
        <f t="shared" si="1"/>
        <v>8</v>
      </c>
      <c r="B11" s="52" t="str">
        <f>'Nodos y Métricas'!A5</f>
        <v>M1-P2</v>
      </c>
      <c r="C11" s="53" t="str">
        <f>'Nodos y Métricas'!B5</f>
        <v>Aseguramiento de la Calidad (SIAC)</v>
      </c>
      <c r="D11" s="54" t="str">
        <f>'Nodos y Métricas'!C5</f>
        <v>M1</v>
      </c>
      <c r="E11" s="52">
        <f>'Nodos y Métricas'!H5</f>
        <v>27</v>
      </c>
      <c r="F11" s="54">
        <f>'Nodos y Métricas'!G5</f>
        <v>7</v>
      </c>
      <c r="G11" s="54" t="str">
        <f>'Nodos y Métricas'!J5</f>
        <v>Prioridad Media</v>
      </c>
      <c r="H11" s="53" t="str">
        <f>'Nodos y Métricas'!K5</f>
        <v>Coordinación moderada – articular en seguimiento PDI</v>
      </c>
    </row>
    <row r="12" ht="24.0" customHeight="1">
      <c r="A12" s="51">
        <f t="shared" si="1"/>
        <v>8</v>
      </c>
      <c r="B12" s="52" t="str">
        <f>'Nodos y Métricas'!A7</f>
        <v>M1-P4</v>
      </c>
      <c r="C12" s="53" t="str">
        <f>'Nodos y Métricas'!B7</f>
        <v>Voces y Saberes</v>
      </c>
      <c r="D12" s="54" t="str">
        <f>'Nodos y Métricas'!C7</f>
        <v>M1</v>
      </c>
      <c r="E12" s="52">
        <f>'Nodos y Métricas'!H7</f>
        <v>27</v>
      </c>
      <c r="F12" s="54">
        <f>'Nodos y Métricas'!G7</f>
        <v>7</v>
      </c>
      <c r="G12" s="54" t="str">
        <f>'Nodos y Métricas'!J7</f>
        <v>Prioridad Media</v>
      </c>
      <c r="H12" s="53" t="str">
        <f>'Nodos y Métricas'!K7</f>
        <v>Coordinación moderada – articular en seguimiento PDI</v>
      </c>
    </row>
    <row r="13" ht="24.0" customHeight="1">
      <c r="A13" s="51">
        <f t="shared" si="1"/>
        <v>8</v>
      </c>
      <c r="B13" s="52" t="str">
        <f>'Nodos y Métricas'!A9</f>
        <v>M2-P1</v>
      </c>
      <c r="C13" s="53" t="str">
        <f>'Nodos y Métricas'!B9</f>
        <v>Redes del Conocimiento</v>
      </c>
      <c r="D13" s="54" t="str">
        <f>'Nodos y Métricas'!C9</f>
        <v>M2</v>
      </c>
      <c r="E13" s="52">
        <f>'Nodos y Métricas'!H9</f>
        <v>27</v>
      </c>
      <c r="F13" s="54">
        <f>'Nodos y Métricas'!G9</f>
        <v>7</v>
      </c>
      <c r="G13" s="54" t="str">
        <f>'Nodos y Métricas'!J9</f>
        <v>Prioridad Media</v>
      </c>
      <c r="H13" s="53" t="str">
        <f>'Nodos y Métricas'!K9</f>
        <v>Coordinación moderada – articular en seguimiento PDI</v>
      </c>
    </row>
    <row r="14" ht="24.0" customHeight="1">
      <c r="A14" s="51">
        <f t="shared" si="1"/>
        <v>11</v>
      </c>
      <c r="B14" s="52" t="str">
        <f>'Nodos y Métricas'!A13</f>
        <v>M3-P2</v>
      </c>
      <c r="C14" s="53" t="str">
        <f>'Nodos y Métricas'!B13</f>
        <v>Autorregulación Institucional</v>
      </c>
      <c r="D14" s="54" t="str">
        <f>'Nodos y Métricas'!C13</f>
        <v>M3</v>
      </c>
      <c r="E14" s="52">
        <f>'Nodos y Métricas'!H13</f>
        <v>24</v>
      </c>
      <c r="F14" s="54">
        <f>'Nodos y Métricas'!G13</f>
        <v>6</v>
      </c>
      <c r="G14" s="54" t="str">
        <f>'Nodos y Métricas'!J13</f>
        <v>Prioridad Media</v>
      </c>
      <c r="H14" s="53" t="str">
        <f>'Nodos y Métricas'!K13</f>
        <v>Coordinación moderada – articular en seguimiento PDI</v>
      </c>
    </row>
    <row r="15" ht="24.0" customHeight="1">
      <c r="A15" s="51">
        <f t="shared" si="1"/>
        <v>12</v>
      </c>
      <c r="B15" s="52" t="str">
        <f>'Nodos y Métricas'!A17</f>
        <v>M5-P1</v>
      </c>
      <c r="C15" s="53" t="str">
        <f>'Nodos y Métricas'!B17</f>
        <v>Madurez Digital Institucional</v>
      </c>
      <c r="D15" s="54" t="str">
        <f>'Nodos y Métricas'!C17</f>
        <v>M5</v>
      </c>
      <c r="E15" s="52">
        <f>'Nodos y Métricas'!H17</f>
        <v>22</v>
      </c>
      <c r="F15" s="54">
        <f>'Nodos y Métricas'!G17</f>
        <v>6</v>
      </c>
      <c r="G15" s="54" t="str">
        <f>'Nodos y Métricas'!J17</f>
        <v>Prioridad Media</v>
      </c>
      <c r="H15" s="53" t="str">
        <f>'Nodos y Métricas'!K17</f>
        <v>Coordinación moderada – articular en seguimiento PDI</v>
      </c>
    </row>
    <row r="16" ht="24.0" customHeight="1">
      <c r="A16" s="55">
        <f t="shared" si="1"/>
        <v>13</v>
      </c>
      <c r="B16" s="56" t="str">
        <f>'Nodos y Métricas'!A16</f>
        <v>M4-P2</v>
      </c>
      <c r="C16" s="57" t="str">
        <f>'Nodos y Métricas'!B16</f>
        <v>Cultura del Servicio</v>
      </c>
      <c r="D16" s="58" t="str">
        <f>'Nodos y Métricas'!C16</f>
        <v>M4</v>
      </c>
      <c r="E16" s="56">
        <f>'Nodos y Métricas'!H16</f>
        <v>21</v>
      </c>
      <c r="F16" s="58">
        <f>'Nodos y Métricas'!G16</f>
        <v>5</v>
      </c>
      <c r="G16" s="58" t="str">
        <f>'Nodos y Métricas'!J16</f>
        <v>Prioridad Baja</v>
      </c>
      <c r="H16" s="57" t="str">
        <f>'Nodos y Métricas'!K16</f>
        <v>Baja necesidad de articulación – monitoreo periódico</v>
      </c>
    </row>
    <row r="17" ht="24.0" customHeight="1">
      <c r="A17" s="55">
        <f t="shared" si="1"/>
        <v>14</v>
      </c>
      <c r="B17" s="56" t="str">
        <f>'Nodos y Métricas'!A14</f>
        <v>M3-P3</v>
      </c>
      <c r="C17" s="57" t="str">
        <f>'Nodos y Métricas'!B14</f>
        <v>Alianzas y Cooperación para la Sostenibilidad</v>
      </c>
      <c r="D17" s="58" t="str">
        <f>'Nodos y Métricas'!C14</f>
        <v>M3</v>
      </c>
      <c r="E17" s="56">
        <f>'Nodos y Métricas'!H14</f>
        <v>19</v>
      </c>
      <c r="F17" s="58">
        <f>'Nodos y Métricas'!G14</f>
        <v>5</v>
      </c>
      <c r="G17" s="58" t="str">
        <f>'Nodos y Métricas'!J14</f>
        <v>Prioridad Baja</v>
      </c>
      <c r="H17" s="57" t="str">
        <f>'Nodos y Métricas'!K14</f>
        <v>Baja necesidad de articulación – monitoreo periódico</v>
      </c>
    </row>
    <row r="18" ht="24.0" customHeight="1">
      <c r="A18" s="51">
        <f t="shared" si="1"/>
        <v>15</v>
      </c>
      <c r="B18" s="52" t="str">
        <f>'Nodos y Métricas'!A15</f>
        <v>M4-P1</v>
      </c>
      <c r="C18" s="53" t="str">
        <f>'Nodos y Métricas'!B15</f>
        <v>Cuidado Colectivo</v>
      </c>
      <c r="D18" s="54" t="str">
        <f>'Nodos y Métricas'!C15</f>
        <v>M4</v>
      </c>
      <c r="E18" s="52">
        <f>'Nodos y Métricas'!H15</f>
        <v>16</v>
      </c>
      <c r="F18" s="54">
        <f>'Nodos y Métricas'!G15</f>
        <v>4</v>
      </c>
      <c r="G18" s="54" t="str">
        <f>'Nodos y Métricas'!J15</f>
        <v>Prioridad Baja</v>
      </c>
      <c r="H18" s="53" t="str">
        <f>'Nodos y Métricas'!K15</f>
        <v>Baja necesidad de articulación – monitoreo periódico</v>
      </c>
    </row>
    <row r="19" ht="24.0" customHeight="1">
      <c r="A19" s="55">
        <f t="shared" si="1"/>
        <v>16</v>
      </c>
      <c r="B19" s="56" t="str">
        <f>'Nodos y Métricas'!A18</f>
        <v>M5-P2</v>
      </c>
      <c r="C19" s="57" t="str">
        <f>'Nodos y Métricas'!B18</f>
        <v>Infraestructura Tecnológica</v>
      </c>
      <c r="D19" s="58" t="str">
        <f>'Nodos y Métricas'!C18</f>
        <v>M5</v>
      </c>
      <c r="E19" s="56">
        <f>'Nodos y Métricas'!H18</f>
        <v>15</v>
      </c>
      <c r="F19" s="58">
        <f>'Nodos y Métricas'!G18</f>
        <v>3</v>
      </c>
      <c r="G19" s="58" t="str">
        <f>'Nodos y Métricas'!J18</f>
        <v>Prioridad Baja</v>
      </c>
      <c r="H19" s="57" t="str">
        <f>'Nodos y Métricas'!K18</f>
        <v>Baja necesidad de articulación – monitoreo periódico</v>
      </c>
    </row>
    <row r="20" ht="24.0" customHeight="1">
      <c r="A20" s="55">
        <f t="shared" si="1"/>
        <v>17</v>
      </c>
      <c r="B20" s="56" t="str">
        <f>'Nodos y Métricas'!A8</f>
        <v>M1-P5</v>
      </c>
      <c r="C20" s="57" t="str">
        <f>'Nodos y Métricas'!B8</f>
        <v>Trayectorias de Futuro</v>
      </c>
      <c r="D20" s="58" t="str">
        <f>'Nodos y Métricas'!C8</f>
        <v>M1</v>
      </c>
      <c r="E20" s="56">
        <f>'Nodos y Métricas'!H8</f>
        <v>14</v>
      </c>
      <c r="F20" s="58">
        <f>'Nodos y Métricas'!G8</f>
        <v>4</v>
      </c>
      <c r="G20" s="58" t="str">
        <f>'Nodos y Métricas'!J8</f>
        <v>Prioridad Baja</v>
      </c>
      <c r="H20" s="57" t="str">
        <f>'Nodos y Métricas'!K8</f>
        <v>Baja necesidad de articulación – monitoreo periódico</v>
      </c>
    </row>
    <row r="21" ht="19.5" customHeight="1">
      <c r="A21" s="19" t="str">
        <f>IF(COUNTA(B4:B20)=17,"✔ Ranking completo — 17 proyectos","⚠ Revisar: número de proyectos incorrecto")</f>
        <v>✔ Ranking completo — 17 proyectos</v>
      </c>
      <c r="B21" s="2"/>
      <c r="C21" s="2"/>
      <c r="D21" s="2"/>
      <c r="E21" s="2"/>
      <c r="F21" s="2"/>
      <c r="G21" s="2"/>
      <c r="H21" s="38"/>
    </row>
    <row r="22" ht="14.25" customHeight="1">
      <c r="A22" s="20"/>
      <c r="B22" s="20"/>
      <c r="C22" s="20"/>
      <c r="D22" s="20"/>
      <c r="E22" s="20"/>
      <c r="F22" s="20"/>
      <c r="G22" s="20"/>
      <c r="H22" s="20"/>
    </row>
    <row r="23" ht="14.25" customHeight="1">
      <c r="A23" s="20"/>
      <c r="B23" s="20"/>
      <c r="C23" s="20"/>
      <c r="D23" s="20"/>
      <c r="E23" s="20"/>
      <c r="F23" s="20"/>
      <c r="G23" s="20"/>
      <c r="H23" s="20"/>
    </row>
    <row r="24" ht="14.25" customHeight="1">
      <c r="A24" s="20"/>
      <c r="B24" s="20"/>
      <c r="C24" s="20"/>
      <c r="D24" s="20"/>
      <c r="E24" s="20"/>
      <c r="F24" s="20"/>
      <c r="G24" s="20"/>
      <c r="H24" s="20"/>
    </row>
    <row r="25" ht="14.25" customHeight="1">
      <c r="A25" s="20"/>
      <c r="B25" s="20"/>
      <c r="C25" s="20"/>
      <c r="D25" s="20"/>
      <c r="E25" s="20"/>
      <c r="F25" s="20"/>
      <c r="G25" s="20"/>
      <c r="H25" s="20"/>
    </row>
    <row r="26" ht="14.25" customHeight="1">
      <c r="A26" s="20"/>
      <c r="B26" s="20"/>
      <c r="C26" s="20"/>
      <c r="D26" s="20"/>
      <c r="E26" s="20"/>
      <c r="F26" s="20"/>
      <c r="G26" s="20"/>
      <c r="H26" s="20"/>
    </row>
    <row r="27" ht="14.25" customHeight="1">
      <c r="A27" s="20"/>
      <c r="B27" s="20"/>
      <c r="C27" s="20"/>
      <c r="D27" s="20"/>
      <c r="E27" s="20"/>
      <c r="F27" s="20"/>
      <c r="G27" s="20"/>
      <c r="H27" s="20"/>
    </row>
    <row r="28" ht="14.25" customHeight="1">
      <c r="A28" s="20"/>
      <c r="B28" s="20"/>
      <c r="C28" s="20"/>
      <c r="D28" s="20"/>
      <c r="E28" s="20"/>
      <c r="F28" s="20"/>
      <c r="G28" s="20"/>
      <c r="H28" s="20"/>
    </row>
    <row r="29" ht="14.25" customHeight="1">
      <c r="A29" s="20"/>
      <c r="B29" s="20"/>
      <c r="C29" s="20"/>
      <c r="D29" s="20"/>
      <c r="E29" s="20"/>
      <c r="F29" s="20"/>
      <c r="G29" s="20"/>
      <c r="H29" s="20"/>
    </row>
    <row r="30" ht="14.25" customHeight="1">
      <c r="A30" s="20"/>
      <c r="B30" s="20"/>
      <c r="C30" s="20"/>
      <c r="D30" s="20"/>
      <c r="E30" s="20"/>
      <c r="F30" s="20"/>
      <c r="G30" s="20"/>
      <c r="H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</row>
  </sheetData>
  <mergeCells count="2">
    <mergeCell ref="A2:H2"/>
    <mergeCell ref="A21:H2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8D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42.0"/>
    <col customWidth="1" min="4" max="4" width="13.0"/>
    <col customWidth="1" min="5" max="5" width="17.0"/>
    <col customWidth="1" min="6" max="6" width="14.0"/>
    <col customWidth="1" min="7" max="26" width="8.57"/>
  </cols>
  <sheetData>
    <row r="1" ht="33.75" customHeight="1">
      <c r="A1" s="50" t="s">
        <v>219</v>
      </c>
      <c r="B1" s="20"/>
      <c r="C1" s="20"/>
      <c r="D1" s="20"/>
      <c r="E1" s="20"/>
      <c r="F1" s="20"/>
    </row>
    <row r="2" ht="15.75" customHeight="1">
      <c r="A2" s="59" t="s">
        <v>220</v>
      </c>
      <c r="B2" s="20"/>
      <c r="C2" s="20"/>
      <c r="D2" s="20"/>
      <c r="E2" s="20"/>
      <c r="F2" s="20"/>
    </row>
    <row r="3" ht="31.5" customHeight="1">
      <c r="A3" s="25" t="s">
        <v>218</v>
      </c>
      <c r="B3" s="25" t="s">
        <v>200</v>
      </c>
      <c r="C3" s="25" t="s">
        <v>203</v>
      </c>
      <c r="D3" s="25" t="s">
        <v>221</v>
      </c>
      <c r="E3" s="25" t="s">
        <v>222</v>
      </c>
      <c r="F3" s="25" t="s">
        <v>206</v>
      </c>
    </row>
    <row r="4" ht="27.75" customHeight="1">
      <c r="A4" s="60">
        <f t="shared" ref="A4:A8" si="1">IFERROR(RANK(E4,E$4:E$8,0),"")</f>
        <v>1</v>
      </c>
      <c r="B4" s="60" t="s">
        <v>211</v>
      </c>
      <c r="C4" s="61" t="s">
        <v>14</v>
      </c>
      <c r="D4" s="62">
        <f>COUNTIF('Nodos y Métricas'!C:C,B4)</f>
        <v>5</v>
      </c>
      <c r="E4" s="62">
        <f>SUMIF('Nodos y Métricas'!C:C,B4,'Nodos y Métricas'!H:H)</f>
        <v>143</v>
      </c>
      <c r="F4" s="62">
        <f>SUMIF('Nodos y Métricas'!C:C,B4,'Nodos y Métricas'!G:G)</f>
        <v>37</v>
      </c>
    </row>
    <row r="5" ht="27.75" customHeight="1">
      <c r="A5" s="63">
        <f t="shared" si="1"/>
        <v>3</v>
      </c>
      <c r="B5" s="63" t="s">
        <v>212</v>
      </c>
      <c r="C5" s="64" t="s">
        <v>15</v>
      </c>
      <c r="D5" s="65">
        <f>COUNTIF('Nodos y Métricas'!C:C,B5)</f>
        <v>3</v>
      </c>
      <c r="E5" s="65">
        <f>SUMIF('Nodos y Métricas'!C:C,B5,'Nodos y Métricas'!H:H)</f>
        <v>91</v>
      </c>
      <c r="F5" s="65">
        <f>SUMIF('Nodos y Métricas'!C:C,B5,'Nodos y Métricas'!G:G)</f>
        <v>23</v>
      </c>
    </row>
    <row r="6" ht="27.75" customHeight="1">
      <c r="A6" s="60">
        <f t="shared" si="1"/>
        <v>4</v>
      </c>
      <c r="B6" s="60" t="s">
        <v>213</v>
      </c>
      <c r="C6" s="61" t="s">
        <v>16</v>
      </c>
      <c r="D6" s="62">
        <f>COUNTIF('Nodos y Métricas'!C:C,B6)</f>
        <v>3</v>
      </c>
      <c r="E6" s="62">
        <f>SUMIF('Nodos y Métricas'!C:C,B6,'Nodos y Métricas'!H:H)</f>
        <v>74</v>
      </c>
      <c r="F6" s="62">
        <f>SUMIF('Nodos y Métricas'!C:C,B6,'Nodos y Métricas'!G:G)</f>
        <v>20</v>
      </c>
    </row>
    <row r="7" ht="27.75" customHeight="1">
      <c r="A7" s="63">
        <f t="shared" si="1"/>
        <v>5</v>
      </c>
      <c r="B7" s="63" t="s">
        <v>214</v>
      </c>
      <c r="C7" s="64" t="s">
        <v>17</v>
      </c>
      <c r="D7" s="65">
        <f>COUNTIF('Nodos y Métricas'!C:C,B7)</f>
        <v>2</v>
      </c>
      <c r="E7" s="65">
        <f>SUMIF('Nodos y Métricas'!C:C,B7,'Nodos y Métricas'!H:H)</f>
        <v>37</v>
      </c>
      <c r="F7" s="65">
        <f>SUMIF('Nodos y Métricas'!C:C,B7,'Nodos y Métricas'!G:G)</f>
        <v>9</v>
      </c>
    </row>
    <row r="8" ht="27.75" customHeight="1">
      <c r="A8" s="60">
        <f t="shared" si="1"/>
        <v>2</v>
      </c>
      <c r="B8" s="60" t="s">
        <v>215</v>
      </c>
      <c r="C8" s="61" t="s">
        <v>18</v>
      </c>
      <c r="D8" s="62">
        <f>COUNTIF('Nodos y Métricas'!C:C,B8)</f>
        <v>4</v>
      </c>
      <c r="E8" s="62">
        <f>SUMIF('Nodos y Métricas'!C:C,B8,'Nodos y Métricas'!H:H)</f>
        <v>115</v>
      </c>
      <c r="F8" s="62">
        <f>SUMIF('Nodos y Métricas'!C:C,B8,'Nodos y Métricas'!G:G)</f>
        <v>27</v>
      </c>
    </row>
    <row r="9" ht="19.5" customHeight="1">
      <c r="A9" s="19" t="str">
        <f>IF(SUM(D4:D8)=COUNTA('Nodos y Métricas'!A4:A20),"✔ Macroproyectos correctos — suman 17 proyectos","⚠ Revisar: conteo de proyectos no cierra en 17")</f>
        <v>✔ Macroproyectos correctos — suman 17 proyectos</v>
      </c>
      <c r="B9" s="2"/>
      <c r="C9" s="2"/>
      <c r="D9" s="2"/>
      <c r="E9" s="2"/>
      <c r="F9" s="38"/>
    </row>
    <row r="10" ht="14.25" customHeight="1">
      <c r="A10" s="20"/>
      <c r="B10" s="20"/>
      <c r="C10" s="20"/>
      <c r="D10" s="20"/>
      <c r="E10" s="20"/>
      <c r="F10" s="20"/>
    </row>
    <row r="11" ht="14.25" customHeight="1">
      <c r="A11" s="20"/>
      <c r="B11" s="20"/>
      <c r="C11" s="20"/>
      <c r="D11" s="20"/>
      <c r="E11" s="20"/>
      <c r="F11" s="20"/>
    </row>
    <row r="12" ht="14.25" customHeight="1">
      <c r="A12" s="20"/>
      <c r="B12" s="20"/>
      <c r="C12" s="20"/>
      <c r="D12" s="20"/>
      <c r="E12" s="20"/>
      <c r="F12" s="20"/>
    </row>
    <row r="13" ht="14.25" customHeight="1">
      <c r="A13" s="20"/>
      <c r="B13" s="20"/>
      <c r="C13" s="20"/>
      <c r="D13" s="20"/>
      <c r="E13" s="20"/>
      <c r="F13" s="20"/>
    </row>
    <row r="14" ht="14.25" customHeight="1">
      <c r="A14" s="20"/>
      <c r="B14" s="20"/>
      <c r="C14" s="20"/>
      <c r="D14" s="20"/>
      <c r="E14" s="20"/>
      <c r="F14" s="20"/>
    </row>
    <row r="15" ht="14.25" customHeight="1">
      <c r="A15" s="20"/>
      <c r="B15" s="20"/>
      <c r="C15" s="20"/>
      <c r="D15" s="20"/>
      <c r="E15" s="20"/>
      <c r="F15" s="20"/>
    </row>
    <row r="16" ht="14.25" customHeight="1">
      <c r="A16" s="20"/>
      <c r="B16" s="20"/>
      <c r="C16" s="20"/>
      <c r="D16" s="20"/>
      <c r="E16" s="20"/>
      <c r="F16" s="20"/>
    </row>
    <row r="17" ht="14.25" customHeight="1">
      <c r="A17" s="20"/>
      <c r="B17" s="20"/>
      <c r="C17" s="20"/>
      <c r="D17" s="20"/>
      <c r="E17" s="20"/>
      <c r="F17" s="20"/>
    </row>
    <row r="18" ht="14.25" customHeight="1">
      <c r="A18" s="20"/>
      <c r="B18" s="20"/>
      <c r="C18" s="20"/>
      <c r="D18" s="20"/>
      <c r="E18" s="20"/>
      <c r="F18" s="20"/>
    </row>
    <row r="19" ht="14.25" customHeight="1">
      <c r="A19" s="20"/>
      <c r="B19" s="20"/>
      <c r="C19" s="20"/>
      <c r="D19" s="20"/>
      <c r="E19" s="20"/>
      <c r="F19" s="20"/>
    </row>
    <row r="20" ht="14.25" customHeight="1">
      <c r="A20" s="20"/>
      <c r="B20" s="20"/>
      <c r="C20" s="20"/>
      <c r="D20" s="20"/>
      <c r="E20" s="20"/>
      <c r="F20" s="20"/>
    </row>
    <row r="21" ht="14.25" customHeight="1">
      <c r="A21" s="20"/>
      <c r="B21" s="20"/>
      <c r="C21" s="20"/>
      <c r="D21" s="20"/>
      <c r="E21" s="20"/>
      <c r="F21" s="20"/>
    </row>
    <row r="22" ht="14.25" customHeight="1">
      <c r="A22" s="20"/>
      <c r="B22" s="20"/>
      <c r="C22" s="20"/>
      <c r="D22" s="20"/>
      <c r="E22" s="20"/>
      <c r="F22" s="20"/>
    </row>
    <row r="23" ht="14.25" customHeight="1">
      <c r="A23" s="20"/>
      <c r="B23" s="20"/>
      <c r="C23" s="20"/>
      <c r="D23" s="20"/>
      <c r="E23" s="20"/>
      <c r="F23" s="20"/>
    </row>
    <row r="24" ht="14.25" customHeight="1">
      <c r="A24" s="20"/>
      <c r="B24" s="20"/>
      <c r="C24" s="20"/>
      <c r="D24" s="20"/>
      <c r="E24" s="20"/>
      <c r="F24" s="20"/>
    </row>
    <row r="25" ht="14.25" customHeight="1">
      <c r="A25" s="20"/>
      <c r="B25" s="20"/>
      <c r="C25" s="20"/>
      <c r="D25" s="20"/>
      <c r="E25" s="20"/>
      <c r="F25" s="20"/>
    </row>
    <row r="26" ht="14.25" customHeight="1">
      <c r="A26" s="20"/>
      <c r="B26" s="20"/>
      <c r="C26" s="20"/>
      <c r="D26" s="20"/>
      <c r="E26" s="20"/>
      <c r="F26" s="20"/>
    </row>
    <row r="27" ht="14.25" customHeight="1">
      <c r="A27" s="20"/>
      <c r="B27" s="20"/>
      <c r="C27" s="20"/>
      <c r="D27" s="20"/>
      <c r="E27" s="20"/>
      <c r="F27" s="20"/>
    </row>
    <row r="28" ht="14.25" customHeight="1">
      <c r="A28" s="20"/>
      <c r="B28" s="20"/>
      <c r="C28" s="20"/>
      <c r="D28" s="20"/>
      <c r="E28" s="20"/>
      <c r="F28" s="20"/>
    </row>
    <row r="29" ht="14.25" customHeight="1">
      <c r="A29" s="20"/>
      <c r="B29" s="20"/>
      <c r="C29" s="20"/>
      <c r="D29" s="20"/>
      <c r="E29" s="20"/>
      <c r="F29" s="20"/>
    </row>
    <row r="30" ht="14.25" customHeight="1">
      <c r="A30" s="20"/>
      <c r="B30" s="20"/>
      <c r="C30" s="20"/>
      <c r="D30" s="20"/>
      <c r="E30" s="20"/>
      <c r="F30" s="20"/>
    </row>
    <row r="31" ht="14.25" customHeight="1">
      <c r="A31" s="20"/>
      <c r="B31" s="20"/>
      <c r="C31" s="20"/>
      <c r="D31" s="20"/>
      <c r="E31" s="20"/>
      <c r="F31" s="20"/>
    </row>
    <row r="32" ht="14.25" customHeight="1">
      <c r="A32" s="20"/>
      <c r="B32" s="20"/>
      <c r="C32" s="20"/>
      <c r="D32" s="20"/>
      <c r="E32" s="20"/>
      <c r="F32" s="20"/>
    </row>
    <row r="33" ht="14.25" customHeight="1">
      <c r="A33" s="20"/>
      <c r="B33" s="20"/>
      <c r="C33" s="20"/>
      <c r="D33" s="20"/>
      <c r="E33" s="20"/>
      <c r="F33" s="20"/>
    </row>
    <row r="34" ht="14.25" customHeight="1">
      <c r="A34" s="20"/>
      <c r="B34" s="20"/>
      <c r="C34" s="20"/>
      <c r="D34" s="20"/>
      <c r="E34" s="20"/>
      <c r="F34" s="20"/>
    </row>
    <row r="35" ht="14.25" customHeight="1">
      <c r="A35" s="20"/>
      <c r="B35" s="20"/>
      <c r="C35" s="20"/>
      <c r="D35" s="20"/>
      <c r="E35" s="20"/>
      <c r="F35" s="20"/>
    </row>
    <row r="36" ht="14.25" customHeight="1">
      <c r="A36" s="20"/>
      <c r="B36" s="20"/>
      <c r="C36" s="20"/>
      <c r="D36" s="20"/>
      <c r="E36" s="20"/>
      <c r="F36" s="20"/>
    </row>
    <row r="37" ht="14.25" customHeight="1">
      <c r="A37" s="20"/>
      <c r="B37" s="20"/>
      <c r="C37" s="20"/>
      <c r="D37" s="20"/>
      <c r="E37" s="20"/>
      <c r="F37" s="20"/>
    </row>
    <row r="38" ht="14.25" customHeight="1">
      <c r="A38" s="20"/>
      <c r="B38" s="20"/>
      <c r="C38" s="20"/>
      <c r="D38" s="20"/>
      <c r="E38" s="20"/>
      <c r="F38" s="20"/>
    </row>
    <row r="39" ht="14.25" customHeight="1">
      <c r="A39" s="20"/>
      <c r="B39" s="20"/>
      <c r="C39" s="20"/>
      <c r="D39" s="20"/>
      <c r="E39" s="20"/>
      <c r="F39" s="20"/>
    </row>
    <row r="40" ht="14.25" customHeight="1">
      <c r="A40" s="20"/>
      <c r="B40" s="20"/>
      <c r="C40" s="20"/>
      <c r="D40" s="20"/>
      <c r="E40" s="20"/>
      <c r="F40" s="20"/>
    </row>
    <row r="41" ht="14.25" customHeight="1">
      <c r="A41" s="20"/>
      <c r="B41" s="20"/>
      <c r="C41" s="20"/>
      <c r="D41" s="20"/>
      <c r="E41" s="20"/>
      <c r="F41" s="20"/>
    </row>
    <row r="42" ht="14.25" customHeight="1">
      <c r="A42" s="20"/>
      <c r="B42" s="20"/>
      <c r="C42" s="20"/>
      <c r="D42" s="20"/>
      <c r="E42" s="20"/>
      <c r="F42" s="20"/>
    </row>
    <row r="43" ht="14.25" customHeight="1">
      <c r="A43" s="20"/>
      <c r="B43" s="20"/>
      <c r="C43" s="20"/>
      <c r="D43" s="20"/>
      <c r="E43" s="20"/>
      <c r="F43" s="20"/>
    </row>
    <row r="44" ht="14.25" customHeight="1">
      <c r="A44" s="20"/>
      <c r="B44" s="20"/>
      <c r="C44" s="20"/>
      <c r="D44" s="20"/>
      <c r="E44" s="20"/>
      <c r="F44" s="20"/>
    </row>
    <row r="45" ht="14.25" customHeight="1">
      <c r="A45" s="20"/>
      <c r="B45" s="20"/>
      <c r="C45" s="20"/>
      <c r="D45" s="20"/>
      <c r="E45" s="20"/>
      <c r="F45" s="20"/>
    </row>
    <row r="46" ht="14.25" customHeight="1">
      <c r="A46" s="20"/>
      <c r="B46" s="20"/>
      <c r="C46" s="20"/>
      <c r="D46" s="20"/>
      <c r="E46" s="20"/>
      <c r="F46" s="20"/>
    </row>
    <row r="47" ht="14.25" customHeight="1">
      <c r="A47" s="20"/>
      <c r="B47" s="20"/>
      <c r="C47" s="20"/>
      <c r="D47" s="20"/>
      <c r="E47" s="20"/>
      <c r="F47" s="20"/>
    </row>
    <row r="48" ht="14.25" customHeight="1">
      <c r="A48" s="20"/>
      <c r="B48" s="20"/>
      <c r="C48" s="20"/>
      <c r="D48" s="20"/>
      <c r="E48" s="20"/>
      <c r="F48" s="20"/>
    </row>
    <row r="49" ht="14.25" customHeight="1">
      <c r="A49" s="20"/>
      <c r="B49" s="20"/>
      <c r="C49" s="20"/>
      <c r="D49" s="20"/>
      <c r="E49" s="20"/>
      <c r="F49" s="20"/>
    </row>
    <row r="50" ht="14.25" customHeight="1">
      <c r="A50" s="20"/>
      <c r="B50" s="20"/>
      <c r="C50" s="20"/>
      <c r="D50" s="20"/>
      <c r="E50" s="20"/>
      <c r="F50" s="20"/>
    </row>
    <row r="51" ht="14.25" customHeight="1">
      <c r="A51" s="20"/>
      <c r="B51" s="20"/>
      <c r="C51" s="20"/>
      <c r="D51" s="20"/>
      <c r="E51" s="20"/>
      <c r="F51" s="20"/>
    </row>
    <row r="52" ht="14.25" customHeight="1">
      <c r="A52" s="20"/>
      <c r="B52" s="20"/>
      <c r="C52" s="20"/>
      <c r="D52" s="20"/>
      <c r="E52" s="20"/>
      <c r="F52" s="20"/>
    </row>
    <row r="53" ht="14.25" customHeight="1">
      <c r="A53" s="20"/>
      <c r="B53" s="20"/>
      <c r="C53" s="20"/>
      <c r="D53" s="20"/>
      <c r="E53" s="20"/>
      <c r="F53" s="20"/>
    </row>
    <row r="54" ht="14.25" customHeight="1">
      <c r="A54" s="20"/>
      <c r="B54" s="20"/>
      <c r="C54" s="20"/>
      <c r="D54" s="20"/>
      <c r="E54" s="20"/>
      <c r="F54" s="20"/>
    </row>
    <row r="55" ht="14.25" customHeight="1">
      <c r="A55" s="20"/>
      <c r="B55" s="20"/>
      <c r="C55" s="20"/>
      <c r="D55" s="20"/>
      <c r="E55" s="20"/>
      <c r="F55" s="20"/>
    </row>
    <row r="56" ht="14.25" customHeight="1">
      <c r="A56" s="20"/>
      <c r="B56" s="20"/>
      <c r="C56" s="20"/>
      <c r="D56" s="20"/>
      <c r="E56" s="20"/>
      <c r="F56" s="20"/>
    </row>
    <row r="57" ht="14.25" customHeight="1">
      <c r="A57" s="20"/>
      <c r="B57" s="20"/>
      <c r="C57" s="20"/>
      <c r="D57" s="20"/>
      <c r="E57" s="20"/>
      <c r="F57" s="20"/>
    </row>
    <row r="58" ht="14.25" customHeight="1">
      <c r="A58" s="20"/>
      <c r="B58" s="20"/>
      <c r="C58" s="20"/>
      <c r="D58" s="20"/>
      <c r="E58" s="20"/>
      <c r="F58" s="20"/>
    </row>
    <row r="59" ht="14.25" customHeight="1">
      <c r="A59" s="20"/>
      <c r="B59" s="20"/>
      <c r="C59" s="20"/>
      <c r="D59" s="20"/>
      <c r="E59" s="20"/>
      <c r="F59" s="20"/>
    </row>
    <row r="60" ht="14.25" customHeight="1">
      <c r="A60" s="20"/>
      <c r="B60" s="20"/>
      <c r="C60" s="20"/>
      <c r="D60" s="20"/>
      <c r="E60" s="20"/>
      <c r="F60" s="20"/>
    </row>
    <row r="61" ht="14.25" customHeight="1">
      <c r="A61" s="20"/>
      <c r="B61" s="20"/>
      <c r="C61" s="20"/>
      <c r="D61" s="20"/>
      <c r="E61" s="20"/>
      <c r="F61" s="20"/>
    </row>
    <row r="62" ht="14.25" customHeight="1">
      <c r="A62" s="20"/>
      <c r="B62" s="20"/>
      <c r="C62" s="20"/>
      <c r="D62" s="20"/>
      <c r="E62" s="20"/>
      <c r="F62" s="20"/>
    </row>
    <row r="63" ht="14.25" customHeight="1">
      <c r="A63" s="20"/>
      <c r="B63" s="20"/>
      <c r="C63" s="20"/>
      <c r="D63" s="20"/>
      <c r="E63" s="20"/>
      <c r="F63" s="20"/>
    </row>
    <row r="64" ht="14.25" customHeight="1">
      <c r="A64" s="20"/>
      <c r="B64" s="20"/>
      <c r="C64" s="20"/>
      <c r="D64" s="20"/>
      <c r="E64" s="20"/>
      <c r="F64" s="20"/>
    </row>
    <row r="65" ht="14.25" customHeight="1">
      <c r="A65" s="20"/>
      <c r="B65" s="20"/>
      <c r="C65" s="20"/>
      <c r="D65" s="20"/>
      <c r="E65" s="20"/>
      <c r="F65" s="20"/>
    </row>
    <row r="66" ht="14.25" customHeight="1">
      <c r="A66" s="20"/>
      <c r="B66" s="20"/>
      <c r="C66" s="20"/>
      <c r="D66" s="20"/>
      <c r="E66" s="20"/>
      <c r="F66" s="20"/>
    </row>
    <row r="67" ht="14.25" customHeight="1">
      <c r="A67" s="20"/>
      <c r="B67" s="20"/>
      <c r="C67" s="20"/>
      <c r="D67" s="20"/>
      <c r="E67" s="20"/>
      <c r="F67" s="20"/>
    </row>
    <row r="68" ht="14.25" customHeight="1">
      <c r="A68" s="20"/>
      <c r="B68" s="20"/>
      <c r="C68" s="20"/>
      <c r="D68" s="20"/>
      <c r="E68" s="20"/>
      <c r="F68" s="20"/>
    </row>
    <row r="69" ht="14.25" customHeight="1">
      <c r="A69" s="20"/>
      <c r="B69" s="20"/>
      <c r="C69" s="20"/>
      <c r="D69" s="20"/>
      <c r="E69" s="20"/>
      <c r="F69" s="20"/>
    </row>
    <row r="70" ht="14.25" customHeight="1">
      <c r="A70" s="20"/>
      <c r="B70" s="20"/>
      <c r="C70" s="20"/>
      <c r="D70" s="20"/>
      <c r="E70" s="20"/>
      <c r="F70" s="20"/>
    </row>
    <row r="71" ht="14.25" customHeight="1">
      <c r="A71" s="20"/>
      <c r="B71" s="20"/>
      <c r="C71" s="20"/>
      <c r="D71" s="20"/>
      <c r="E71" s="20"/>
      <c r="F71" s="20"/>
    </row>
    <row r="72" ht="14.25" customHeight="1">
      <c r="A72" s="20"/>
      <c r="B72" s="20"/>
      <c r="C72" s="20"/>
      <c r="D72" s="20"/>
      <c r="E72" s="20"/>
      <c r="F72" s="20"/>
    </row>
    <row r="73" ht="14.25" customHeight="1">
      <c r="A73" s="20"/>
      <c r="B73" s="20"/>
      <c r="C73" s="20"/>
      <c r="D73" s="20"/>
      <c r="E73" s="20"/>
      <c r="F73" s="20"/>
    </row>
    <row r="74" ht="14.25" customHeight="1">
      <c r="A74" s="20"/>
      <c r="B74" s="20"/>
      <c r="C74" s="20"/>
      <c r="D74" s="20"/>
      <c r="E74" s="20"/>
      <c r="F74" s="20"/>
    </row>
    <row r="75" ht="14.25" customHeight="1">
      <c r="A75" s="20"/>
      <c r="B75" s="20"/>
      <c r="C75" s="20"/>
      <c r="D75" s="20"/>
      <c r="E75" s="20"/>
      <c r="F75" s="20"/>
    </row>
    <row r="76" ht="14.25" customHeight="1">
      <c r="A76" s="20"/>
      <c r="B76" s="20"/>
      <c r="C76" s="20"/>
      <c r="D76" s="20"/>
      <c r="E76" s="20"/>
      <c r="F76" s="20"/>
    </row>
    <row r="77" ht="14.25" customHeight="1">
      <c r="A77" s="20"/>
      <c r="B77" s="20"/>
      <c r="C77" s="20"/>
      <c r="D77" s="20"/>
      <c r="E77" s="20"/>
      <c r="F77" s="20"/>
    </row>
    <row r="78" ht="14.25" customHeight="1">
      <c r="A78" s="20"/>
      <c r="B78" s="20"/>
      <c r="C78" s="20"/>
      <c r="D78" s="20"/>
      <c r="E78" s="20"/>
      <c r="F78" s="20"/>
    </row>
    <row r="79" ht="14.25" customHeight="1">
      <c r="A79" s="20"/>
      <c r="B79" s="20"/>
      <c r="C79" s="20"/>
      <c r="D79" s="20"/>
      <c r="E79" s="20"/>
      <c r="F79" s="20"/>
    </row>
    <row r="80" ht="14.25" customHeight="1">
      <c r="A80" s="20"/>
      <c r="B80" s="20"/>
      <c r="C80" s="20"/>
      <c r="D80" s="20"/>
      <c r="E80" s="20"/>
      <c r="F80" s="20"/>
    </row>
    <row r="81" ht="14.25" customHeight="1">
      <c r="A81" s="20"/>
      <c r="B81" s="20"/>
      <c r="C81" s="20"/>
      <c r="D81" s="20"/>
      <c r="E81" s="20"/>
      <c r="F81" s="20"/>
    </row>
    <row r="82" ht="14.25" customHeight="1">
      <c r="A82" s="20"/>
      <c r="B82" s="20"/>
      <c r="C82" s="20"/>
      <c r="D82" s="20"/>
      <c r="E82" s="20"/>
      <c r="F82" s="20"/>
    </row>
    <row r="83" ht="14.25" customHeight="1">
      <c r="A83" s="20"/>
      <c r="B83" s="20"/>
      <c r="C83" s="20"/>
      <c r="D83" s="20"/>
      <c r="E83" s="20"/>
      <c r="F83" s="20"/>
    </row>
    <row r="84" ht="14.25" customHeight="1">
      <c r="A84" s="20"/>
      <c r="B84" s="20"/>
      <c r="C84" s="20"/>
      <c r="D84" s="20"/>
      <c r="E84" s="20"/>
      <c r="F84" s="20"/>
    </row>
    <row r="85" ht="14.25" customHeight="1">
      <c r="A85" s="20"/>
      <c r="B85" s="20"/>
      <c r="C85" s="20"/>
      <c r="D85" s="20"/>
      <c r="E85" s="20"/>
      <c r="F85" s="20"/>
    </row>
    <row r="86" ht="14.25" customHeight="1">
      <c r="A86" s="20"/>
      <c r="B86" s="20"/>
      <c r="C86" s="20"/>
      <c r="D86" s="20"/>
      <c r="E86" s="20"/>
      <c r="F86" s="20"/>
    </row>
    <row r="87" ht="14.25" customHeight="1">
      <c r="A87" s="20"/>
      <c r="B87" s="20"/>
      <c r="C87" s="20"/>
      <c r="D87" s="20"/>
      <c r="E87" s="20"/>
      <c r="F87" s="20"/>
    </row>
    <row r="88" ht="14.25" customHeight="1">
      <c r="A88" s="20"/>
      <c r="B88" s="20"/>
      <c r="C88" s="20"/>
      <c r="D88" s="20"/>
      <c r="E88" s="20"/>
      <c r="F88" s="20"/>
    </row>
    <row r="89" ht="14.25" customHeight="1">
      <c r="A89" s="20"/>
      <c r="B89" s="20"/>
      <c r="C89" s="20"/>
      <c r="D89" s="20"/>
      <c r="E89" s="20"/>
      <c r="F89" s="20"/>
    </row>
    <row r="90" ht="14.25" customHeight="1">
      <c r="A90" s="20"/>
      <c r="B90" s="20"/>
      <c r="C90" s="20"/>
      <c r="D90" s="20"/>
      <c r="E90" s="20"/>
      <c r="F90" s="20"/>
    </row>
    <row r="91" ht="14.25" customHeight="1">
      <c r="A91" s="20"/>
      <c r="B91" s="20"/>
      <c r="C91" s="20"/>
      <c r="D91" s="20"/>
      <c r="E91" s="20"/>
      <c r="F91" s="20"/>
    </row>
    <row r="92" ht="14.25" customHeight="1">
      <c r="A92" s="20"/>
      <c r="B92" s="20"/>
      <c r="C92" s="20"/>
      <c r="D92" s="20"/>
      <c r="E92" s="20"/>
      <c r="F92" s="20"/>
    </row>
    <row r="93" ht="14.25" customHeight="1">
      <c r="A93" s="20"/>
      <c r="B93" s="20"/>
      <c r="C93" s="20"/>
      <c r="D93" s="20"/>
      <c r="E93" s="20"/>
      <c r="F93" s="20"/>
    </row>
    <row r="94" ht="14.25" customHeight="1">
      <c r="A94" s="20"/>
      <c r="B94" s="20"/>
      <c r="C94" s="20"/>
      <c r="D94" s="20"/>
      <c r="E94" s="20"/>
      <c r="F94" s="20"/>
    </row>
    <row r="95" ht="14.25" customHeight="1">
      <c r="A95" s="20"/>
      <c r="B95" s="20"/>
      <c r="C95" s="20"/>
      <c r="D95" s="20"/>
      <c r="E95" s="20"/>
      <c r="F95" s="20"/>
    </row>
    <row r="96" ht="14.25" customHeight="1">
      <c r="A96" s="20"/>
      <c r="B96" s="20"/>
      <c r="C96" s="20"/>
      <c r="D96" s="20"/>
      <c r="E96" s="20"/>
      <c r="F96" s="20"/>
    </row>
    <row r="97" ht="14.25" customHeight="1">
      <c r="A97" s="20"/>
      <c r="B97" s="20"/>
      <c r="C97" s="20"/>
      <c r="D97" s="20"/>
      <c r="E97" s="20"/>
      <c r="F97" s="20"/>
    </row>
    <row r="98" ht="14.25" customHeight="1">
      <c r="A98" s="20"/>
      <c r="B98" s="20"/>
      <c r="C98" s="20"/>
      <c r="D98" s="20"/>
      <c r="E98" s="20"/>
      <c r="F98" s="20"/>
    </row>
    <row r="99" ht="14.25" customHeight="1">
      <c r="A99" s="20"/>
      <c r="B99" s="20"/>
      <c r="C99" s="20"/>
      <c r="D99" s="20"/>
      <c r="E99" s="20"/>
      <c r="F99" s="20"/>
    </row>
    <row r="100" ht="14.25" customHeight="1">
      <c r="A100" s="20"/>
      <c r="B100" s="20"/>
      <c r="C100" s="20"/>
      <c r="D100" s="20"/>
      <c r="E100" s="20"/>
      <c r="F100" s="20"/>
    </row>
    <row r="101" ht="14.25" customHeight="1">
      <c r="A101" s="20"/>
      <c r="B101" s="20"/>
      <c r="C101" s="20"/>
      <c r="D101" s="20"/>
      <c r="E101" s="20"/>
      <c r="F101" s="20"/>
    </row>
    <row r="102" ht="14.25" customHeight="1">
      <c r="A102" s="20"/>
      <c r="B102" s="20"/>
      <c r="C102" s="20"/>
      <c r="D102" s="20"/>
      <c r="E102" s="20"/>
      <c r="F102" s="20"/>
    </row>
    <row r="103" ht="14.25" customHeight="1">
      <c r="A103" s="20"/>
      <c r="B103" s="20"/>
      <c r="C103" s="20"/>
      <c r="D103" s="20"/>
      <c r="E103" s="20"/>
      <c r="F103" s="20"/>
    </row>
    <row r="104" ht="14.25" customHeight="1">
      <c r="A104" s="20"/>
      <c r="B104" s="20"/>
      <c r="C104" s="20"/>
      <c r="D104" s="20"/>
      <c r="E104" s="20"/>
      <c r="F104" s="20"/>
    </row>
    <row r="105" ht="14.25" customHeight="1">
      <c r="A105" s="20"/>
      <c r="B105" s="20"/>
      <c r="C105" s="20"/>
      <c r="D105" s="20"/>
      <c r="E105" s="20"/>
      <c r="F105" s="20"/>
    </row>
    <row r="106" ht="14.25" customHeight="1">
      <c r="A106" s="20"/>
      <c r="B106" s="20"/>
      <c r="C106" s="20"/>
      <c r="D106" s="20"/>
      <c r="E106" s="20"/>
      <c r="F106" s="20"/>
    </row>
    <row r="107" ht="14.25" customHeight="1">
      <c r="A107" s="20"/>
      <c r="B107" s="20"/>
      <c r="C107" s="20"/>
      <c r="D107" s="20"/>
      <c r="E107" s="20"/>
      <c r="F107" s="20"/>
    </row>
    <row r="108" ht="14.25" customHeight="1">
      <c r="A108" s="20"/>
      <c r="B108" s="20"/>
      <c r="C108" s="20"/>
      <c r="D108" s="20"/>
      <c r="E108" s="20"/>
      <c r="F108" s="20"/>
    </row>
    <row r="109" ht="14.25" customHeight="1">
      <c r="A109" s="20"/>
      <c r="B109" s="20"/>
      <c r="C109" s="20"/>
      <c r="D109" s="20"/>
      <c r="E109" s="20"/>
      <c r="F109" s="20"/>
    </row>
    <row r="110" ht="14.25" customHeight="1">
      <c r="A110" s="20"/>
      <c r="B110" s="20"/>
      <c r="C110" s="20"/>
      <c r="D110" s="20"/>
      <c r="E110" s="20"/>
      <c r="F110" s="20"/>
    </row>
    <row r="111" ht="14.25" customHeight="1">
      <c r="A111" s="20"/>
      <c r="B111" s="20"/>
      <c r="C111" s="20"/>
      <c r="D111" s="20"/>
      <c r="E111" s="20"/>
      <c r="F111" s="20"/>
    </row>
    <row r="112" ht="14.25" customHeight="1">
      <c r="A112" s="20"/>
      <c r="B112" s="20"/>
      <c r="C112" s="20"/>
      <c r="D112" s="20"/>
      <c r="E112" s="20"/>
      <c r="F112" s="20"/>
    </row>
    <row r="113" ht="14.25" customHeight="1">
      <c r="A113" s="20"/>
      <c r="B113" s="20"/>
      <c r="C113" s="20"/>
      <c r="D113" s="20"/>
      <c r="E113" s="20"/>
      <c r="F113" s="20"/>
    </row>
    <row r="114" ht="14.25" customHeight="1">
      <c r="A114" s="20"/>
      <c r="B114" s="20"/>
      <c r="C114" s="20"/>
      <c r="D114" s="20"/>
      <c r="E114" s="20"/>
      <c r="F114" s="20"/>
    </row>
    <row r="115" ht="14.25" customHeight="1">
      <c r="A115" s="20"/>
      <c r="B115" s="20"/>
      <c r="C115" s="20"/>
      <c r="D115" s="20"/>
      <c r="E115" s="20"/>
      <c r="F115" s="20"/>
    </row>
    <row r="116" ht="14.25" customHeight="1">
      <c r="A116" s="20"/>
      <c r="B116" s="20"/>
      <c r="C116" s="20"/>
      <c r="D116" s="20"/>
      <c r="E116" s="20"/>
      <c r="F116" s="20"/>
    </row>
    <row r="117" ht="14.25" customHeight="1">
      <c r="A117" s="20"/>
      <c r="B117" s="20"/>
      <c r="C117" s="20"/>
      <c r="D117" s="20"/>
      <c r="E117" s="20"/>
      <c r="F117" s="20"/>
    </row>
    <row r="118" ht="14.25" customHeight="1">
      <c r="A118" s="20"/>
      <c r="B118" s="20"/>
      <c r="C118" s="20"/>
      <c r="D118" s="20"/>
      <c r="E118" s="20"/>
      <c r="F118" s="20"/>
    </row>
    <row r="119" ht="14.25" customHeight="1">
      <c r="A119" s="20"/>
      <c r="B119" s="20"/>
      <c r="C119" s="20"/>
      <c r="D119" s="20"/>
      <c r="E119" s="20"/>
      <c r="F119" s="20"/>
    </row>
    <row r="120" ht="14.25" customHeight="1">
      <c r="A120" s="20"/>
      <c r="B120" s="20"/>
      <c r="C120" s="20"/>
      <c r="D120" s="20"/>
      <c r="E120" s="20"/>
      <c r="F120" s="20"/>
    </row>
    <row r="121" ht="14.25" customHeight="1">
      <c r="A121" s="20"/>
      <c r="B121" s="20"/>
      <c r="C121" s="20"/>
      <c r="D121" s="20"/>
      <c r="E121" s="20"/>
      <c r="F121" s="20"/>
    </row>
    <row r="122" ht="14.25" customHeight="1">
      <c r="A122" s="20"/>
      <c r="B122" s="20"/>
      <c r="C122" s="20"/>
      <c r="D122" s="20"/>
      <c r="E122" s="20"/>
      <c r="F122" s="20"/>
    </row>
    <row r="123" ht="14.25" customHeight="1">
      <c r="A123" s="20"/>
      <c r="B123" s="20"/>
      <c r="C123" s="20"/>
      <c r="D123" s="20"/>
      <c r="E123" s="20"/>
      <c r="F123" s="20"/>
    </row>
    <row r="124" ht="14.25" customHeight="1">
      <c r="A124" s="20"/>
      <c r="B124" s="20"/>
      <c r="C124" s="20"/>
      <c r="D124" s="20"/>
      <c r="E124" s="20"/>
      <c r="F124" s="20"/>
    </row>
    <row r="125" ht="14.25" customHeight="1">
      <c r="A125" s="20"/>
      <c r="B125" s="20"/>
      <c r="C125" s="20"/>
      <c r="D125" s="20"/>
      <c r="E125" s="20"/>
      <c r="F125" s="20"/>
    </row>
    <row r="126" ht="14.25" customHeight="1">
      <c r="A126" s="20"/>
      <c r="B126" s="20"/>
      <c r="C126" s="20"/>
      <c r="D126" s="20"/>
      <c r="E126" s="20"/>
      <c r="F126" s="20"/>
    </row>
    <row r="127" ht="14.25" customHeight="1">
      <c r="A127" s="20"/>
      <c r="B127" s="20"/>
      <c r="C127" s="20"/>
      <c r="D127" s="20"/>
      <c r="E127" s="20"/>
      <c r="F127" s="20"/>
    </row>
    <row r="128" ht="14.25" customHeight="1">
      <c r="A128" s="20"/>
      <c r="B128" s="20"/>
      <c r="C128" s="20"/>
      <c r="D128" s="20"/>
      <c r="E128" s="20"/>
      <c r="F128" s="20"/>
    </row>
    <row r="129" ht="14.25" customHeight="1">
      <c r="A129" s="20"/>
      <c r="B129" s="20"/>
      <c r="C129" s="20"/>
      <c r="D129" s="20"/>
      <c r="E129" s="20"/>
      <c r="F129" s="20"/>
    </row>
    <row r="130" ht="14.25" customHeight="1">
      <c r="A130" s="20"/>
      <c r="B130" s="20"/>
      <c r="C130" s="20"/>
      <c r="D130" s="20"/>
      <c r="E130" s="20"/>
      <c r="F130" s="20"/>
    </row>
    <row r="131" ht="14.25" customHeight="1">
      <c r="A131" s="20"/>
      <c r="B131" s="20"/>
      <c r="C131" s="20"/>
      <c r="D131" s="20"/>
      <c r="E131" s="20"/>
      <c r="F131" s="20"/>
    </row>
    <row r="132" ht="14.25" customHeight="1">
      <c r="A132" s="20"/>
      <c r="B132" s="20"/>
      <c r="C132" s="20"/>
      <c r="D132" s="20"/>
      <c r="E132" s="20"/>
      <c r="F132" s="20"/>
    </row>
    <row r="133" ht="14.25" customHeight="1">
      <c r="A133" s="20"/>
      <c r="B133" s="20"/>
      <c r="C133" s="20"/>
      <c r="D133" s="20"/>
      <c r="E133" s="20"/>
      <c r="F133" s="20"/>
    </row>
    <row r="134" ht="14.25" customHeight="1">
      <c r="A134" s="20"/>
      <c r="B134" s="20"/>
      <c r="C134" s="20"/>
      <c r="D134" s="20"/>
      <c r="E134" s="20"/>
      <c r="F134" s="20"/>
    </row>
    <row r="135" ht="14.25" customHeight="1">
      <c r="A135" s="20"/>
      <c r="B135" s="20"/>
      <c r="C135" s="20"/>
      <c r="D135" s="20"/>
      <c r="E135" s="20"/>
      <c r="F135" s="20"/>
    </row>
    <row r="136" ht="14.25" customHeight="1">
      <c r="A136" s="20"/>
      <c r="B136" s="20"/>
      <c r="C136" s="20"/>
      <c r="D136" s="20"/>
      <c r="E136" s="20"/>
      <c r="F136" s="20"/>
    </row>
    <row r="137" ht="14.25" customHeight="1">
      <c r="A137" s="20"/>
      <c r="B137" s="20"/>
      <c r="C137" s="20"/>
      <c r="D137" s="20"/>
      <c r="E137" s="20"/>
      <c r="F137" s="20"/>
    </row>
    <row r="138" ht="14.25" customHeight="1">
      <c r="A138" s="20"/>
      <c r="B138" s="20"/>
      <c r="C138" s="20"/>
      <c r="D138" s="20"/>
      <c r="E138" s="20"/>
      <c r="F138" s="20"/>
    </row>
    <row r="139" ht="14.25" customHeight="1">
      <c r="A139" s="20"/>
      <c r="B139" s="20"/>
      <c r="C139" s="20"/>
      <c r="D139" s="20"/>
      <c r="E139" s="20"/>
      <c r="F139" s="20"/>
    </row>
    <row r="140" ht="14.25" customHeight="1">
      <c r="A140" s="20"/>
      <c r="B140" s="20"/>
      <c r="C140" s="20"/>
      <c r="D140" s="20"/>
      <c r="E140" s="20"/>
      <c r="F140" s="20"/>
    </row>
    <row r="141" ht="14.25" customHeight="1">
      <c r="A141" s="20"/>
      <c r="B141" s="20"/>
      <c r="C141" s="20"/>
      <c r="D141" s="20"/>
      <c r="E141" s="20"/>
      <c r="F141" s="20"/>
    </row>
    <row r="142" ht="14.25" customHeight="1">
      <c r="A142" s="20"/>
      <c r="B142" s="20"/>
      <c r="C142" s="20"/>
      <c r="D142" s="20"/>
      <c r="E142" s="20"/>
      <c r="F142" s="20"/>
    </row>
    <row r="143" ht="14.25" customHeight="1">
      <c r="A143" s="20"/>
      <c r="B143" s="20"/>
      <c r="C143" s="20"/>
      <c r="D143" s="20"/>
      <c r="E143" s="20"/>
      <c r="F143" s="20"/>
    </row>
    <row r="144" ht="14.25" customHeight="1">
      <c r="A144" s="20"/>
      <c r="B144" s="20"/>
      <c r="C144" s="20"/>
      <c r="D144" s="20"/>
      <c r="E144" s="20"/>
      <c r="F144" s="20"/>
    </row>
    <row r="145" ht="14.25" customHeight="1">
      <c r="A145" s="20"/>
      <c r="B145" s="20"/>
      <c r="C145" s="20"/>
      <c r="D145" s="20"/>
      <c r="E145" s="20"/>
      <c r="F145" s="20"/>
    </row>
    <row r="146" ht="14.25" customHeight="1">
      <c r="A146" s="20"/>
      <c r="B146" s="20"/>
      <c r="C146" s="20"/>
      <c r="D146" s="20"/>
      <c r="E146" s="20"/>
      <c r="F146" s="20"/>
    </row>
    <row r="147" ht="14.25" customHeight="1">
      <c r="A147" s="20"/>
      <c r="B147" s="20"/>
      <c r="C147" s="20"/>
      <c r="D147" s="20"/>
      <c r="E147" s="20"/>
      <c r="F147" s="20"/>
    </row>
    <row r="148" ht="14.25" customHeight="1">
      <c r="A148" s="20"/>
      <c r="B148" s="20"/>
      <c r="C148" s="20"/>
      <c r="D148" s="20"/>
      <c r="E148" s="20"/>
      <c r="F148" s="20"/>
    </row>
    <row r="149" ht="14.25" customHeight="1">
      <c r="A149" s="20"/>
      <c r="B149" s="20"/>
      <c r="C149" s="20"/>
      <c r="D149" s="20"/>
      <c r="E149" s="20"/>
      <c r="F149" s="20"/>
    </row>
    <row r="150" ht="14.25" customHeight="1">
      <c r="A150" s="20"/>
      <c r="B150" s="20"/>
      <c r="C150" s="20"/>
      <c r="D150" s="20"/>
      <c r="E150" s="20"/>
      <c r="F150" s="20"/>
    </row>
    <row r="151" ht="14.25" customHeight="1">
      <c r="A151" s="20"/>
      <c r="B151" s="20"/>
      <c r="C151" s="20"/>
      <c r="D151" s="20"/>
      <c r="E151" s="20"/>
      <c r="F151" s="20"/>
    </row>
    <row r="152" ht="14.25" customHeight="1">
      <c r="A152" s="20"/>
      <c r="B152" s="20"/>
      <c r="C152" s="20"/>
      <c r="D152" s="20"/>
      <c r="E152" s="20"/>
      <c r="F152" s="20"/>
    </row>
    <row r="153" ht="14.25" customHeight="1">
      <c r="A153" s="20"/>
      <c r="B153" s="20"/>
      <c r="C153" s="20"/>
      <c r="D153" s="20"/>
      <c r="E153" s="20"/>
      <c r="F153" s="20"/>
    </row>
    <row r="154" ht="14.25" customHeight="1">
      <c r="A154" s="20"/>
      <c r="B154" s="20"/>
      <c r="C154" s="20"/>
      <c r="D154" s="20"/>
      <c r="E154" s="20"/>
      <c r="F154" s="20"/>
    </row>
    <row r="155" ht="14.25" customHeight="1">
      <c r="A155" s="20"/>
      <c r="B155" s="20"/>
      <c r="C155" s="20"/>
      <c r="D155" s="20"/>
      <c r="E155" s="20"/>
      <c r="F155" s="20"/>
    </row>
    <row r="156" ht="14.25" customHeight="1">
      <c r="A156" s="20"/>
      <c r="B156" s="20"/>
      <c r="C156" s="20"/>
      <c r="D156" s="20"/>
      <c r="E156" s="20"/>
      <c r="F156" s="20"/>
    </row>
    <row r="157" ht="14.25" customHeight="1">
      <c r="A157" s="20"/>
      <c r="B157" s="20"/>
      <c r="C157" s="20"/>
      <c r="D157" s="20"/>
      <c r="E157" s="20"/>
      <c r="F157" s="20"/>
    </row>
    <row r="158" ht="14.25" customHeight="1">
      <c r="A158" s="20"/>
      <c r="B158" s="20"/>
      <c r="C158" s="20"/>
      <c r="D158" s="20"/>
      <c r="E158" s="20"/>
      <c r="F158" s="20"/>
    </row>
    <row r="159" ht="14.25" customHeight="1">
      <c r="A159" s="20"/>
      <c r="B159" s="20"/>
      <c r="C159" s="20"/>
      <c r="D159" s="20"/>
      <c r="E159" s="20"/>
      <c r="F159" s="20"/>
    </row>
    <row r="160" ht="14.25" customHeight="1">
      <c r="A160" s="20"/>
      <c r="B160" s="20"/>
      <c r="C160" s="20"/>
      <c r="D160" s="20"/>
      <c r="E160" s="20"/>
      <c r="F160" s="20"/>
    </row>
    <row r="161" ht="14.25" customHeight="1">
      <c r="A161" s="20"/>
      <c r="B161" s="20"/>
      <c r="C161" s="20"/>
      <c r="D161" s="20"/>
      <c r="E161" s="20"/>
      <c r="F161" s="20"/>
    </row>
    <row r="162" ht="14.25" customHeight="1">
      <c r="A162" s="20"/>
      <c r="B162" s="20"/>
      <c r="C162" s="20"/>
      <c r="D162" s="20"/>
      <c r="E162" s="20"/>
      <c r="F162" s="20"/>
    </row>
    <row r="163" ht="14.25" customHeight="1">
      <c r="A163" s="20"/>
      <c r="B163" s="20"/>
      <c r="C163" s="20"/>
      <c r="D163" s="20"/>
      <c r="E163" s="20"/>
      <c r="F163" s="20"/>
    </row>
    <row r="164" ht="14.25" customHeight="1">
      <c r="A164" s="20"/>
      <c r="B164" s="20"/>
      <c r="C164" s="20"/>
      <c r="D164" s="20"/>
      <c r="E164" s="20"/>
      <c r="F164" s="20"/>
    </row>
    <row r="165" ht="14.25" customHeight="1">
      <c r="A165" s="20"/>
      <c r="B165" s="20"/>
      <c r="C165" s="20"/>
      <c r="D165" s="20"/>
      <c r="E165" s="20"/>
      <c r="F165" s="20"/>
    </row>
    <row r="166" ht="14.25" customHeight="1">
      <c r="A166" s="20"/>
      <c r="B166" s="20"/>
      <c r="C166" s="20"/>
      <c r="D166" s="20"/>
      <c r="E166" s="20"/>
      <c r="F166" s="20"/>
    </row>
    <row r="167" ht="14.25" customHeight="1">
      <c r="A167" s="20"/>
      <c r="B167" s="20"/>
      <c r="C167" s="20"/>
      <c r="D167" s="20"/>
      <c r="E167" s="20"/>
      <c r="F167" s="20"/>
    </row>
    <row r="168" ht="14.25" customHeight="1">
      <c r="A168" s="20"/>
      <c r="B168" s="20"/>
      <c r="C168" s="20"/>
      <c r="D168" s="20"/>
      <c r="E168" s="20"/>
      <c r="F168" s="20"/>
    </row>
    <row r="169" ht="14.25" customHeight="1">
      <c r="A169" s="20"/>
      <c r="B169" s="20"/>
      <c r="C169" s="20"/>
      <c r="D169" s="20"/>
      <c r="E169" s="20"/>
      <c r="F169" s="20"/>
    </row>
    <row r="170" ht="14.25" customHeight="1">
      <c r="A170" s="20"/>
      <c r="B170" s="20"/>
      <c r="C170" s="20"/>
      <c r="D170" s="20"/>
      <c r="E170" s="20"/>
      <c r="F170" s="20"/>
    </row>
    <row r="171" ht="14.25" customHeight="1">
      <c r="A171" s="20"/>
      <c r="B171" s="20"/>
      <c r="C171" s="20"/>
      <c r="D171" s="20"/>
      <c r="E171" s="20"/>
      <c r="F171" s="20"/>
    </row>
    <row r="172" ht="14.25" customHeight="1">
      <c r="A172" s="20"/>
      <c r="B172" s="20"/>
      <c r="C172" s="20"/>
      <c r="D172" s="20"/>
      <c r="E172" s="20"/>
      <c r="F172" s="20"/>
    </row>
    <row r="173" ht="14.25" customHeight="1">
      <c r="A173" s="20"/>
      <c r="B173" s="20"/>
      <c r="C173" s="20"/>
      <c r="D173" s="20"/>
      <c r="E173" s="20"/>
      <c r="F173" s="20"/>
    </row>
    <row r="174" ht="14.25" customHeight="1">
      <c r="A174" s="20"/>
      <c r="B174" s="20"/>
      <c r="C174" s="20"/>
      <c r="D174" s="20"/>
      <c r="E174" s="20"/>
      <c r="F174" s="20"/>
    </row>
    <row r="175" ht="14.25" customHeight="1">
      <c r="A175" s="20"/>
      <c r="B175" s="20"/>
      <c r="C175" s="20"/>
      <c r="D175" s="20"/>
      <c r="E175" s="20"/>
      <c r="F175" s="20"/>
    </row>
    <row r="176" ht="14.25" customHeight="1">
      <c r="A176" s="20"/>
      <c r="B176" s="20"/>
      <c r="C176" s="20"/>
      <c r="D176" s="20"/>
      <c r="E176" s="20"/>
      <c r="F176" s="20"/>
    </row>
    <row r="177" ht="14.25" customHeight="1">
      <c r="A177" s="20"/>
      <c r="B177" s="20"/>
      <c r="C177" s="20"/>
      <c r="D177" s="20"/>
      <c r="E177" s="20"/>
      <c r="F177" s="20"/>
    </row>
    <row r="178" ht="14.25" customHeight="1">
      <c r="A178" s="20"/>
      <c r="B178" s="20"/>
      <c r="C178" s="20"/>
      <c r="D178" s="20"/>
      <c r="E178" s="20"/>
      <c r="F178" s="20"/>
    </row>
    <row r="179" ht="14.25" customHeight="1">
      <c r="A179" s="20"/>
      <c r="B179" s="20"/>
      <c r="C179" s="20"/>
      <c r="D179" s="20"/>
      <c r="E179" s="20"/>
      <c r="F179" s="20"/>
    </row>
    <row r="180" ht="14.25" customHeight="1">
      <c r="A180" s="20"/>
      <c r="B180" s="20"/>
      <c r="C180" s="20"/>
      <c r="D180" s="20"/>
      <c r="E180" s="20"/>
      <c r="F180" s="20"/>
    </row>
    <row r="181" ht="14.25" customHeight="1">
      <c r="A181" s="20"/>
      <c r="B181" s="20"/>
      <c r="C181" s="20"/>
      <c r="D181" s="20"/>
      <c r="E181" s="20"/>
      <c r="F181" s="20"/>
    </row>
    <row r="182" ht="14.25" customHeight="1">
      <c r="A182" s="20"/>
      <c r="B182" s="20"/>
      <c r="C182" s="20"/>
      <c r="D182" s="20"/>
      <c r="E182" s="20"/>
      <c r="F182" s="20"/>
    </row>
    <row r="183" ht="14.25" customHeight="1">
      <c r="A183" s="20"/>
      <c r="B183" s="20"/>
      <c r="C183" s="20"/>
      <c r="D183" s="20"/>
      <c r="E183" s="20"/>
      <c r="F183" s="20"/>
    </row>
    <row r="184" ht="14.25" customHeight="1">
      <c r="A184" s="20"/>
      <c r="B184" s="20"/>
      <c r="C184" s="20"/>
      <c r="D184" s="20"/>
      <c r="E184" s="20"/>
      <c r="F184" s="20"/>
    </row>
    <row r="185" ht="14.25" customHeight="1">
      <c r="A185" s="20"/>
      <c r="B185" s="20"/>
      <c r="C185" s="20"/>
      <c r="D185" s="20"/>
      <c r="E185" s="20"/>
      <c r="F185" s="20"/>
    </row>
    <row r="186" ht="14.25" customHeight="1">
      <c r="A186" s="20"/>
      <c r="B186" s="20"/>
      <c r="C186" s="20"/>
      <c r="D186" s="20"/>
      <c r="E186" s="20"/>
      <c r="F186" s="20"/>
    </row>
    <row r="187" ht="14.25" customHeight="1">
      <c r="A187" s="20"/>
      <c r="B187" s="20"/>
      <c r="C187" s="20"/>
      <c r="D187" s="20"/>
      <c r="E187" s="20"/>
      <c r="F187" s="20"/>
    </row>
    <row r="188" ht="14.25" customHeight="1">
      <c r="A188" s="20"/>
      <c r="B188" s="20"/>
      <c r="C188" s="20"/>
      <c r="D188" s="20"/>
      <c r="E188" s="20"/>
      <c r="F188" s="20"/>
    </row>
    <row r="189" ht="14.25" customHeight="1">
      <c r="A189" s="20"/>
      <c r="B189" s="20"/>
      <c r="C189" s="20"/>
      <c r="D189" s="20"/>
      <c r="E189" s="20"/>
      <c r="F189" s="20"/>
    </row>
    <row r="190" ht="14.25" customHeight="1">
      <c r="A190" s="20"/>
      <c r="B190" s="20"/>
      <c r="C190" s="20"/>
      <c r="D190" s="20"/>
      <c r="E190" s="20"/>
      <c r="F190" s="20"/>
    </row>
    <row r="191" ht="14.25" customHeight="1">
      <c r="A191" s="20"/>
      <c r="B191" s="20"/>
      <c r="C191" s="20"/>
      <c r="D191" s="20"/>
      <c r="E191" s="20"/>
      <c r="F191" s="20"/>
    </row>
    <row r="192" ht="14.25" customHeight="1">
      <c r="A192" s="20"/>
      <c r="B192" s="20"/>
      <c r="C192" s="20"/>
      <c r="D192" s="20"/>
      <c r="E192" s="20"/>
      <c r="F192" s="20"/>
    </row>
    <row r="193" ht="14.25" customHeight="1">
      <c r="A193" s="20"/>
      <c r="B193" s="20"/>
      <c r="C193" s="20"/>
      <c r="D193" s="20"/>
      <c r="E193" s="20"/>
      <c r="F193" s="20"/>
    </row>
    <row r="194" ht="14.25" customHeight="1">
      <c r="A194" s="20"/>
      <c r="B194" s="20"/>
      <c r="C194" s="20"/>
      <c r="D194" s="20"/>
      <c r="E194" s="20"/>
      <c r="F194" s="20"/>
    </row>
    <row r="195" ht="14.25" customHeight="1">
      <c r="A195" s="20"/>
      <c r="B195" s="20"/>
      <c r="C195" s="20"/>
      <c r="D195" s="20"/>
      <c r="E195" s="20"/>
      <c r="F195" s="20"/>
    </row>
    <row r="196" ht="14.25" customHeight="1">
      <c r="A196" s="20"/>
      <c r="B196" s="20"/>
      <c r="C196" s="20"/>
      <c r="D196" s="20"/>
      <c r="E196" s="20"/>
      <c r="F196" s="20"/>
    </row>
    <row r="197" ht="14.25" customHeight="1">
      <c r="A197" s="20"/>
      <c r="B197" s="20"/>
      <c r="C197" s="20"/>
      <c r="D197" s="20"/>
      <c r="E197" s="20"/>
      <c r="F197" s="20"/>
    </row>
    <row r="198" ht="14.25" customHeight="1">
      <c r="A198" s="20"/>
      <c r="B198" s="20"/>
      <c r="C198" s="20"/>
      <c r="D198" s="20"/>
      <c r="E198" s="20"/>
      <c r="F198" s="20"/>
    </row>
    <row r="199" ht="14.25" customHeight="1">
      <c r="A199" s="20"/>
      <c r="B199" s="20"/>
      <c r="C199" s="20"/>
      <c r="D199" s="20"/>
      <c r="E199" s="20"/>
      <c r="F199" s="20"/>
    </row>
    <row r="200" ht="14.25" customHeight="1">
      <c r="A200" s="20"/>
      <c r="B200" s="20"/>
      <c r="C200" s="20"/>
      <c r="D200" s="20"/>
      <c r="E200" s="20"/>
      <c r="F200" s="20"/>
    </row>
    <row r="201" ht="14.25" customHeight="1">
      <c r="A201" s="20"/>
      <c r="B201" s="20"/>
      <c r="C201" s="20"/>
      <c r="D201" s="20"/>
      <c r="E201" s="20"/>
      <c r="F201" s="20"/>
    </row>
    <row r="202" ht="14.25" customHeight="1">
      <c r="A202" s="20"/>
      <c r="B202" s="20"/>
      <c r="C202" s="20"/>
      <c r="D202" s="20"/>
      <c r="E202" s="20"/>
      <c r="F202" s="20"/>
    </row>
    <row r="203" ht="14.25" customHeight="1">
      <c r="A203" s="20"/>
      <c r="B203" s="20"/>
      <c r="C203" s="20"/>
      <c r="D203" s="20"/>
      <c r="E203" s="20"/>
      <c r="F203" s="20"/>
    </row>
    <row r="204" ht="14.25" customHeight="1">
      <c r="A204" s="20"/>
      <c r="B204" s="20"/>
      <c r="C204" s="20"/>
      <c r="D204" s="20"/>
      <c r="E204" s="20"/>
      <c r="F204" s="20"/>
    </row>
    <row r="205" ht="14.25" customHeight="1">
      <c r="A205" s="20"/>
      <c r="B205" s="20"/>
      <c r="C205" s="20"/>
      <c r="D205" s="20"/>
      <c r="E205" s="20"/>
      <c r="F205" s="20"/>
    </row>
    <row r="206" ht="14.25" customHeight="1">
      <c r="A206" s="20"/>
      <c r="B206" s="20"/>
      <c r="C206" s="20"/>
      <c r="D206" s="20"/>
      <c r="E206" s="20"/>
      <c r="F206" s="20"/>
    </row>
    <row r="207" ht="14.25" customHeight="1">
      <c r="A207" s="20"/>
      <c r="B207" s="20"/>
      <c r="C207" s="20"/>
      <c r="D207" s="20"/>
      <c r="E207" s="20"/>
      <c r="F207" s="20"/>
    </row>
    <row r="208" ht="14.25" customHeight="1">
      <c r="A208" s="20"/>
      <c r="B208" s="20"/>
      <c r="C208" s="20"/>
      <c r="D208" s="20"/>
      <c r="E208" s="20"/>
      <c r="F208" s="20"/>
    </row>
    <row r="209" ht="14.25" customHeight="1">
      <c r="A209" s="20"/>
      <c r="B209" s="20"/>
      <c r="C209" s="20"/>
      <c r="D209" s="20"/>
      <c r="E209" s="20"/>
      <c r="F209" s="20"/>
    </row>
    <row r="210" ht="14.25" customHeight="1">
      <c r="A210" s="20"/>
      <c r="B210" s="20"/>
      <c r="C210" s="20"/>
      <c r="D210" s="20"/>
      <c r="E210" s="20"/>
      <c r="F210" s="20"/>
    </row>
    <row r="211" ht="14.25" customHeight="1">
      <c r="A211" s="20"/>
      <c r="B211" s="20"/>
      <c r="C211" s="20"/>
      <c r="D211" s="20"/>
      <c r="E211" s="20"/>
      <c r="F211" s="20"/>
    </row>
    <row r="212" ht="14.25" customHeight="1">
      <c r="A212" s="20"/>
      <c r="B212" s="20"/>
      <c r="C212" s="20"/>
      <c r="D212" s="20"/>
      <c r="E212" s="20"/>
      <c r="F212" s="20"/>
    </row>
    <row r="213" ht="14.25" customHeight="1">
      <c r="A213" s="20"/>
      <c r="B213" s="20"/>
      <c r="C213" s="20"/>
      <c r="D213" s="20"/>
      <c r="E213" s="20"/>
      <c r="F213" s="20"/>
    </row>
    <row r="214" ht="14.25" customHeight="1">
      <c r="A214" s="20"/>
      <c r="B214" s="20"/>
      <c r="C214" s="20"/>
      <c r="D214" s="20"/>
      <c r="E214" s="20"/>
      <c r="F214" s="20"/>
    </row>
    <row r="215" ht="14.25" customHeight="1">
      <c r="A215" s="20"/>
      <c r="B215" s="20"/>
      <c r="C215" s="20"/>
      <c r="D215" s="20"/>
      <c r="E215" s="20"/>
      <c r="F215" s="20"/>
    </row>
    <row r="216" ht="14.25" customHeight="1">
      <c r="A216" s="20"/>
      <c r="B216" s="20"/>
      <c r="C216" s="20"/>
      <c r="D216" s="20"/>
      <c r="E216" s="20"/>
      <c r="F216" s="20"/>
    </row>
    <row r="217" ht="14.25" customHeight="1">
      <c r="A217" s="20"/>
      <c r="B217" s="20"/>
      <c r="C217" s="20"/>
      <c r="D217" s="20"/>
      <c r="E217" s="20"/>
      <c r="F217" s="20"/>
    </row>
    <row r="218" ht="14.25" customHeight="1">
      <c r="A218" s="20"/>
      <c r="B218" s="20"/>
      <c r="C218" s="20"/>
      <c r="D218" s="20"/>
      <c r="E218" s="20"/>
      <c r="F218" s="20"/>
    </row>
    <row r="219" ht="14.25" customHeight="1">
      <c r="A219" s="20"/>
      <c r="B219" s="20"/>
      <c r="C219" s="20"/>
      <c r="D219" s="20"/>
      <c r="E219" s="20"/>
      <c r="F219" s="20"/>
    </row>
    <row r="220" ht="14.25" customHeight="1">
      <c r="A220" s="20"/>
      <c r="B220" s="20"/>
      <c r="C220" s="20"/>
      <c r="D220" s="20"/>
      <c r="E220" s="20"/>
      <c r="F220" s="20"/>
    </row>
    <row r="221" ht="14.25" customHeight="1">
      <c r="A221" s="20"/>
      <c r="B221" s="20"/>
      <c r="C221" s="20"/>
      <c r="D221" s="20"/>
      <c r="E221" s="20"/>
      <c r="F221" s="20"/>
    </row>
    <row r="222" ht="14.25" customHeight="1">
      <c r="A222" s="20"/>
      <c r="B222" s="20"/>
      <c r="C222" s="20"/>
      <c r="D222" s="20"/>
      <c r="E222" s="20"/>
      <c r="F222" s="20"/>
    </row>
    <row r="223" ht="14.25" customHeight="1">
      <c r="A223" s="20"/>
      <c r="B223" s="20"/>
      <c r="C223" s="20"/>
      <c r="D223" s="20"/>
      <c r="E223" s="20"/>
      <c r="F223" s="20"/>
    </row>
    <row r="224" ht="14.25" customHeight="1">
      <c r="A224" s="20"/>
      <c r="B224" s="20"/>
      <c r="C224" s="20"/>
      <c r="D224" s="20"/>
      <c r="E224" s="20"/>
      <c r="F224" s="20"/>
    </row>
    <row r="225" ht="14.25" customHeight="1">
      <c r="A225" s="20"/>
      <c r="B225" s="20"/>
      <c r="C225" s="20"/>
      <c r="D225" s="20"/>
      <c r="E225" s="20"/>
      <c r="F225" s="20"/>
    </row>
    <row r="226" ht="14.25" customHeight="1">
      <c r="A226" s="20"/>
      <c r="B226" s="20"/>
      <c r="C226" s="20"/>
      <c r="D226" s="20"/>
      <c r="E226" s="20"/>
      <c r="F226" s="20"/>
    </row>
    <row r="227" ht="14.25" customHeight="1">
      <c r="A227" s="20"/>
      <c r="B227" s="20"/>
      <c r="C227" s="20"/>
      <c r="D227" s="20"/>
      <c r="E227" s="20"/>
      <c r="F227" s="20"/>
    </row>
    <row r="228" ht="14.25" customHeight="1">
      <c r="A228" s="20"/>
      <c r="B228" s="20"/>
      <c r="C228" s="20"/>
      <c r="D228" s="20"/>
      <c r="E228" s="20"/>
      <c r="F228" s="20"/>
    </row>
    <row r="229" ht="14.25" customHeight="1">
      <c r="A229" s="20"/>
      <c r="B229" s="20"/>
      <c r="C229" s="20"/>
      <c r="D229" s="20"/>
      <c r="E229" s="20"/>
      <c r="F229" s="20"/>
    </row>
    <row r="230" ht="14.25" customHeight="1">
      <c r="A230" s="20"/>
      <c r="B230" s="20"/>
      <c r="C230" s="20"/>
      <c r="D230" s="20"/>
      <c r="E230" s="20"/>
      <c r="F230" s="20"/>
    </row>
    <row r="231" ht="14.25" customHeight="1">
      <c r="A231" s="20"/>
      <c r="B231" s="20"/>
      <c r="C231" s="20"/>
      <c r="D231" s="20"/>
      <c r="E231" s="20"/>
      <c r="F231" s="20"/>
    </row>
    <row r="232" ht="14.25" customHeight="1">
      <c r="A232" s="20"/>
      <c r="B232" s="20"/>
      <c r="C232" s="20"/>
      <c r="D232" s="20"/>
      <c r="E232" s="20"/>
      <c r="F232" s="20"/>
    </row>
    <row r="233" ht="14.25" customHeight="1">
      <c r="A233" s="20"/>
      <c r="B233" s="20"/>
      <c r="C233" s="20"/>
      <c r="D233" s="20"/>
      <c r="E233" s="20"/>
      <c r="F233" s="20"/>
    </row>
    <row r="234" ht="14.25" customHeight="1">
      <c r="A234" s="20"/>
      <c r="B234" s="20"/>
      <c r="C234" s="20"/>
      <c r="D234" s="20"/>
      <c r="E234" s="20"/>
      <c r="F234" s="20"/>
    </row>
    <row r="235" ht="14.25" customHeight="1">
      <c r="A235" s="20"/>
      <c r="B235" s="20"/>
      <c r="C235" s="20"/>
      <c r="D235" s="20"/>
      <c r="E235" s="20"/>
      <c r="F235" s="20"/>
    </row>
    <row r="236" ht="14.25" customHeight="1">
      <c r="A236" s="20"/>
      <c r="B236" s="20"/>
      <c r="C236" s="20"/>
      <c r="D236" s="20"/>
      <c r="E236" s="20"/>
      <c r="F236" s="20"/>
    </row>
    <row r="237" ht="14.25" customHeight="1">
      <c r="A237" s="20"/>
      <c r="B237" s="20"/>
      <c r="C237" s="20"/>
      <c r="D237" s="20"/>
      <c r="E237" s="20"/>
      <c r="F237" s="20"/>
    </row>
    <row r="238" ht="14.25" customHeight="1">
      <c r="A238" s="20"/>
      <c r="B238" s="20"/>
      <c r="C238" s="20"/>
      <c r="D238" s="20"/>
      <c r="E238" s="20"/>
      <c r="F238" s="20"/>
    </row>
    <row r="239" ht="14.25" customHeight="1">
      <c r="A239" s="20"/>
      <c r="B239" s="20"/>
      <c r="C239" s="20"/>
      <c r="D239" s="20"/>
      <c r="E239" s="20"/>
      <c r="F239" s="20"/>
    </row>
    <row r="240" ht="14.25" customHeight="1">
      <c r="A240" s="20"/>
      <c r="B240" s="20"/>
      <c r="C240" s="20"/>
      <c r="D240" s="20"/>
      <c r="E240" s="20"/>
      <c r="F240" s="20"/>
    </row>
    <row r="241" ht="14.25" customHeight="1">
      <c r="A241" s="20"/>
      <c r="B241" s="20"/>
      <c r="C241" s="20"/>
      <c r="D241" s="20"/>
      <c r="E241" s="20"/>
      <c r="F241" s="20"/>
    </row>
    <row r="242" ht="14.25" customHeight="1">
      <c r="A242" s="20"/>
      <c r="B242" s="20"/>
      <c r="C242" s="20"/>
      <c r="D242" s="20"/>
      <c r="E242" s="20"/>
      <c r="F242" s="20"/>
    </row>
    <row r="243" ht="14.25" customHeight="1">
      <c r="A243" s="20"/>
      <c r="B243" s="20"/>
      <c r="C243" s="20"/>
      <c r="D243" s="20"/>
      <c r="E243" s="20"/>
      <c r="F243" s="20"/>
    </row>
    <row r="244" ht="14.25" customHeight="1">
      <c r="A244" s="20"/>
      <c r="B244" s="20"/>
      <c r="C244" s="20"/>
      <c r="D244" s="20"/>
      <c r="E244" s="20"/>
      <c r="F244" s="20"/>
    </row>
    <row r="245" ht="14.25" customHeight="1">
      <c r="A245" s="20"/>
      <c r="B245" s="20"/>
      <c r="C245" s="20"/>
      <c r="D245" s="20"/>
      <c r="E245" s="20"/>
      <c r="F245" s="20"/>
    </row>
    <row r="246" ht="14.25" customHeight="1">
      <c r="A246" s="20"/>
      <c r="B246" s="20"/>
      <c r="C246" s="20"/>
      <c r="D246" s="20"/>
      <c r="E246" s="20"/>
      <c r="F246" s="20"/>
    </row>
    <row r="247" ht="14.25" customHeight="1">
      <c r="A247" s="20"/>
      <c r="B247" s="20"/>
      <c r="C247" s="20"/>
      <c r="D247" s="20"/>
      <c r="E247" s="20"/>
      <c r="F247" s="20"/>
    </row>
    <row r="248" ht="14.25" customHeight="1">
      <c r="A248" s="20"/>
      <c r="B248" s="20"/>
      <c r="C248" s="20"/>
      <c r="D248" s="20"/>
      <c r="E248" s="20"/>
      <c r="F248" s="20"/>
    </row>
    <row r="249" ht="14.25" customHeight="1">
      <c r="A249" s="20"/>
      <c r="B249" s="20"/>
      <c r="C249" s="20"/>
      <c r="D249" s="20"/>
      <c r="E249" s="20"/>
      <c r="F249" s="20"/>
    </row>
    <row r="250" ht="14.25" customHeight="1">
      <c r="A250" s="20"/>
      <c r="B250" s="20"/>
      <c r="C250" s="20"/>
      <c r="D250" s="20"/>
      <c r="E250" s="20"/>
      <c r="F250" s="20"/>
    </row>
    <row r="251" ht="14.25" customHeight="1">
      <c r="A251" s="20"/>
      <c r="B251" s="20"/>
      <c r="C251" s="20"/>
      <c r="D251" s="20"/>
      <c r="E251" s="20"/>
      <c r="F251" s="20"/>
    </row>
    <row r="252" ht="14.25" customHeight="1">
      <c r="A252" s="20"/>
      <c r="B252" s="20"/>
      <c r="C252" s="20"/>
      <c r="D252" s="20"/>
      <c r="E252" s="20"/>
      <c r="F252" s="20"/>
    </row>
    <row r="253" ht="14.25" customHeight="1">
      <c r="A253" s="20"/>
      <c r="B253" s="20"/>
      <c r="C253" s="20"/>
      <c r="D253" s="20"/>
      <c r="E253" s="20"/>
      <c r="F253" s="20"/>
    </row>
    <row r="254" ht="14.25" customHeight="1">
      <c r="A254" s="20"/>
      <c r="B254" s="20"/>
      <c r="C254" s="20"/>
      <c r="D254" s="20"/>
      <c r="E254" s="20"/>
      <c r="F254" s="20"/>
    </row>
    <row r="255" ht="14.25" customHeight="1">
      <c r="A255" s="20"/>
      <c r="B255" s="20"/>
      <c r="C255" s="20"/>
      <c r="D255" s="20"/>
      <c r="E255" s="20"/>
      <c r="F255" s="20"/>
    </row>
    <row r="256" ht="14.25" customHeight="1">
      <c r="A256" s="20"/>
      <c r="B256" s="20"/>
      <c r="C256" s="20"/>
      <c r="D256" s="20"/>
      <c r="E256" s="20"/>
      <c r="F256" s="20"/>
    </row>
    <row r="257" ht="14.25" customHeight="1">
      <c r="A257" s="20"/>
      <c r="B257" s="20"/>
      <c r="C257" s="20"/>
      <c r="D257" s="20"/>
      <c r="E257" s="20"/>
      <c r="F257" s="20"/>
    </row>
    <row r="258" ht="14.25" customHeight="1">
      <c r="A258" s="20"/>
      <c r="B258" s="20"/>
      <c r="C258" s="20"/>
      <c r="D258" s="20"/>
      <c r="E258" s="20"/>
      <c r="F258" s="20"/>
    </row>
    <row r="259" ht="14.25" customHeight="1">
      <c r="A259" s="20"/>
      <c r="B259" s="20"/>
      <c r="C259" s="20"/>
      <c r="D259" s="20"/>
      <c r="E259" s="20"/>
      <c r="F259" s="20"/>
    </row>
    <row r="260" ht="14.25" customHeight="1">
      <c r="A260" s="20"/>
      <c r="B260" s="20"/>
      <c r="C260" s="20"/>
      <c r="D260" s="20"/>
      <c r="E260" s="20"/>
      <c r="F260" s="20"/>
    </row>
    <row r="261" ht="14.25" customHeight="1">
      <c r="A261" s="20"/>
      <c r="B261" s="20"/>
      <c r="C261" s="20"/>
      <c r="D261" s="20"/>
      <c r="E261" s="20"/>
      <c r="F261" s="20"/>
    </row>
    <row r="262" ht="14.25" customHeight="1">
      <c r="A262" s="20"/>
      <c r="B262" s="20"/>
      <c r="C262" s="20"/>
      <c r="D262" s="20"/>
      <c r="E262" s="20"/>
      <c r="F262" s="20"/>
    </row>
    <row r="263" ht="14.25" customHeight="1">
      <c r="A263" s="20"/>
      <c r="B263" s="20"/>
      <c r="C263" s="20"/>
      <c r="D263" s="20"/>
      <c r="E263" s="20"/>
      <c r="F263" s="20"/>
    </row>
    <row r="264" ht="14.25" customHeight="1">
      <c r="A264" s="20"/>
      <c r="B264" s="20"/>
      <c r="C264" s="20"/>
      <c r="D264" s="20"/>
      <c r="E264" s="20"/>
      <c r="F264" s="20"/>
    </row>
    <row r="265" ht="14.25" customHeight="1">
      <c r="A265" s="20"/>
      <c r="B265" s="20"/>
      <c r="C265" s="20"/>
      <c r="D265" s="20"/>
      <c r="E265" s="20"/>
      <c r="F265" s="20"/>
    </row>
    <row r="266" ht="14.25" customHeight="1">
      <c r="A266" s="20"/>
      <c r="B266" s="20"/>
      <c r="C266" s="20"/>
      <c r="D266" s="20"/>
      <c r="E266" s="20"/>
      <c r="F266" s="20"/>
    </row>
    <row r="267" ht="14.25" customHeight="1">
      <c r="A267" s="20"/>
      <c r="B267" s="20"/>
      <c r="C267" s="20"/>
      <c r="D267" s="20"/>
      <c r="E267" s="20"/>
      <c r="F267" s="20"/>
    </row>
    <row r="268" ht="14.25" customHeight="1">
      <c r="A268" s="20"/>
      <c r="B268" s="20"/>
      <c r="C268" s="20"/>
      <c r="D268" s="20"/>
      <c r="E268" s="20"/>
      <c r="F268" s="20"/>
    </row>
    <row r="269" ht="14.25" customHeight="1">
      <c r="A269" s="20"/>
      <c r="B269" s="20"/>
      <c r="C269" s="20"/>
      <c r="D269" s="20"/>
      <c r="E269" s="20"/>
      <c r="F269" s="20"/>
    </row>
    <row r="270" ht="14.25" customHeight="1">
      <c r="A270" s="20"/>
      <c r="B270" s="20"/>
      <c r="C270" s="20"/>
      <c r="D270" s="20"/>
      <c r="E270" s="20"/>
      <c r="F270" s="20"/>
    </row>
    <row r="271" ht="14.25" customHeight="1">
      <c r="A271" s="20"/>
      <c r="B271" s="20"/>
      <c r="C271" s="20"/>
      <c r="D271" s="20"/>
      <c r="E271" s="20"/>
      <c r="F271" s="20"/>
    </row>
    <row r="272" ht="14.25" customHeight="1">
      <c r="A272" s="20"/>
      <c r="B272" s="20"/>
      <c r="C272" s="20"/>
      <c r="D272" s="20"/>
      <c r="E272" s="20"/>
      <c r="F272" s="20"/>
    </row>
    <row r="273" ht="14.25" customHeight="1">
      <c r="A273" s="20"/>
      <c r="B273" s="20"/>
      <c r="C273" s="20"/>
      <c r="D273" s="20"/>
      <c r="E273" s="20"/>
      <c r="F273" s="20"/>
    </row>
    <row r="274" ht="14.25" customHeight="1">
      <c r="A274" s="20"/>
      <c r="B274" s="20"/>
      <c r="C274" s="20"/>
      <c r="D274" s="20"/>
      <c r="E274" s="20"/>
      <c r="F274" s="20"/>
    </row>
    <row r="275" ht="14.25" customHeight="1">
      <c r="A275" s="20"/>
      <c r="B275" s="20"/>
      <c r="C275" s="20"/>
      <c r="D275" s="20"/>
      <c r="E275" s="20"/>
      <c r="F275" s="20"/>
    </row>
    <row r="276" ht="14.25" customHeight="1">
      <c r="A276" s="20"/>
      <c r="B276" s="20"/>
      <c r="C276" s="20"/>
      <c r="D276" s="20"/>
      <c r="E276" s="20"/>
      <c r="F276" s="20"/>
    </row>
    <row r="277" ht="14.25" customHeight="1">
      <c r="A277" s="20"/>
      <c r="B277" s="20"/>
      <c r="C277" s="20"/>
      <c r="D277" s="20"/>
      <c r="E277" s="20"/>
      <c r="F277" s="20"/>
    </row>
    <row r="278" ht="14.25" customHeight="1">
      <c r="A278" s="20"/>
      <c r="B278" s="20"/>
      <c r="C278" s="20"/>
      <c r="D278" s="20"/>
      <c r="E278" s="20"/>
      <c r="F278" s="20"/>
    </row>
    <row r="279" ht="14.25" customHeight="1">
      <c r="A279" s="20"/>
      <c r="B279" s="20"/>
      <c r="C279" s="20"/>
      <c r="D279" s="20"/>
      <c r="E279" s="20"/>
      <c r="F279" s="20"/>
    </row>
    <row r="280" ht="14.25" customHeight="1">
      <c r="A280" s="20"/>
      <c r="B280" s="20"/>
      <c r="C280" s="20"/>
      <c r="D280" s="20"/>
      <c r="E280" s="20"/>
      <c r="F280" s="20"/>
    </row>
    <row r="281" ht="14.25" customHeight="1">
      <c r="A281" s="20"/>
      <c r="B281" s="20"/>
      <c r="C281" s="20"/>
      <c r="D281" s="20"/>
      <c r="E281" s="20"/>
      <c r="F281" s="20"/>
    </row>
    <row r="282" ht="14.25" customHeight="1">
      <c r="A282" s="20"/>
      <c r="B282" s="20"/>
      <c r="C282" s="20"/>
      <c r="D282" s="20"/>
      <c r="E282" s="20"/>
      <c r="F282" s="20"/>
    </row>
    <row r="283" ht="14.25" customHeight="1">
      <c r="A283" s="20"/>
      <c r="B283" s="20"/>
      <c r="C283" s="20"/>
      <c r="D283" s="20"/>
      <c r="E283" s="20"/>
      <c r="F283" s="20"/>
    </row>
    <row r="284" ht="14.25" customHeight="1">
      <c r="A284" s="20"/>
      <c r="B284" s="20"/>
      <c r="C284" s="20"/>
      <c r="D284" s="20"/>
      <c r="E284" s="20"/>
      <c r="F284" s="20"/>
    </row>
    <row r="285" ht="14.25" customHeight="1">
      <c r="A285" s="20"/>
      <c r="B285" s="20"/>
      <c r="C285" s="20"/>
      <c r="D285" s="20"/>
      <c r="E285" s="20"/>
      <c r="F285" s="20"/>
    </row>
    <row r="286" ht="14.25" customHeight="1">
      <c r="A286" s="20"/>
      <c r="B286" s="20"/>
      <c r="C286" s="20"/>
      <c r="D286" s="20"/>
      <c r="E286" s="20"/>
      <c r="F286" s="20"/>
    </row>
    <row r="287" ht="14.25" customHeight="1">
      <c r="A287" s="20"/>
      <c r="B287" s="20"/>
      <c r="C287" s="20"/>
      <c r="D287" s="20"/>
      <c r="E287" s="20"/>
      <c r="F287" s="20"/>
    </row>
    <row r="288" ht="14.25" customHeight="1">
      <c r="A288" s="20"/>
      <c r="B288" s="20"/>
      <c r="C288" s="20"/>
      <c r="D288" s="20"/>
      <c r="E288" s="20"/>
      <c r="F288" s="20"/>
    </row>
    <row r="289" ht="14.25" customHeight="1">
      <c r="A289" s="20"/>
      <c r="B289" s="20"/>
      <c r="C289" s="20"/>
      <c r="D289" s="20"/>
      <c r="E289" s="20"/>
      <c r="F289" s="20"/>
    </row>
    <row r="290" ht="14.25" customHeight="1">
      <c r="A290" s="20"/>
      <c r="B290" s="20"/>
      <c r="C290" s="20"/>
      <c r="D290" s="20"/>
      <c r="E290" s="20"/>
      <c r="F290" s="20"/>
    </row>
    <row r="291" ht="14.25" customHeight="1">
      <c r="A291" s="20"/>
      <c r="B291" s="20"/>
      <c r="C291" s="20"/>
      <c r="D291" s="20"/>
      <c r="E291" s="20"/>
      <c r="F291" s="20"/>
    </row>
    <row r="292" ht="14.25" customHeight="1">
      <c r="A292" s="20"/>
      <c r="B292" s="20"/>
      <c r="C292" s="20"/>
      <c r="D292" s="20"/>
      <c r="E292" s="20"/>
      <c r="F292" s="20"/>
    </row>
    <row r="293" ht="14.25" customHeight="1">
      <c r="A293" s="20"/>
      <c r="B293" s="20"/>
      <c r="C293" s="20"/>
      <c r="D293" s="20"/>
      <c r="E293" s="20"/>
      <c r="F293" s="20"/>
    </row>
    <row r="294" ht="14.25" customHeight="1">
      <c r="A294" s="20"/>
      <c r="B294" s="20"/>
      <c r="C294" s="20"/>
      <c r="D294" s="20"/>
      <c r="E294" s="20"/>
      <c r="F294" s="20"/>
    </row>
    <row r="295" ht="14.25" customHeight="1">
      <c r="A295" s="20"/>
      <c r="B295" s="20"/>
      <c r="C295" s="20"/>
      <c r="D295" s="20"/>
      <c r="E295" s="20"/>
      <c r="F295" s="20"/>
    </row>
    <row r="296" ht="14.25" customHeight="1">
      <c r="A296" s="20"/>
      <c r="B296" s="20"/>
      <c r="C296" s="20"/>
      <c r="D296" s="20"/>
      <c r="E296" s="20"/>
      <c r="F296" s="20"/>
    </row>
    <row r="297" ht="14.25" customHeight="1">
      <c r="A297" s="20"/>
      <c r="B297" s="20"/>
      <c r="C297" s="20"/>
      <c r="D297" s="20"/>
      <c r="E297" s="20"/>
      <c r="F297" s="20"/>
    </row>
    <row r="298" ht="14.25" customHeight="1">
      <c r="A298" s="20"/>
      <c r="B298" s="20"/>
      <c r="C298" s="20"/>
      <c r="D298" s="20"/>
      <c r="E298" s="20"/>
      <c r="F298" s="20"/>
    </row>
    <row r="299" ht="14.25" customHeight="1">
      <c r="A299" s="20"/>
      <c r="B299" s="20"/>
      <c r="C299" s="20"/>
      <c r="D299" s="20"/>
      <c r="E299" s="20"/>
      <c r="F299" s="20"/>
    </row>
    <row r="300" ht="14.25" customHeight="1">
      <c r="A300" s="20"/>
      <c r="B300" s="20"/>
      <c r="C300" s="20"/>
      <c r="D300" s="20"/>
      <c r="E300" s="20"/>
      <c r="F300" s="20"/>
    </row>
    <row r="301" ht="14.25" customHeight="1">
      <c r="A301" s="20"/>
      <c r="B301" s="20"/>
      <c r="C301" s="20"/>
      <c r="D301" s="20"/>
      <c r="E301" s="20"/>
      <c r="F301" s="20"/>
    </row>
    <row r="302" ht="14.25" customHeight="1">
      <c r="A302" s="20"/>
      <c r="B302" s="20"/>
      <c r="C302" s="20"/>
      <c r="D302" s="20"/>
      <c r="E302" s="20"/>
      <c r="F302" s="20"/>
    </row>
    <row r="303" ht="14.25" customHeight="1">
      <c r="A303" s="20"/>
      <c r="B303" s="20"/>
      <c r="C303" s="20"/>
      <c r="D303" s="20"/>
      <c r="E303" s="20"/>
      <c r="F303" s="20"/>
    </row>
    <row r="304" ht="14.25" customHeight="1">
      <c r="A304" s="20"/>
      <c r="B304" s="20"/>
      <c r="C304" s="20"/>
      <c r="D304" s="20"/>
      <c r="E304" s="20"/>
      <c r="F304" s="20"/>
    </row>
    <row r="305" ht="14.25" customHeight="1">
      <c r="A305" s="20"/>
      <c r="B305" s="20"/>
      <c r="C305" s="20"/>
      <c r="D305" s="20"/>
      <c r="E305" s="20"/>
      <c r="F305" s="20"/>
    </row>
    <row r="306" ht="14.25" customHeight="1">
      <c r="A306" s="20"/>
      <c r="B306" s="20"/>
      <c r="C306" s="20"/>
      <c r="D306" s="20"/>
      <c r="E306" s="20"/>
      <c r="F306" s="20"/>
    </row>
    <row r="307" ht="14.25" customHeight="1">
      <c r="A307" s="20"/>
      <c r="B307" s="20"/>
      <c r="C307" s="20"/>
      <c r="D307" s="20"/>
      <c r="E307" s="20"/>
      <c r="F307" s="20"/>
    </row>
    <row r="308" ht="14.25" customHeight="1">
      <c r="A308" s="20"/>
      <c r="B308" s="20"/>
      <c r="C308" s="20"/>
      <c r="D308" s="20"/>
      <c r="E308" s="20"/>
      <c r="F308" s="20"/>
    </row>
    <row r="309" ht="14.25" customHeight="1">
      <c r="A309" s="20"/>
      <c r="B309" s="20"/>
      <c r="C309" s="20"/>
      <c r="D309" s="20"/>
      <c r="E309" s="20"/>
      <c r="F309" s="20"/>
    </row>
    <row r="310" ht="14.25" customHeight="1">
      <c r="A310" s="20"/>
      <c r="B310" s="20"/>
      <c r="C310" s="20"/>
      <c r="D310" s="20"/>
      <c r="E310" s="20"/>
      <c r="F310" s="20"/>
    </row>
    <row r="311" ht="14.25" customHeight="1">
      <c r="A311" s="20"/>
      <c r="B311" s="20"/>
      <c r="C311" s="20"/>
      <c r="D311" s="20"/>
      <c r="E311" s="20"/>
      <c r="F311" s="20"/>
    </row>
    <row r="312" ht="14.25" customHeight="1">
      <c r="A312" s="20"/>
      <c r="B312" s="20"/>
      <c r="C312" s="20"/>
      <c r="D312" s="20"/>
      <c r="E312" s="20"/>
      <c r="F312" s="20"/>
    </row>
    <row r="313" ht="14.25" customHeight="1">
      <c r="A313" s="20"/>
      <c r="B313" s="20"/>
      <c r="C313" s="20"/>
      <c r="D313" s="20"/>
      <c r="E313" s="20"/>
      <c r="F313" s="20"/>
    </row>
    <row r="314" ht="14.25" customHeight="1">
      <c r="A314" s="20"/>
      <c r="B314" s="20"/>
      <c r="C314" s="20"/>
      <c r="D314" s="20"/>
      <c r="E314" s="20"/>
      <c r="F314" s="20"/>
    </row>
    <row r="315" ht="14.25" customHeight="1">
      <c r="A315" s="20"/>
      <c r="B315" s="20"/>
      <c r="C315" s="20"/>
      <c r="D315" s="20"/>
      <c r="E315" s="20"/>
      <c r="F315" s="20"/>
    </row>
    <row r="316" ht="14.25" customHeight="1">
      <c r="A316" s="20"/>
      <c r="B316" s="20"/>
      <c r="C316" s="20"/>
      <c r="D316" s="20"/>
      <c r="E316" s="20"/>
      <c r="F316" s="20"/>
    </row>
    <row r="317" ht="14.25" customHeight="1">
      <c r="A317" s="20"/>
      <c r="B317" s="20"/>
      <c r="C317" s="20"/>
      <c r="D317" s="20"/>
      <c r="E317" s="20"/>
      <c r="F317" s="20"/>
    </row>
    <row r="318" ht="14.25" customHeight="1">
      <c r="A318" s="20"/>
      <c r="B318" s="20"/>
      <c r="C318" s="20"/>
      <c r="D318" s="20"/>
      <c r="E318" s="20"/>
      <c r="F318" s="20"/>
    </row>
    <row r="319" ht="14.25" customHeight="1">
      <c r="A319" s="20"/>
      <c r="B319" s="20"/>
      <c r="C319" s="20"/>
      <c r="D319" s="20"/>
      <c r="E319" s="20"/>
      <c r="F319" s="20"/>
    </row>
    <row r="320" ht="14.25" customHeight="1">
      <c r="A320" s="20"/>
      <c r="B320" s="20"/>
      <c r="C320" s="20"/>
      <c r="D320" s="20"/>
      <c r="E320" s="20"/>
      <c r="F320" s="20"/>
    </row>
    <row r="321" ht="14.25" customHeight="1">
      <c r="A321" s="20"/>
      <c r="B321" s="20"/>
      <c r="C321" s="20"/>
      <c r="D321" s="20"/>
      <c r="E321" s="20"/>
      <c r="F321" s="20"/>
    </row>
    <row r="322" ht="14.25" customHeight="1">
      <c r="A322" s="20"/>
      <c r="B322" s="20"/>
      <c r="C322" s="20"/>
      <c r="D322" s="20"/>
      <c r="E322" s="20"/>
      <c r="F322" s="20"/>
    </row>
    <row r="323" ht="14.25" customHeight="1">
      <c r="A323" s="20"/>
      <c r="B323" s="20"/>
      <c r="C323" s="20"/>
      <c r="D323" s="20"/>
      <c r="E323" s="20"/>
      <c r="F323" s="20"/>
    </row>
    <row r="324" ht="14.25" customHeight="1">
      <c r="A324" s="20"/>
      <c r="B324" s="20"/>
      <c r="C324" s="20"/>
      <c r="D324" s="20"/>
      <c r="E324" s="20"/>
      <c r="F324" s="20"/>
    </row>
    <row r="325" ht="14.25" customHeight="1">
      <c r="A325" s="20"/>
      <c r="B325" s="20"/>
      <c r="C325" s="20"/>
      <c r="D325" s="20"/>
      <c r="E325" s="20"/>
      <c r="F325" s="20"/>
    </row>
    <row r="326" ht="14.25" customHeight="1">
      <c r="A326" s="20"/>
      <c r="B326" s="20"/>
      <c r="C326" s="20"/>
      <c r="D326" s="20"/>
      <c r="E326" s="20"/>
      <c r="F326" s="20"/>
    </row>
    <row r="327" ht="14.25" customHeight="1">
      <c r="A327" s="20"/>
      <c r="B327" s="20"/>
      <c r="C327" s="20"/>
      <c r="D327" s="20"/>
      <c r="E327" s="20"/>
      <c r="F327" s="20"/>
    </row>
    <row r="328" ht="14.25" customHeight="1">
      <c r="A328" s="20"/>
      <c r="B328" s="20"/>
      <c r="C328" s="20"/>
      <c r="D328" s="20"/>
      <c r="E328" s="20"/>
      <c r="F328" s="20"/>
    </row>
    <row r="329" ht="14.25" customHeight="1">
      <c r="A329" s="20"/>
      <c r="B329" s="20"/>
      <c r="C329" s="20"/>
      <c r="D329" s="20"/>
      <c r="E329" s="20"/>
      <c r="F329" s="20"/>
    </row>
    <row r="330" ht="14.25" customHeight="1">
      <c r="A330" s="20"/>
      <c r="B330" s="20"/>
      <c r="C330" s="20"/>
      <c r="D330" s="20"/>
      <c r="E330" s="20"/>
      <c r="F330" s="20"/>
    </row>
    <row r="331" ht="14.25" customHeight="1">
      <c r="A331" s="20"/>
      <c r="B331" s="20"/>
      <c r="C331" s="20"/>
      <c r="D331" s="20"/>
      <c r="E331" s="20"/>
      <c r="F331" s="20"/>
    </row>
    <row r="332" ht="14.25" customHeight="1">
      <c r="A332" s="20"/>
      <c r="B332" s="20"/>
      <c r="C332" s="20"/>
      <c r="D332" s="20"/>
      <c r="E332" s="20"/>
      <c r="F332" s="20"/>
    </row>
    <row r="333" ht="14.25" customHeight="1">
      <c r="A333" s="20"/>
      <c r="B333" s="20"/>
      <c r="C333" s="20"/>
      <c r="D333" s="20"/>
      <c r="E333" s="20"/>
      <c r="F333" s="20"/>
    </row>
    <row r="334" ht="14.25" customHeight="1">
      <c r="A334" s="20"/>
      <c r="B334" s="20"/>
      <c r="C334" s="20"/>
      <c r="D334" s="20"/>
      <c r="E334" s="20"/>
      <c r="F334" s="20"/>
    </row>
    <row r="335" ht="14.25" customHeight="1">
      <c r="A335" s="20"/>
      <c r="B335" s="20"/>
      <c r="C335" s="20"/>
      <c r="D335" s="20"/>
      <c r="E335" s="20"/>
      <c r="F335" s="20"/>
    </row>
    <row r="336" ht="14.25" customHeight="1">
      <c r="A336" s="20"/>
      <c r="B336" s="20"/>
      <c r="C336" s="20"/>
      <c r="D336" s="20"/>
      <c r="E336" s="20"/>
      <c r="F336" s="20"/>
    </row>
    <row r="337" ht="14.25" customHeight="1">
      <c r="A337" s="20"/>
      <c r="B337" s="20"/>
      <c r="C337" s="20"/>
      <c r="D337" s="20"/>
      <c r="E337" s="20"/>
      <c r="F337" s="20"/>
    </row>
    <row r="338" ht="14.25" customHeight="1">
      <c r="A338" s="20"/>
      <c r="B338" s="20"/>
      <c r="C338" s="20"/>
      <c r="D338" s="20"/>
      <c r="E338" s="20"/>
      <c r="F338" s="20"/>
    </row>
    <row r="339" ht="14.25" customHeight="1">
      <c r="A339" s="20"/>
      <c r="B339" s="20"/>
      <c r="C339" s="20"/>
      <c r="D339" s="20"/>
      <c r="E339" s="20"/>
      <c r="F339" s="20"/>
    </row>
    <row r="340" ht="14.25" customHeight="1">
      <c r="A340" s="20"/>
      <c r="B340" s="20"/>
      <c r="C340" s="20"/>
      <c r="D340" s="20"/>
      <c r="E340" s="20"/>
      <c r="F340" s="20"/>
    </row>
    <row r="341" ht="14.25" customHeight="1">
      <c r="A341" s="20"/>
      <c r="B341" s="20"/>
      <c r="C341" s="20"/>
      <c r="D341" s="20"/>
      <c r="E341" s="20"/>
      <c r="F341" s="20"/>
    </row>
    <row r="342" ht="14.25" customHeight="1">
      <c r="A342" s="20"/>
      <c r="B342" s="20"/>
      <c r="C342" s="20"/>
      <c r="D342" s="20"/>
      <c r="E342" s="20"/>
      <c r="F342" s="20"/>
    </row>
    <row r="343" ht="14.25" customHeight="1">
      <c r="A343" s="20"/>
      <c r="B343" s="20"/>
      <c r="C343" s="20"/>
      <c r="D343" s="20"/>
      <c r="E343" s="20"/>
      <c r="F343" s="20"/>
    </row>
    <row r="344" ht="14.25" customHeight="1">
      <c r="A344" s="20"/>
      <c r="B344" s="20"/>
      <c r="C344" s="20"/>
      <c r="D344" s="20"/>
      <c r="E344" s="20"/>
      <c r="F344" s="20"/>
    </row>
    <row r="345" ht="14.25" customHeight="1">
      <c r="A345" s="20"/>
      <c r="B345" s="20"/>
      <c r="C345" s="20"/>
      <c r="D345" s="20"/>
      <c r="E345" s="20"/>
      <c r="F345" s="20"/>
    </row>
    <row r="346" ht="14.25" customHeight="1">
      <c r="A346" s="20"/>
      <c r="B346" s="20"/>
      <c r="C346" s="20"/>
      <c r="D346" s="20"/>
      <c r="E346" s="20"/>
      <c r="F346" s="20"/>
    </row>
    <row r="347" ht="14.25" customHeight="1">
      <c r="A347" s="20"/>
      <c r="B347" s="20"/>
      <c r="C347" s="20"/>
      <c r="D347" s="20"/>
      <c r="E347" s="20"/>
      <c r="F347" s="20"/>
    </row>
    <row r="348" ht="14.25" customHeight="1">
      <c r="A348" s="20"/>
      <c r="B348" s="20"/>
      <c r="C348" s="20"/>
      <c r="D348" s="20"/>
      <c r="E348" s="20"/>
      <c r="F348" s="20"/>
    </row>
    <row r="349" ht="14.25" customHeight="1">
      <c r="A349" s="20"/>
      <c r="B349" s="20"/>
      <c r="C349" s="20"/>
      <c r="D349" s="20"/>
      <c r="E349" s="20"/>
      <c r="F349" s="20"/>
    </row>
    <row r="350" ht="14.25" customHeight="1">
      <c r="A350" s="20"/>
      <c r="B350" s="20"/>
      <c r="C350" s="20"/>
      <c r="D350" s="20"/>
      <c r="E350" s="20"/>
      <c r="F350" s="20"/>
    </row>
    <row r="351" ht="14.25" customHeight="1">
      <c r="A351" s="20"/>
      <c r="B351" s="20"/>
      <c r="C351" s="20"/>
      <c r="D351" s="20"/>
      <c r="E351" s="20"/>
      <c r="F351" s="20"/>
    </row>
    <row r="352" ht="14.25" customHeight="1">
      <c r="A352" s="20"/>
      <c r="B352" s="20"/>
      <c r="C352" s="20"/>
      <c r="D352" s="20"/>
      <c r="E352" s="20"/>
      <c r="F352" s="20"/>
    </row>
    <row r="353" ht="14.25" customHeight="1">
      <c r="A353" s="20"/>
      <c r="B353" s="20"/>
      <c r="C353" s="20"/>
      <c r="D353" s="20"/>
      <c r="E353" s="20"/>
      <c r="F353" s="20"/>
    </row>
    <row r="354" ht="14.25" customHeight="1">
      <c r="A354" s="20"/>
      <c r="B354" s="20"/>
      <c r="C354" s="20"/>
      <c r="D354" s="20"/>
      <c r="E354" s="20"/>
      <c r="F354" s="20"/>
    </row>
    <row r="355" ht="14.25" customHeight="1">
      <c r="A355" s="20"/>
      <c r="B355" s="20"/>
      <c r="C355" s="20"/>
      <c r="D355" s="20"/>
      <c r="E355" s="20"/>
      <c r="F355" s="20"/>
    </row>
    <row r="356" ht="14.25" customHeight="1">
      <c r="A356" s="20"/>
      <c r="B356" s="20"/>
      <c r="C356" s="20"/>
      <c r="D356" s="20"/>
      <c r="E356" s="20"/>
      <c r="F356" s="20"/>
    </row>
    <row r="357" ht="14.25" customHeight="1">
      <c r="A357" s="20"/>
      <c r="B357" s="20"/>
      <c r="C357" s="20"/>
      <c r="D357" s="20"/>
      <c r="E357" s="20"/>
      <c r="F357" s="20"/>
    </row>
    <row r="358" ht="14.25" customHeight="1">
      <c r="A358" s="20"/>
      <c r="B358" s="20"/>
      <c r="C358" s="20"/>
      <c r="D358" s="20"/>
      <c r="E358" s="20"/>
      <c r="F358" s="20"/>
    </row>
    <row r="359" ht="14.25" customHeight="1">
      <c r="A359" s="20"/>
      <c r="B359" s="20"/>
      <c r="C359" s="20"/>
      <c r="D359" s="20"/>
      <c r="E359" s="20"/>
      <c r="F359" s="20"/>
    </row>
    <row r="360" ht="14.25" customHeight="1">
      <c r="A360" s="20"/>
      <c r="B360" s="20"/>
      <c r="C360" s="20"/>
      <c r="D360" s="20"/>
      <c r="E360" s="20"/>
      <c r="F360" s="20"/>
    </row>
    <row r="361" ht="14.25" customHeight="1">
      <c r="A361" s="20"/>
      <c r="B361" s="20"/>
      <c r="C361" s="20"/>
      <c r="D361" s="20"/>
      <c r="E361" s="20"/>
      <c r="F361" s="20"/>
    </row>
    <row r="362" ht="14.25" customHeight="1">
      <c r="A362" s="20"/>
      <c r="B362" s="20"/>
      <c r="C362" s="20"/>
      <c r="D362" s="20"/>
      <c r="E362" s="20"/>
      <c r="F362" s="20"/>
    </row>
    <row r="363" ht="14.25" customHeight="1">
      <c r="A363" s="20"/>
      <c r="B363" s="20"/>
      <c r="C363" s="20"/>
      <c r="D363" s="20"/>
      <c r="E363" s="20"/>
      <c r="F363" s="20"/>
    </row>
    <row r="364" ht="14.25" customHeight="1">
      <c r="A364" s="20"/>
      <c r="B364" s="20"/>
      <c r="C364" s="20"/>
      <c r="D364" s="20"/>
      <c r="E364" s="20"/>
      <c r="F364" s="20"/>
    </row>
    <row r="365" ht="14.25" customHeight="1">
      <c r="A365" s="20"/>
      <c r="B365" s="20"/>
      <c r="C365" s="20"/>
      <c r="D365" s="20"/>
      <c r="E365" s="20"/>
      <c r="F365" s="20"/>
    </row>
    <row r="366" ht="14.25" customHeight="1">
      <c r="A366" s="20"/>
      <c r="B366" s="20"/>
      <c r="C366" s="20"/>
      <c r="D366" s="20"/>
      <c r="E366" s="20"/>
      <c r="F366" s="20"/>
    </row>
    <row r="367" ht="14.25" customHeight="1">
      <c r="A367" s="20"/>
      <c r="B367" s="20"/>
      <c r="C367" s="20"/>
      <c r="D367" s="20"/>
      <c r="E367" s="20"/>
      <c r="F367" s="20"/>
    </row>
    <row r="368" ht="14.25" customHeight="1">
      <c r="A368" s="20"/>
      <c r="B368" s="20"/>
      <c r="C368" s="20"/>
      <c r="D368" s="20"/>
      <c r="E368" s="20"/>
      <c r="F368" s="20"/>
    </row>
    <row r="369" ht="14.25" customHeight="1">
      <c r="A369" s="20"/>
      <c r="B369" s="20"/>
      <c r="C369" s="20"/>
      <c r="D369" s="20"/>
      <c r="E369" s="20"/>
      <c r="F369" s="20"/>
    </row>
    <row r="370" ht="14.25" customHeight="1">
      <c r="A370" s="20"/>
      <c r="B370" s="20"/>
      <c r="C370" s="20"/>
      <c r="D370" s="20"/>
      <c r="E370" s="20"/>
      <c r="F370" s="20"/>
    </row>
    <row r="371" ht="14.25" customHeight="1">
      <c r="A371" s="20"/>
      <c r="B371" s="20"/>
      <c r="C371" s="20"/>
      <c r="D371" s="20"/>
      <c r="E371" s="20"/>
      <c r="F371" s="20"/>
    </row>
    <row r="372" ht="14.25" customHeight="1">
      <c r="A372" s="20"/>
      <c r="B372" s="20"/>
      <c r="C372" s="20"/>
      <c r="D372" s="20"/>
      <c r="E372" s="20"/>
      <c r="F372" s="20"/>
    </row>
    <row r="373" ht="14.25" customHeight="1">
      <c r="A373" s="20"/>
      <c r="B373" s="20"/>
      <c r="C373" s="20"/>
      <c r="D373" s="20"/>
      <c r="E373" s="20"/>
      <c r="F373" s="20"/>
    </row>
    <row r="374" ht="14.25" customHeight="1">
      <c r="A374" s="20"/>
      <c r="B374" s="20"/>
      <c r="C374" s="20"/>
      <c r="D374" s="20"/>
      <c r="E374" s="20"/>
      <c r="F374" s="20"/>
    </row>
    <row r="375" ht="14.25" customHeight="1">
      <c r="A375" s="20"/>
      <c r="B375" s="20"/>
      <c r="C375" s="20"/>
      <c r="D375" s="20"/>
      <c r="E375" s="20"/>
      <c r="F375" s="20"/>
    </row>
    <row r="376" ht="14.25" customHeight="1">
      <c r="A376" s="20"/>
      <c r="B376" s="20"/>
      <c r="C376" s="20"/>
      <c r="D376" s="20"/>
      <c r="E376" s="20"/>
      <c r="F376" s="20"/>
    </row>
    <row r="377" ht="14.25" customHeight="1">
      <c r="A377" s="20"/>
      <c r="B377" s="20"/>
      <c r="C377" s="20"/>
      <c r="D377" s="20"/>
      <c r="E377" s="20"/>
      <c r="F377" s="20"/>
    </row>
    <row r="378" ht="14.25" customHeight="1">
      <c r="A378" s="20"/>
      <c r="B378" s="20"/>
      <c r="C378" s="20"/>
      <c r="D378" s="20"/>
      <c r="E378" s="20"/>
      <c r="F378" s="20"/>
    </row>
    <row r="379" ht="14.25" customHeight="1">
      <c r="A379" s="20"/>
      <c r="B379" s="20"/>
      <c r="C379" s="20"/>
      <c r="D379" s="20"/>
      <c r="E379" s="20"/>
      <c r="F379" s="20"/>
    </row>
    <row r="380" ht="14.25" customHeight="1">
      <c r="A380" s="20"/>
      <c r="B380" s="20"/>
      <c r="C380" s="20"/>
      <c r="D380" s="20"/>
      <c r="E380" s="20"/>
      <c r="F380" s="20"/>
    </row>
    <row r="381" ht="14.25" customHeight="1">
      <c r="A381" s="20"/>
      <c r="B381" s="20"/>
      <c r="C381" s="20"/>
      <c r="D381" s="20"/>
      <c r="E381" s="20"/>
      <c r="F381" s="20"/>
    </row>
    <row r="382" ht="14.25" customHeight="1">
      <c r="A382" s="20"/>
      <c r="B382" s="20"/>
      <c r="C382" s="20"/>
      <c r="D382" s="20"/>
      <c r="E382" s="20"/>
      <c r="F382" s="20"/>
    </row>
    <row r="383" ht="14.25" customHeight="1">
      <c r="A383" s="20"/>
      <c r="B383" s="20"/>
      <c r="C383" s="20"/>
      <c r="D383" s="20"/>
      <c r="E383" s="20"/>
      <c r="F383" s="20"/>
    </row>
    <row r="384" ht="14.25" customHeight="1">
      <c r="A384" s="20"/>
      <c r="B384" s="20"/>
      <c r="C384" s="20"/>
      <c r="D384" s="20"/>
      <c r="E384" s="20"/>
      <c r="F384" s="20"/>
    </row>
    <row r="385" ht="14.25" customHeight="1">
      <c r="A385" s="20"/>
      <c r="B385" s="20"/>
      <c r="C385" s="20"/>
      <c r="D385" s="20"/>
      <c r="E385" s="20"/>
      <c r="F385" s="20"/>
    </row>
    <row r="386" ht="14.25" customHeight="1">
      <c r="A386" s="20"/>
      <c r="B386" s="20"/>
      <c r="C386" s="20"/>
      <c r="D386" s="20"/>
      <c r="E386" s="20"/>
      <c r="F386" s="20"/>
    </row>
    <row r="387" ht="14.25" customHeight="1">
      <c r="A387" s="20"/>
      <c r="B387" s="20"/>
      <c r="C387" s="20"/>
      <c r="D387" s="20"/>
      <c r="E387" s="20"/>
      <c r="F387" s="20"/>
    </row>
    <row r="388" ht="14.25" customHeight="1">
      <c r="A388" s="20"/>
      <c r="B388" s="20"/>
      <c r="C388" s="20"/>
      <c r="D388" s="20"/>
      <c r="E388" s="20"/>
      <c r="F388" s="20"/>
    </row>
    <row r="389" ht="14.25" customHeight="1">
      <c r="A389" s="20"/>
      <c r="B389" s="20"/>
      <c r="C389" s="20"/>
      <c r="D389" s="20"/>
      <c r="E389" s="20"/>
      <c r="F389" s="20"/>
    </row>
    <row r="390" ht="14.25" customHeight="1">
      <c r="A390" s="20"/>
      <c r="B390" s="20"/>
      <c r="C390" s="20"/>
      <c r="D390" s="20"/>
      <c r="E390" s="20"/>
      <c r="F390" s="20"/>
    </row>
    <row r="391" ht="14.25" customHeight="1">
      <c r="A391" s="20"/>
      <c r="B391" s="20"/>
      <c r="C391" s="20"/>
      <c r="D391" s="20"/>
      <c r="E391" s="20"/>
      <c r="F391" s="20"/>
    </row>
    <row r="392" ht="14.25" customHeight="1">
      <c r="A392" s="20"/>
      <c r="B392" s="20"/>
      <c r="C392" s="20"/>
      <c r="D392" s="20"/>
      <c r="E392" s="20"/>
      <c r="F392" s="20"/>
    </row>
    <row r="393" ht="14.25" customHeight="1">
      <c r="A393" s="20"/>
      <c r="B393" s="20"/>
      <c r="C393" s="20"/>
      <c r="D393" s="20"/>
      <c r="E393" s="20"/>
      <c r="F393" s="20"/>
    </row>
    <row r="394" ht="14.25" customHeight="1">
      <c r="A394" s="20"/>
      <c r="B394" s="20"/>
      <c r="C394" s="20"/>
      <c r="D394" s="20"/>
      <c r="E394" s="20"/>
      <c r="F394" s="20"/>
    </row>
    <row r="395" ht="14.25" customHeight="1">
      <c r="A395" s="20"/>
      <c r="B395" s="20"/>
      <c r="C395" s="20"/>
      <c r="D395" s="20"/>
      <c r="E395" s="20"/>
      <c r="F395" s="20"/>
    </row>
    <row r="396" ht="14.25" customHeight="1">
      <c r="A396" s="20"/>
      <c r="B396" s="20"/>
      <c r="C396" s="20"/>
      <c r="D396" s="20"/>
      <c r="E396" s="20"/>
      <c r="F396" s="20"/>
    </row>
    <row r="397" ht="14.25" customHeight="1">
      <c r="A397" s="20"/>
      <c r="B397" s="20"/>
      <c r="C397" s="20"/>
      <c r="D397" s="20"/>
      <c r="E397" s="20"/>
      <c r="F397" s="20"/>
    </row>
    <row r="398" ht="14.25" customHeight="1">
      <c r="A398" s="20"/>
      <c r="B398" s="20"/>
      <c r="C398" s="20"/>
      <c r="D398" s="20"/>
      <c r="E398" s="20"/>
      <c r="F398" s="20"/>
    </row>
    <row r="399" ht="14.25" customHeight="1">
      <c r="A399" s="20"/>
      <c r="B399" s="20"/>
      <c r="C399" s="20"/>
      <c r="D399" s="20"/>
      <c r="E399" s="20"/>
      <c r="F399" s="20"/>
    </row>
    <row r="400" ht="14.25" customHeight="1">
      <c r="A400" s="20"/>
      <c r="B400" s="20"/>
      <c r="C400" s="20"/>
      <c r="D400" s="20"/>
      <c r="E400" s="20"/>
      <c r="F400" s="20"/>
    </row>
    <row r="401" ht="14.25" customHeight="1">
      <c r="A401" s="20"/>
      <c r="B401" s="20"/>
      <c r="C401" s="20"/>
      <c r="D401" s="20"/>
      <c r="E401" s="20"/>
      <c r="F401" s="20"/>
    </row>
    <row r="402" ht="14.25" customHeight="1">
      <c r="A402" s="20"/>
      <c r="B402" s="20"/>
      <c r="C402" s="20"/>
      <c r="D402" s="20"/>
      <c r="E402" s="20"/>
      <c r="F402" s="20"/>
    </row>
    <row r="403" ht="14.25" customHeight="1">
      <c r="A403" s="20"/>
      <c r="B403" s="20"/>
      <c r="C403" s="20"/>
      <c r="D403" s="20"/>
      <c r="E403" s="20"/>
      <c r="F403" s="20"/>
    </row>
    <row r="404" ht="14.25" customHeight="1">
      <c r="A404" s="20"/>
      <c r="B404" s="20"/>
      <c r="C404" s="20"/>
      <c r="D404" s="20"/>
      <c r="E404" s="20"/>
      <c r="F404" s="20"/>
    </row>
    <row r="405" ht="14.25" customHeight="1">
      <c r="A405" s="20"/>
      <c r="B405" s="20"/>
      <c r="C405" s="20"/>
      <c r="D405" s="20"/>
      <c r="E405" s="20"/>
      <c r="F405" s="20"/>
    </row>
    <row r="406" ht="14.25" customHeight="1">
      <c r="A406" s="20"/>
      <c r="B406" s="20"/>
      <c r="C406" s="20"/>
      <c r="D406" s="20"/>
      <c r="E406" s="20"/>
      <c r="F406" s="20"/>
    </row>
    <row r="407" ht="14.25" customHeight="1">
      <c r="A407" s="20"/>
      <c r="B407" s="20"/>
      <c r="C407" s="20"/>
      <c r="D407" s="20"/>
      <c r="E407" s="20"/>
      <c r="F407" s="20"/>
    </row>
    <row r="408" ht="14.25" customHeight="1">
      <c r="A408" s="20"/>
      <c r="B408" s="20"/>
      <c r="C408" s="20"/>
      <c r="D408" s="20"/>
      <c r="E408" s="20"/>
      <c r="F408" s="20"/>
    </row>
    <row r="409" ht="14.25" customHeight="1">
      <c r="A409" s="20"/>
      <c r="B409" s="20"/>
      <c r="C409" s="20"/>
      <c r="D409" s="20"/>
      <c r="E409" s="20"/>
      <c r="F409" s="20"/>
    </row>
    <row r="410" ht="14.25" customHeight="1">
      <c r="A410" s="20"/>
      <c r="B410" s="20"/>
      <c r="C410" s="20"/>
      <c r="D410" s="20"/>
      <c r="E410" s="20"/>
      <c r="F410" s="20"/>
    </row>
    <row r="411" ht="14.25" customHeight="1">
      <c r="A411" s="20"/>
      <c r="B411" s="20"/>
      <c r="C411" s="20"/>
      <c r="D411" s="20"/>
      <c r="E411" s="20"/>
      <c r="F411" s="20"/>
    </row>
    <row r="412" ht="14.25" customHeight="1">
      <c r="A412" s="20"/>
      <c r="B412" s="20"/>
      <c r="C412" s="20"/>
      <c r="D412" s="20"/>
      <c r="E412" s="20"/>
      <c r="F412" s="20"/>
    </row>
    <row r="413" ht="14.25" customHeight="1">
      <c r="A413" s="20"/>
      <c r="B413" s="20"/>
      <c r="C413" s="20"/>
      <c r="D413" s="20"/>
      <c r="E413" s="20"/>
      <c r="F413" s="20"/>
    </row>
    <row r="414" ht="14.25" customHeight="1">
      <c r="A414" s="20"/>
      <c r="B414" s="20"/>
      <c r="C414" s="20"/>
      <c r="D414" s="20"/>
      <c r="E414" s="20"/>
      <c r="F414" s="20"/>
    </row>
    <row r="415" ht="14.25" customHeight="1">
      <c r="A415" s="20"/>
      <c r="B415" s="20"/>
      <c r="C415" s="20"/>
      <c r="D415" s="20"/>
      <c r="E415" s="20"/>
      <c r="F415" s="20"/>
    </row>
    <row r="416" ht="14.25" customHeight="1">
      <c r="A416" s="20"/>
      <c r="B416" s="20"/>
      <c r="C416" s="20"/>
      <c r="D416" s="20"/>
      <c r="E416" s="20"/>
      <c r="F416" s="20"/>
    </row>
    <row r="417" ht="14.25" customHeight="1">
      <c r="A417" s="20"/>
      <c r="B417" s="20"/>
      <c r="C417" s="20"/>
      <c r="D417" s="20"/>
      <c r="E417" s="20"/>
      <c r="F417" s="20"/>
    </row>
    <row r="418" ht="14.25" customHeight="1">
      <c r="A418" s="20"/>
      <c r="B418" s="20"/>
      <c r="C418" s="20"/>
      <c r="D418" s="20"/>
      <c r="E418" s="20"/>
      <c r="F418" s="20"/>
    </row>
    <row r="419" ht="14.25" customHeight="1">
      <c r="A419" s="20"/>
      <c r="B419" s="20"/>
      <c r="C419" s="20"/>
      <c r="D419" s="20"/>
      <c r="E419" s="20"/>
      <c r="F419" s="20"/>
    </row>
    <row r="420" ht="14.25" customHeight="1">
      <c r="A420" s="20"/>
      <c r="B420" s="20"/>
      <c r="C420" s="20"/>
      <c r="D420" s="20"/>
      <c r="E420" s="20"/>
      <c r="F420" s="20"/>
    </row>
    <row r="421" ht="14.25" customHeight="1">
      <c r="A421" s="20"/>
      <c r="B421" s="20"/>
      <c r="C421" s="20"/>
      <c r="D421" s="20"/>
      <c r="E421" s="20"/>
      <c r="F421" s="20"/>
    </row>
    <row r="422" ht="14.25" customHeight="1">
      <c r="A422" s="20"/>
      <c r="B422" s="20"/>
      <c r="C422" s="20"/>
      <c r="D422" s="20"/>
      <c r="E422" s="20"/>
      <c r="F422" s="20"/>
    </row>
    <row r="423" ht="14.25" customHeight="1">
      <c r="A423" s="20"/>
      <c r="B423" s="20"/>
      <c r="C423" s="20"/>
      <c r="D423" s="20"/>
      <c r="E423" s="20"/>
      <c r="F423" s="20"/>
    </row>
    <row r="424" ht="14.25" customHeight="1">
      <c r="A424" s="20"/>
      <c r="B424" s="20"/>
      <c r="C424" s="20"/>
      <c r="D424" s="20"/>
      <c r="E424" s="20"/>
      <c r="F424" s="20"/>
    </row>
    <row r="425" ht="14.25" customHeight="1">
      <c r="A425" s="20"/>
      <c r="B425" s="20"/>
      <c r="C425" s="20"/>
      <c r="D425" s="20"/>
      <c r="E425" s="20"/>
      <c r="F425" s="20"/>
    </row>
    <row r="426" ht="14.25" customHeight="1">
      <c r="A426" s="20"/>
      <c r="B426" s="20"/>
      <c r="C426" s="20"/>
      <c r="D426" s="20"/>
      <c r="E426" s="20"/>
      <c r="F426" s="20"/>
    </row>
    <row r="427" ht="14.25" customHeight="1">
      <c r="A427" s="20"/>
      <c r="B427" s="20"/>
      <c r="C427" s="20"/>
      <c r="D427" s="20"/>
      <c r="E427" s="20"/>
      <c r="F427" s="20"/>
    </row>
    <row r="428" ht="14.25" customHeight="1">
      <c r="A428" s="20"/>
      <c r="B428" s="20"/>
      <c r="C428" s="20"/>
      <c r="D428" s="20"/>
      <c r="E428" s="20"/>
      <c r="F428" s="20"/>
    </row>
    <row r="429" ht="14.25" customHeight="1">
      <c r="A429" s="20"/>
      <c r="B429" s="20"/>
      <c r="C429" s="20"/>
      <c r="D429" s="20"/>
      <c r="E429" s="20"/>
      <c r="F429" s="20"/>
    </row>
    <row r="430" ht="14.25" customHeight="1">
      <c r="A430" s="20"/>
      <c r="B430" s="20"/>
      <c r="C430" s="20"/>
      <c r="D430" s="20"/>
      <c r="E430" s="20"/>
      <c r="F430" s="20"/>
    </row>
    <row r="431" ht="14.25" customHeight="1">
      <c r="A431" s="20"/>
      <c r="B431" s="20"/>
      <c r="C431" s="20"/>
      <c r="D431" s="20"/>
      <c r="E431" s="20"/>
      <c r="F431" s="20"/>
    </row>
    <row r="432" ht="14.25" customHeight="1">
      <c r="A432" s="20"/>
      <c r="B432" s="20"/>
      <c r="C432" s="20"/>
      <c r="D432" s="20"/>
      <c r="E432" s="20"/>
      <c r="F432" s="20"/>
    </row>
    <row r="433" ht="14.25" customHeight="1">
      <c r="A433" s="20"/>
      <c r="B433" s="20"/>
      <c r="C433" s="20"/>
      <c r="D433" s="20"/>
      <c r="E433" s="20"/>
      <c r="F433" s="20"/>
    </row>
    <row r="434" ht="14.25" customHeight="1">
      <c r="A434" s="20"/>
      <c r="B434" s="20"/>
      <c r="C434" s="20"/>
      <c r="D434" s="20"/>
      <c r="E434" s="20"/>
      <c r="F434" s="20"/>
    </row>
    <row r="435" ht="14.25" customHeight="1">
      <c r="A435" s="20"/>
      <c r="B435" s="20"/>
      <c r="C435" s="20"/>
      <c r="D435" s="20"/>
      <c r="E435" s="20"/>
      <c r="F435" s="20"/>
    </row>
    <row r="436" ht="14.25" customHeight="1">
      <c r="A436" s="20"/>
      <c r="B436" s="20"/>
      <c r="C436" s="20"/>
      <c r="D436" s="20"/>
      <c r="E436" s="20"/>
      <c r="F436" s="20"/>
    </row>
    <row r="437" ht="14.25" customHeight="1">
      <c r="A437" s="20"/>
      <c r="B437" s="20"/>
      <c r="C437" s="20"/>
      <c r="D437" s="20"/>
      <c r="E437" s="20"/>
      <c r="F437" s="20"/>
    </row>
    <row r="438" ht="14.25" customHeight="1">
      <c r="A438" s="20"/>
      <c r="B438" s="20"/>
      <c r="C438" s="20"/>
      <c r="D438" s="20"/>
      <c r="E438" s="20"/>
      <c r="F438" s="20"/>
    </row>
    <row r="439" ht="14.25" customHeight="1">
      <c r="A439" s="20"/>
      <c r="B439" s="20"/>
      <c r="C439" s="20"/>
      <c r="D439" s="20"/>
      <c r="E439" s="20"/>
      <c r="F439" s="20"/>
    </row>
    <row r="440" ht="14.25" customHeight="1">
      <c r="A440" s="20"/>
      <c r="B440" s="20"/>
      <c r="C440" s="20"/>
      <c r="D440" s="20"/>
      <c r="E440" s="20"/>
      <c r="F440" s="20"/>
    </row>
    <row r="441" ht="14.25" customHeight="1">
      <c r="A441" s="20"/>
      <c r="B441" s="20"/>
      <c r="C441" s="20"/>
      <c r="D441" s="20"/>
      <c r="E441" s="20"/>
      <c r="F441" s="20"/>
    </row>
    <row r="442" ht="14.25" customHeight="1">
      <c r="A442" s="20"/>
      <c r="B442" s="20"/>
      <c r="C442" s="20"/>
      <c r="D442" s="20"/>
      <c r="E442" s="20"/>
      <c r="F442" s="20"/>
    </row>
    <row r="443" ht="14.25" customHeight="1">
      <c r="A443" s="20"/>
      <c r="B443" s="20"/>
      <c r="C443" s="20"/>
      <c r="D443" s="20"/>
      <c r="E443" s="20"/>
      <c r="F443" s="20"/>
    </row>
    <row r="444" ht="14.25" customHeight="1">
      <c r="A444" s="20"/>
      <c r="B444" s="20"/>
      <c r="C444" s="20"/>
      <c r="D444" s="20"/>
      <c r="E444" s="20"/>
      <c r="F444" s="20"/>
    </row>
    <row r="445" ht="14.25" customHeight="1">
      <c r="A445" s="20"/>
      <c r="B445" s="20"/>
      <c r="C445" s="20"/>
      <c r="D445" s="20"/>
      <c r="E445" s="20"/>
      <c r="F445" s="20"/>
    </row>
    <row r="446" ht="14.25" customHeight="1">
      <c r="A446" s="20"/>
      <c r="B446" s="20"/>
      <c r="C446" s="20"/>
      <c r="D446" s="20"/>
      <c r="E446" s="20"/>
      <c r="F446" s="20"/>
    </row>
    <row r="447" ht="14.25" customHeight="1">
      <c r="A447" s="20"/>
      <c r="B447" s="20"/>
      <c r="C447" s="20"/>
      <c r="D447" s="20"/>
      <c r="E447" s="20"/>
      <c r="F447" s="20"/>
    </row>
    <row r="448" ht="14.25" customHeight="1">
      <c r="A448" s="20"/>
      <c r="B448" s="20"/>
      <c r="C448" s="20"/>
      <c r="D448" s="20"/>
      <c r="E448" s="20"/>
      <c r="F448" s="20"/>
    </row>
    <row r="449" ht="14.25" customHeight="1">
      <c r="A449" s="20"/>
      <c r="B449" s="20"/>
      <c r="C449" s="20"/>
      <c r="D449" s="20"/>
      <c r="E449" s="20"/>
      <c r="F449" s="20"/>
    </row>
    <row r="450" ht="14.25" customHeight="1">
      <c r="A450" s="20"/>
      <c r="B450" s="20"/>
      <c r="C450" s="20"/>
      <c r="D450" s="20"/>
      <c r="E450" s="20"/>
      <c r="F450" s="20"/>
    </row>
    <row r="451" ht="14.25" customHeight="1">
      <c r="A451" s="20"/>
      <c r="B451" s="20"/>
      <c r="C451" s="20"/>
      <c r="D451" s="20"/>
      <c r="E451" s="20"/>
      <c r="F451" s="20"/>
    </row>
    <row r="452" ht="14.25" customHeight="1">
      <c r="A452" s="20"/>
      <c r="B452" s="20"/>
      <c r="C452" s="20"/>
      <c r="D452" s="20"/>
      <c r="E452" s="20"/>
      <c r="F452" s="20"/>
    </row>
    <row r="453" ht="14.25" customHeight="1">
      <c r="A453" s="20"/>
      <c r="B453" s="20"/>
      <c r="C453" s="20"/>
      <c r="D453" s="20"/>
      <c r="E453" s="20"/>
      <c r="F453" s="20"/>
    </row>
    <row r="454" ht="14.25" customHeight="1">
      <c r="A454" s="20"/>
      <c r="B454" s="20"/>
      <c r="C454" s="20"/>
      <c r="D454" s="20"/>
      <c r="E454" s="20"/>
      <c r="F454" s="20"/>
    </row>
    <row r="455" ht="14.25" customHeight="1">
      <c r="A455" s="20"/>
      <c r="B455" s="20"/>
      <c r="C455" s="20"/>
      <c r="D455" s="20"/>
      <c r="E455" s="20"/>
      <c r="F455" s="20"/>
    </row>
    <row r="456" ht="14.25" customHeight="1">
      <c r="A456" s="20"/>
      <c r="B456" s="20"/>
      <c r="C456" s="20"/>
      <c r="D456" s="20"/>
      <c r="E456" s="20"/>
      <c r="F456" s="20"/>
    </row>
    <row r="457" ht="14.25" customHeight="1">
      <c r="A457" s="20"/>
      <c r="B457" s="20"/>
      <c r="C457" s="20"/>
      <c r="D457" s="20"/>
      <c r="E457" s="20"/>
      <c r="F457" s="20"/>
    </row>
    <row r="458" ht="14.25" customHeight="1">
      <c r="A458" s="20"/>
      <c r="B458" s="20"/>
      <c r="C458" s="20"/>
      <c r="D458" s="20"/>
      <c r="E458" s="20"/>
      <c r="F458" s="20"/>
    </row>
    <row r="459" ht="14.25" customHeight="1">
      <c r="A459" s="20"/>
      <c r="B459" s="20"/>
      <c r="C459" s="20"/>
      <c r="D459" s="20"/>
      <c r="E459" s="20"/>
      <c r="F459" s="20"/>
    </row>
    <row r="460" ht="14.25" customHeight="1">
      <c r="A460" s="20"/>
      <c r="B460" s="20"/>
      <c r="C460" s="20"/>
      <c r="D460" s="20"/>
      <c r="E460" s="20"/>
      <c r="F460" s="20"/>
    </row>
    <row r="461" ht="14.25" customHeight="1">
      <c r="A461" s="20"/>
      <c r="B461" s="20"/>
      <c r="C461" s="20"/>
      <c r="D461" s="20"/>
      <c r="E461" s="20"/>
      <c r="F461" s="20"/>
    </row>
    <row r="462" ht="14.25" customHeight="1">
      <c r="A462" s="20"/>
      <c r="B462" s="20"/>
      <c r="C462" s="20"/>
      <c r="D462" s="20"/>
      <c r="E462" s="20"/>
      <c r="F462" s="20"/>
    </row>
    <row r="463" ht="14.25" customHeight="1">
      <c r="A463" s="20"/>
      <c r="B463" s="20"/>
      <c r="C463" s="20"/>
      <c r="D463" s="20"/>
      <c r="E463" s="20"/>
      <c r="F463" s="20"/>
    </row>
    <row r="464" ht="14.25" customHeight="1">
      <c r="A464" s="20"/>
      <c r="B464" s="20"/>
      <c r="C464" s="20"/>
      <c r="D464" s="20"/>
      <c r="E464" s="20"/>
      <c r="F464" s="20"/>
    </row>
    <row r="465" ht="14.25" customHeight="1">
      <c r="A465" s="20"/>
      <c r="B465" s="20"/>
      <c r="C465" s="20"/>
      <c r="D465" s="20"/>
      <c r="E465" s="20"/>
      <c r="F465" s="20"/>
    </row>
    <row r="466" ht="14.25" customHeight="1">
      <c r="A466" s="20"/>
      <c r="B466" s="20"/>
      <c r="C466" s="20"/>
      <c r="D466" s="20"/>
      <c r="E466" s="20"/>
      <c r="F466" s="20"/>
    </row>
    <row r="467" ht="14.25" customHeight="1">
      <c r="A467" s="20"/>
      <c r="B467" s="20"/>
      <c r="C467" s="20"/>
      <c r="D467" s="20"/>
      <c r="E467" s="20"/>
      <c r="F467" s="20"/>
    </row>
    <row r="468" ht="14.25" customHeight="1">
      <c r="A468" s="20"/>
      <c r="B468" s="20"/>
      <c r="C468" s="20"/>
      <c r="D468" s="20"/>
      <c r="E468" s="20"/>
      <c r="F468" s="20"/>
    </row>
    <row r="469" ht="14.25" customHeight="1">
      <c r="A469" s="20"/>
      <c r="B469" s="20"/>
      <c r="C469" s="20"/>
      <c r="D469" s="20"/>
      <c r="E469" s="20"/>
      <c r="F469" s="20"/>
    </row>
    <row r="470" ht="14.25" customHeight="1">
      <c r="A470" s="20"/>
      <c r="B470" s="20"/>
      <c r="C470" s="20"/>
      <c r="D470" s="20"/>
      <c r="E470" s="20"/>
      <c r="F470" s="20"/>
    </row>
    <row r="471" ht="14.25" customHeight="1">
      <c r="A471" s="20"/>
      <c r="B471" s="20"/>
      <c r="C471" s="20"/>
      <c r="D471" s="20"/>
      <c r="E471" s="20"/>
      <c r="F471" s="20"/>
    </row>
    <row r="472" ht="14.25" customHeight="1">
      <c r="A472" s="20"/>
      <c r="B472" s="20"/>
      <c r="C472" s="20"/>
      <c r="D472" s="20"/>
      <c r="E472" s="20"/>
      <c r="F472" s="20"/>
    </row>
    <row r="473" ht="14.25" customHeight="1">
      <c r="A473" s="20"/>
      <c r="B473" s="20"/>
      <c r="C473" s="20"/>
      <c r="D473" s="20"/>
      <c r="E473" s="20"/>
      <c r="F473" s="20"/>
    </row>
    <row r="474" ht="14.25" customHeight="1">
      <c r="A474" s="20"/>
      <c r="B474" s="20"/>
      <c r="C474" s="20"/>
      <c r="D474" s="20"/>
      <c r="E474" s="20"/>
      <c r="F474" s="20"/>
    </row>
    <row r="475" ht="14.25" customHeight="1">
      <c r="A475" s="20"/>
      <c r="B475" s="20"/>
      <c r="C475" s="20"/>
      <c r="D475" s="20"/>
      <c r="E475" s="20"/>
      <c r="F475" s="20"/>
    </row>
    <row r="476" ht="14.25" customHeight="1">
      <c r="A476" s="20"/>
      <c r="B476" s="20"/>
      <c r="C476" s="20"/>
      <c r="D476" s="20"/>
      <c r="E476" s="20"/>
      <c r="F476" s="20"/>
    </row>
    <row r="477" ht="14.25" customHeight="1">
      <c r="A477" s="20"/>
      <c r="B477" s="20"/>
      <c r="C477" s="20"/>
      <c r="D477" s="20"/>
      <c r="E477" s="20"/>
      <c r="F477" s="20"/>
    </row>
    <row r="478" ht="14.25" customHeight="1">
      <c r="A478" s="20"/>
      <c r="B478" s="20"/>
      <c r="C478" s="20"/>
      <c r="D478" s="20"/>
      <c r="E478" s="20"/>
      <c r="F478" s="20"/>
    </row>
    <row r="479" ht="14.25" customHeight="1">
      <c r="A479" s="20"/>
      <c r="B479" s="20"/>
      <c r="C479" s="20"/>
      <c r="D479" s="20"/>
      <c r="E479" s="20"/>
      <c r="F479" s="20"/>
    </row>
    <row r="480" ht="14.25" customHeight="1">
      <c r="A480" s="20"/>
      <c r="B480" s="20"/>
      <c r="C480" s="20"/>
      <c r="D480" s="20"/>
      <c r="E480" s="20"/>
      <c r="F480" s="20"/>
    </row>
    <row r="481" ht="14.25" customHeight="1">
      <c r="A481" s="20"/>
      <c r="B481" s="20"/>
      <c r="C481" s="20"/>
      <c r="D481" s="20"/>
      <c r="E481" s="20"/>
      <c r="F481" s="20"/>
    </row>
    <row r="482" ht="14.25" customHeight="1">
      <c r="A482" s="20"/>
      <c r="B482" s="20"/>
      <c r="C482" s="20"/>
      <c r="D482" s="20"/>
      <c r="E482" s="20"/>
      <c r="F482" s="20"/>
    </row>
    <row r="483" ht="14.25" customHeight="1">
      <c r="A483" s="20"/>
      <c r="B483" s="20"/>
      <c r="C483" s="20"/>
      <c r="D483" s="20"/>
      <c r="E483" s="20"/>
      <c r="F483" s="20"/>
    </row>
    <row r="484" ht="14.25" customHeight="1">
      <c r="A484" s="20"/>
      <c r="B484" s="20"/>
      <c r="C484" s="20"/>
      <c r="D484" s="20"/>
      <c r="E484" s="20"/>
      <c r="F484" s="20"/>
    </row>
    <row r="485" ht="14.25" customHeight="1">
      <c r="A485" s="20"/>
      <c r="B485" s="20"/>
      <c r="C485" s="20"/>
      <c r="D485" s="20"/>
      <c r="E485" s="20"/>
      <c r="F485" s="20"/>
    </row>
    <row r="486" ht="14.25" customHeight="1">
      <c r="A486" s="20"/>
      <c r="B486" s="20"/>
      <c r="C486" s="20"/>
      <c r="D486" s="20"/>
      <c r="E486" s="20"/>
      <c r="F486" s="20"/>
    </row>
    <row r="487" ht="14.25" customHeight="1">
      <c r="A487" s="20"/>
      <c r="B487" s="20"/>
      <c r="C487" s="20"/>
      <c r="D487" s="20"/>
      <c r="E487" s="20"/>
      <c r="F487" s="20"/>
    </row>
    <row r="488" ht="14.25" customHeight="1">
      <c r="A488" s="20"/>
      <c r="B488" s="20"/>
      <c r="C488" s="20"/>
      <c r="D488" s="20"/>
      <c r="E488" s="20"/>
      <c r="F488" s="20"/>
    </row>
    <row r="489" ht="14.25" customHeight="1">
      <c r="A489" s="20"/>
      <c r="B489" s="20"/>
      <c r="C489" s="20"/>
      <c r="D489" s="20"/>
      <c r="E489" s="20"/>
      <c r="F489" s="20"/>
    </row>
    <row r="490" ht="14.25" customHeight="1">
      <c r="A490" s="20"/>
      <c r="B490" s="20"/>
      <c r="C490" s="20"/>
      <c r="D490" s="20"/>
      <c r="E490" s="20"/>
      <c r="F490" s="20"/>
    </row>
    <row r="491" ht="14.25" customHeight="1">
      <c r="A491" s="20"/>
      <c r="B491" s="20"/>
      <c r="C491" s="20"/>
      <c r="D491" s="20"/>
      <c r="E491" s="20"/>
      <c r="F491" s="20"/>
    </row>
    <row r="492" ht="14.25" customHeight="1">
      <c r="A492" s="20"/>
      <c r="B492" s="20"/>
      <c r="C492" s="20"/>
      <c r="D492" s="20"/>
      <c r="E492" s="20"/>
      <c r="F492" s="20"/>
    </row>
    <row r="493" ht="14.25" customHeight="1">
      <c r="A493" s="20"/>
      <c r="B493" s="20"/>
      <c r="C493" s="20"/>
      <c r="D493" s="20"/>
      <c r="E493" s="20"/>
      <c r="F493" s="20"/>
    </row>
    <row r="494" ht="14.25" customHeight="1">
      <c r="A494" s="20"/>
      <c r="B494" s="20"/>
      <c r="C494" s="20"/>
      <c r="D494" s="20"/>
      <c r="E494" s="20"/>
      <c r="F494" s="20"/>
    </row>
    <row r="495" ht="14.25" customHeight="1">
      <c r="A495" s="20"/>
      <c r="B495" s="20"/>
      <c r="C495" s="20"/>
      <c r="D495" s="20"/>
      <c r="E495" s="20"/>
      <c r="F495" s="20"/>
    </row>
    <row r="496" ht="14.25" customHeight="1">
      <c r="A496" s="20"/>
      <c r="B496" s="20"/>
      <c r="C496" s="20"/>
      <c r="D496" s="20"/>
      <c r="E496" s="20"/>
      <c r="F496" s="20"/>
    </row>
    <row r="497" ht="14.25" customHeight="1">
      <c r="A497" s="20"/>
      <c r="B497" s="20"/>
      <c r="C497" s="20"/>
      <c r="D497" s="20"/>
      <c r="E497" s="20"/>
      <c r="F497" s="20"/>
    </row>
    <row r="498" ht="14.25" customHeight="1">
      <c r="A498" s="20"/>
      <c r="B498" s="20"/>
      <c r="C498" s="20"/>
      <c r="D498" s="20"/>
      <c r="E498" s="20"/>
      <c r="F498" s="20"/>
    </row>
    <row r="499" ht="14.25" customHeight="1">
      <c r="A499" s="20"/>
      <c r="B499" s="20"/>
      <c r="C499" s="20"/>
      <c r="D499" s="20"/>
      <c r="E499" s="20"/>
      <c r="F499" s="20"/>
    </row>
    <row r="500" ht="14.25" customHeight="1">
      <c r="A500" s="20"/>
      <c r="B500" s="20"/>
      <c r="C500" s="20"/>
      <c r="D500" s="20"/>
      <c r="E500" s="20"/>
      <c r="F500" s="20"/>
    </row>
    <row r="501" ht="14.25" customHeight="1">
      <c r="A501" s="20"/>
      <c r="B501" s="20"/>
      <c r="C501" s="20"/>
      <c r="D501" s="20"/>
      <c r="E501" s="20"/>
      <c r="F501" s="20"/>
    </row>
    <row r="502" ht="14.25" customHeight="1">
      <c r="A502" s="20"/>
      <c r="B502" s="20"/>
      <c r="C502" s="20"/>
      <c r="D502" s="20"/>
      <c r="E502" s="20"/>
      <c r="F502" s="20"/>
    </row>
    <row r="503" ht="14.25" customHeight="1">
      <c r="A503" s="20"/>
      <c r="B503" s="20"/>
      <c r="C503" s="20"/>
      <c r="D503" s="20"/>
      <c r="E503" s="20"/>
      <c r="F503" s="20"/>
    </row>
    <row r="504" ht="14.25" customHeight="1">
      <c r="A504" s="20"/>
      <c r="B504" s="20"/>
      <c r="C504" s="20"/>
      <c r="D504" s="20"/>
      <c r="E504" s="20"/>
      <c r="F504" s="20"/>
    </row>
    <row r="505" ht="14.25" customHeight="1">
      <c r="A505" s="20"/>
      <c r="B505" s="20"/>
      <c r="C505" s="20"/>
      <c r="D505" s="20"/>
      <c r="E505" s="20"/>
      <c r="F505" s="20"/>
    </row>
    <row r="506" ht="14.25" customHeight="1">
      <c r="A506" s="20"/>
      <c r="B506" s="20"/>
      <c r="C506" s="20"/>
      <c r="D506" s="20"/>
      <c r="E506" s="20"/>
      <c r="F506" s="20"/>
    </row>
    <row r="507" ht="14.25" customHeight="1">
      <c r="A507" s="20"/>
      <c r="B507" s="20"/>
      <c r="C507" s="20"/>
      <c r="D507" s="20"/>
      <c r="E507" s="20"/>
      <c r="F507" s="20"/>
    </row>
    <row r="508" ht="14.25" customHeight="1">
      <c r="A508" s="20"/>
      <c r="B508" s="20"/>
      <c r="C508" s="20"/>
      <c r="D508" s="20"/>
      <c r="E508" s="20"/>
      <c r="F508" s="20"/>
    </row>
    <row r="509" ht="14.25" customHeight="1">
      <c r="A509" s="20"/>
      <c r="B509" s="20"/>
      <c r="C509" s="20"/>
      <c r="D509" s="20"/>
      <c r="E509" s="20"/>
      <c r="F509" s="20"/>
    </row>
    <row r="510" ht="14.25" customHeight="1">
      <c r="A510" s="20"/>
      <c r="B510" s="20"/>
      <c r="C510" s="20"/>
      <c r="D510" s="20"/>
      <c r="E510" s="20"/>
      <c r="F510" s="20"/>
    </row>
    <row r="511" ht="14.25" customHeight="1">
      <c r="A511" s="20"/>
      <c r="B511" s="20"/>
      <c r="C511" s="20"/>
      <c r="D511" s="20"/>
      <c r="E511" s="20"/>
      <c r="F511" s="20"/>
    </row>
    <row r="512" ht="14.25" customHeight="1">
      <c r="A512" s="20"/>
      <c r="B512" s="20"/>
      <c r="C512" s="20"/>
      <c r="D512" s="20"/>
      <c r="E512" s="20"/>
      <c r="F512" s="20"/>
    </row>
    <row r="513" ht="14.25" customHeight="1">
      <c r="A513" s="20"/>
      <c r="B513" s="20"/>
      <c r="C513" s="20"/>
      <c r="D513" s="20"/>
      <c r="E513" s="20"/>
      <c r="F513" s="20"/>
    </row>
    <row r="514" ht="14.25" customHeight="1">
      <c r="A514" s="20"/>
      <c r="B514" s="20"/>
      <c r="C514" s="20"/>
      <c r="D514" s="20"/>
      <c r="E514" s="20"/>
      <c r="F514" s="20"/>
    </row>
    <row r="515" ht="14.25" customHeight="1">
      <c r="A515" s="20"/>
      <c r="B515" s="20"/>
      <c r="C515" s="20"/>
      <c r="D515" s="20"/>
      <c r="E515" s="20"/>
      <c r="F515" s="20"/>
    </row>
    <row r="516" ht="14.25" customHeight="1">
      <c r="A516" s="20"/>
      <c r="B516" s="20"/>
      <c r="C516" s="20"/>
      <c r="D516" s="20"/>
      <c r="E516" s="20"/>
      <c r="F516" s="20"/>
    </row>
    <row r="517" ht="14.25" customHeight="1">
      <c r="A517" s="20"/>
      <c r="B517" s="20"/>
      <c r="C517" s="20"/>
      <c r="D517" s="20"/>
      <c r="E517" s="20"/>
      <c r="F517" s="20"/>
    </row>
    <row r="518" ht="14.25" customHeight="1">
      <c r="A518" s="20"/>
      <c r="B518" s="20"/>
      <c r="C518" s="20"/>
      <c r="D518" s="20"/>
      <c r="E518" s="20"/>
      <c r="F518" s="20"/>
    </row>
    <row r="519" ht="14.25" customHeight="1">
      <c r="A519" s="20"/>
      <c r="B519" s="20"/>
      <c r="C519" s="20"/>
      <c r="D519" s="20"/>
      <c r="E519" s="20"/>
      <c r="F519" s="20"/>
    </row>
    <row r="520" ht="14.25" customHeight="1">
      <c r="A520" s="20"/>
      <c r="B520" s="20"/>
      <c r="C520" s="20"/>
      <c r="D520" s="20"/>
      <c r="E520" s="20"/>
      <c r="F520" s="20"/>
    </row>
    <row r="521" ht="14.25" customHeight="1">
      <c r="A521" s="20"/>
      <c r="B521" s="20"/>
      <c r="C521" s="20"/>
      <c r="D521" s="20"/>
      <c r="E521" s="20"/>
      <c r="F521" s="20"/>
    </row>
    <row r="522" ht="14.25" customHeight="1">
      <c r="A522" s="20"/>
      <c r="B522" s="20"/>
      <c r="C522" s="20"/>
      <c r="D522" s="20"/>
      <c r="E522" s="20"/>
      <c r="F522" s="20"/>
    </row>
    <row r="523" ht="14.25" customHeight="1">
      <c r="A523" s="20"/>
      <c r="B523" s="20"/>
      <c r="C523" s="20"/>
      <c r="D523" s="20"/>
      <c r="E523" s="20"/>
      <c r="F523" s="20"/>
    </row>
    <row r="524" ht="14.25" customHeight="1">
      <c r="A524" s="20"/>
      <c r="B524" s="20"/>
      <c r="C524" s="20"/>
      <c r="D524" s="20"/>
      <c r="E524" s="20"/>
      <c r="F524" s="20"/>
    </row>
    <row r="525" ht="14.25" customHeight="1">
      <c r="A525" s="20"/>
      <c r="B525" s="20"/>
      <c r="C525" s="20"/>
      <c r="D525" s="20"/>
      <c r="E525" s="20"/>
      <c r="F525" s="20"/>
    </row>
    <row r="526" ht="14.25" customHeight="1">
      <c r="A526" s="20"/>
      <c r="B526" s="20"/>
      <c r="C526" s="20"/>
      <c r="D526" s="20"/>
      <c r="E526" s="20"/>
      <c r="F526" s="20"/>
    </row>
    <row r="527" ht="14.25" customHeight="1">
      <c r="A527" s="20"/>
      <c r="B527" s="20"/>
      <c r="C527" s="20"/>
      <c r="D527" s="20"/>
      <c r="E527" s="20"/>
      <c r="F527" s="20"/>
    </row>
    <row r="528" ht="14.25" customHeight="1">
      <c r="A528" s="20"/>
      <c r="B528" s="20"/>
      <c r="C528" s="20"/>
      <c r="D528" s="20"/>
      <c r="E528" s="20"/>
      <c r="F528" s="20"/>
    </row>
    <row r="529" ht="14.25" customHeight="1">
      <c r="A529" s="20"/>
      <c r="B529" s="20"/>
      <c r="C529" s="20"/>
      <c r="D529" s="20"/>
      <c r="E529" s="20"/>
      <c r="F529" s="20"/>
    </row>
    <row r="530" ht="14.25" customHeight="1">
      <c r="A530" s="20"/>
      <c r="B530" s="20"/>
      <c r="C530" s="20"/>
      <c r="D530" s="20"/>
      <c r="E530" s="20"/>
      <c r="F530" s="20"/>
    </row>
    <row r="531" ht="14.25" customHeight="1">
      <c r="A531" s="20"/>
      <c r="B531" s="20"/>
      <c r="C531" s="20"/>
      <c r="D531" s="20"/>
      <c r="E531" s="20"/>
      <c r="F531" s="20"/>
    </row>
    <row r="532" ht="14.25" customHeight="1">
      <c r="A532" s="20"/>
      <c r="B532" s="20"/>
      <c r="C532" s="20"/>
      <c r="D532" s="20"/>
      <c r="E532" s="20"/>
      <c r="F532" s="20"/>
    </row>
    <row r="533" ht="14.25" customHeight="1">
      <c r="A533" s="20"/>
      <c r="B533" s="20"/>
      <c r="C533" s="20"/>
      <c r="D533" s="20"/>
      <c r="E533" s="20"/>
      <c r="F533" s="20"/>
    </row>
    <row r="534" ht="14.25" customHeight="1">
      <c r="A534" s="20"/>
      <c r="B534" s="20"/>
      <c r="C534" s="20"/>
      <c r="D534" s="20"/>
      <c r="E534" s="20"/>
      <c r="F534" s="20"/>
    </row>
    <row r="535" ht="14.25" customHeight="1">
      <c r="A535" s="20"/>
      <c r="B535" s="20"/>
      <c r="C535" s="20"/>
      <c r="D535" s="20"/>
      <c r="E535" s="20"/>
      <c r="F535" s="20"/>
    </row>
    <row r="536" ht="14.25" customHeight="1">
      <c r="A536" s="20"/>
      <c r="B536" s="20"/>
      <c r="C536" s="20"/>
      <c r="D536" s="20"/>
      <c r="E536" s="20"/>
      <c r="F536" s="20"/>
    </row>
    <row r="537" ht="14.25" customHeight="1">
      <c r="A537" s="20"/>
      <c r="B537" s="20"/>
      <c r="C537" s="20"/>
      <c r="D537" s="20"/>
      <c r="E537" s="20"/>
      <c r="F537" s="20"/>
    </row>
    <row r="538" ht="14.25" customHeight="1">
      <c r="A538" s="20"/>
      <c r="B538" s="20"/>
      <c r="C538" s="20"/>
      <c r="D538" s="20"/>
      <c r="E538" s="20"/>
      <c r="F538" s="20"/>
    </row>
    <row r="539" ht="14.25" customHeight="1">
      <c r="A539" s="20"/>
      <c r="B539" s="20"/>
      <c r="C539" s="20"/>
      <c r="D539" s="20"/>
      <c r="E539" s="20"/>
      <c r="F539" s="20"/>
    </row>
    <row r="540" ht="14.25" customHeight="1">
      <c r="A540" s="20"/>
      <c r="B540" s="20"/>
      <c r="C540" s="20"/>
      <c r="D540" s="20"/>
      <c r="E540" s="20"/>
      <c r="F540" s="20"/>
    </row>
    <row r="541" ht="14.25" customHeight="1">
      <c r="A541" s="20"/>
      <c r="B541" s="20"/>
      <c r="C541" s="20"/>
      <c r="D541" s="20"/>
      <c r="E541" s="20"/>
      <c r="F541" s="20"/>
    </row>
    <row r="542" ht="14.25" customHeight="1">
      <c r="A542" s="20"/>
      <c r="B542" s="20"/>
      <c r="C542" s="20"/>
      <c r="D542" s="20"/>
      <c r="E542" s="20"/>
      <c r="F542" s="20"/>
    </row>
    <row r="543" ht="14.25" customHeight="1">
      <c r="A543" s="20"/>
      <c r="B543" s="20"/>
      <c r="C543" s="20"/>
      <c r="D543" s="20"/>
      <c r="E543" s="20"/>
      <c r="F543" s="20"/>
    </row>
    <row r="544" ht="14.25" customHeight="1">
      <c r="A544" s="20"/>
      <c r="B544" s="20"/>
      <c r="C544" s="20"/>
      <c r="D544" s="20"/>
      <c r="E544" s="20"/>
      <c r="F544" s="20"/>
    </row>
    <row r="545" ht="14.25" customHeight="1">
      <c r="A545" s="20"/>
      <c r="B545" s="20"/>
      <c r="C545" s="20"/>
      <c r="D545" s="20"/>
      <c r="E545" s="20"/>
      <c r="F545" s="20"/>
    </row>
    <row r="546" ht="14.25" customHeight="1">
      <c r="A546" s="20"/>
      <c r="B546" s="20"/>
      <c r="C546" s="20"/>
      <c r="D546" s="20"/>
      <c r="E546" s="20"/>
      <c r="F546" s="20"/>
    </row>
    <row r="547" ht="14.25" customHeight="1">
      <c r="A547" s="20"/>
      <c r="B547" s="20"/>
      <c r="C547" s="20"/>
      <c r="D547" s="20"/>
      <c r="E547" s="20"/>
      <c r="F547" s="20"/>
    </row>
    <row r="548" ht="14.25" customHeight="1">
      <c r="A548" s="20"/>
      <c r="B548" s="20"/>
      <c r="C548" s="20"/>
      <c r="D548" s="20"/>
      <c r="E548" s="20"/>
      <c r="F548" s="20"/>
    </row>
    <row r="549" ht="14.25" customHeight="1">
      <c r="A549" s="20"/>
      <c r="B549" s="20"/>
      <c r="C549" s="20"/>
      <c r="D549" s="20"/>
      <c r="E549" s="20"/>
      <c r="F549" s="20"/>
    </row>
    <row r="550" ht="14.25" customHeight="1">
      <c r="A550" s="20"/>
      <c r="B550" s="20"/>
      <c r="C550" s="20"/>
      <c r="D550" s="20"/>
      <c r="E550" s="20"/>
      <c r="F550" s="20"/>
    </row>
    <row r="551" ht="14.25" customHeight="1">
      <c r="A551" s="20"/>
      <c r="B551" s="20"/>
      <c r="C551" s="20"/>
      <c r="D551" s="20"/>
      <c r="E551" s="20"/>
      <c r="F551" s="20"/>
    </row>
    <row r="552" ht="14.25" customHeight="1">
      <c r="A552" s="20"/>
      <c r="B552" s="20"/>
      <c r="C552" s="20"/>
      <c r="D552" s="20"/>
      <c r="E552" s="20"/>
      <c r="F552" s="20"/>
    </row>
    <row r="553" ht="14.25" customHeight="1">
      <c r="A553" s="20"/>
      <c r="B553" s="20"/>
      <c r="C553" s="20"/>
      <c r="D553" s="20"/>
      <c r="E553" s="20"/>
      <c r="F553" s="20"/>
    </row>
    <row r="554" ht="14.25" customHeight="1">
      <c r="A554" s="20"/>
      <c r="B554" s="20"/>
      <c r="C554" s="20"/>
      <c r="D554" s="20"/>
      <c r="E554" s="20"/>
      <c r="F554" s="20"/>
    </row>
    <row r="555" ht="14.25" customHeight="1">
      <c r="A555" s="20"/>
      <c r="B555" s="20"/>
      <c r="C555" s="20"/>
      <c r="D555" s="20"/>
      <c r="E555" s="20"/>
      <c r="F555" s="20"/>
    </row>
    <row r="556" ht="14.25" customHeight="1">
      <c r="A556" s="20"/>
      <c r="B556" s="20"/>
      <c r="C556" s="20"/>
      <c r="D556" s="20"/>
      <c r="E556" s="20"/>
      <c r="F556" s="20"/>
    </row>
    <row r="557" ht="14.25" customHeight="1">
      <c r="A557" s="20"/>
      <c r="B557" s="20"/>
      <c r="C557" s="20"/>
      <c r="D557" s="20"/>
      <c r="E557" s="20"/>
      <c r="F557" s="20"/>
    </row>
    <row r="558" ht="14.25" customHeight="1">
      <c r="A558" s="20"/>
      <c r="B558" s="20"/>
      <c r="C558" s="20"/>
      <c r="D558" s="20"/>
      <c r="E558" s="20"/>
      <c r="F558" s="20"/>
    </row>
    <row r="559" ht="14.25" customHeight="1">
      <c r="A559" s="20"/>
      <c r="B559" s="20"/>
      <c r="C559" s="20"/>
      <c r="D559" s="20"/>
      <c r="E559" s="20"/>
      <c r="F559" s="20"/>
    </row>
    <row r="560" ht="14.25" customHeight="1">
      <c r="A560" s="20"/>
      <c r="B560" s="20"/>
      <c r="C560" s="20"/>
      <c r="D560" s="20"/>
      <c r="E560" s="20"/>
      <c r="F560" s="20"/>
    </row>
    <row r="561" ht="14.25" customHeight="1">
      <c r="A561" s="20"/>
      <c r="B561" s="20"/>
      <c r="C561" s="20"/>
      <c r="D561" s="20"/>
      <c r="E561" s="20"/>
      <c r="F561" s="20"/>
    </row>
    <row r="562" ht="14.25" customHeight="1">
      <c r="A562" s="20"/>
      <c r="B562" s="20"/>
      <c r="C562" s="20"/>
      <c r="D562" s="20"/>
      <c r="E562" s="20"/>
      <c r="F562" s="20"/>
    </row>
    <row r="563" ht="14.25" customHeight="1">
      <c r="A563" s="20"/>
      <c r="B563" s="20"/>
      <c r="C563" s="20"/>
      <c r="D563" s="20"/>
      <c r="E563" s="20"/>
      <c r="F563" s="20"/>
    </row>
    <row r="564" ht="14.25" customHeight="1">
      <c r="A564" s="20"/>
      <c r="B564" s="20"/>
      <c r="C564" s="20"/>
      <c r="D564" s="20"/>
      <c r="E564" s="20"/>
      <c r="F564" s="20"/>
    </row>
    <row r="565" ht="14.25" customHeight="1">
      <c r="A565" s="20"/>
      <c r="B565" s="20"/>
      <c r="C565" s="20"/>
      <c r="D565" s="20"/>
      <c r="E565" s="20"/>
      <c r="F565" s="20"/>
    </row>
    <row r="566" ht="14.25" customHeight="1">
      <c r="A566" s="20"/>
      <c r="B566" s="20"/>
      <c r="C566" s="20"/>
      <c r="D566" s="20"/>
      <c r="E566" s="20"/>
      <c r="F566" s="20"/>
    </row>
    <row r="567" ht="14.25" customHeight="1">
      <c r="A567" s="20"/>
      <c r="B567" s="20"/>
      <c r="C567" s="20"/>
      <c r="D567" s="20"/>
      <c r="E567" s="20"/>
      <c r="F567" s="20"/>
    </row>
    <row r="568" ht="14.25" customHeight="1">
      <c r="A568" s="20"/>
      <c r="B568" s="20"/>
      <c r="C568" s="20"/>
      <c r="D568" s="20"/>
      <c r="E568" s="20"/>
      <c r="F568" s="20"/>
    </row>
    <row r="569" ht="14.25" customHeight="1">
      <c r="A569" s="20"/>
      <c r="B569" s="20"/>
      <c r="C569" s="20"/>
      <c r="D569" s="20"/>
      <c r="E569" s="20"/>
      <c r="F569" s="20"/>
    </row>
    <row r="570" ht="14.25" customHeight="1">
      <c r="A570" s="20"/>
      <c r="B570" s="20"/>
      <c r="C570" s="20"/>
      <c r="D570" s="20"/>
      <c r="E570" s="20"/>
      <c r="F570" s="20"/>
    </row>
    <row r="571" ht="14.25" customHeight="1">
      <c r="A571" s="20"/>
      <c r="B571" s="20"/>
      <c r="C571" s="20"/>
      <c r="D571" s="20"/>
      <c r="E571" s="20"/>
      <c r="F571" s="20"/>
    </row>
    <row r="572" ht="14.25" customHeight="1">
      <c r="A572" s="20"/>
      <c r="B572" s="20"/>
      <c r="C572" s="20"/>
      <c r="D572" s="20"/>
      <c r="E572" s="20"/>
      <c r="F572" s="20"/>
    </row>
    <row r="573" ht="14.25" customHeight="1">
      <c r="A573" s="20"/>
      <c r="B573" s="20"/>
      <c r="C573" s="20"/>
      <c r="D573" s="20"/>
      <c r="E573" s="20"/>
      <c r="F573" s="20"/>
    </row>
    <row r="574" ht="14.25" customHeight="1">
      <c r="A574" s="20"/>
      <c r="B574" s="20"/>
      <c r="C574" s="20"/>
      <c r="D574" s="20"/>
      <c r="E574" s="20"/>
      <c r="F574" s="20"/>
    </row>
    <row r="575" ht="14.25" customHeight="1">
      <c r="A575" s="20"/>
      <c r="B575" s="20"/>
      <c r="C575" s="20"/>
      <c r="D575" s="20"/>
      <c r="E575" s="20"/>
      <c r="F575" s="20"/>
    </row>
    <row r="576" ht="14.25" customHeight="1">
      <c r="A576" s="20"/>
      <c r="B576" s="20"/>
      <c r="C576" s="20"/>
      <c r="D576" s="20"/>
      <c r="E576" s="20"/>
      <c r="F576" s="20"/>
    </row>
    <row r="577" ht="14.25" customHeight="1">
      <c r="A577" s="20"/>
      <c r="B577" s="20"/>
      <c r="C577" s="20"/>
      <c r="D577" s="20"/>
      <c r="E577" s="20"/>
      <c r="F577" s="20"/>
    </row>
    <row r="578" ht="14.25" customHeight="1">
      <c r="A578" s="20"/>
      <c r="B578" s="20"/>
      <c r="C578" s="20"/>
      <c r="D578" s="20"/>
      <c r="E578" s="20"/>
      <c r="F578" s="20"/>
    </row>
    <row r="579" ht="14.25" customHeight="1">
      <c r="A579" s="20"/>
      <c r="B579" s="20"/>
      <c r="C579" s="20"/>
      <c r="D579" s="20"/>
      <c r="E579" s="20"/>
      <c r="F579" s="20"/>
    </row>
    <row r="580" ht="14.25" customHeight="1">
      <c r="A580" s="20"/>
      <c r="B580" s="20"/>
      <c r="C580" s="20"/>
      <c r="D580" s="20"/>
      <c r="E580" s="20"/>
      <c r="F580" s="20"/>
    </row>
    <row r="581" ht="14.25" customHeight="1">
      <c r="A581" s="20"/>
      <c r="B581" s="20"/>
      <c r="C581" s="20"/>
      <c r="D581" s="20"/>
      <c r="E581" s="20"/>
      <c r="F581" s="20"/>
    </row>
    <row r="582" ht="14.25" customHeight="1">
      <c r="A582" s="20"/>
      <c r="B582" s="20"/>
      <c r="C582" s="20"/>
      <c r="D582" s="20"/>
      <c r="E582" s="20"/>
      <c r="F582" s="20"/>
    </row>
    <row r="583" ht="14.25" customHeight="1">
      <c r="A583" s="20"/>
      <c r="B583" s="20"/>
      <c r="C583" s="20"/>
      <c r="D583" s="20"/>
      <c r="E583" s="20"/>
      <c r="F583" s="20"/>
    </row>
    <row r="584" ht="14.25" customHeight="1">
      <c r="A584" s="20"/>
      <c r="B584" s="20"/>
      <c r="C584" s="20"/>
      <c r="D584" s="20"/>
      <c r="E584" s="20"/>
      <c r="F584" s="20"/>
    </row>
    <row r="585" ht="14.25" customHeight="1">
      <c r="A585" s="20"/>
      <c r="B585" s="20"/>
      <c r="C585" s="20"/>
      <c r="D585" s="20"/>
      <c r="E585" s="20"/>
      <c r="F585" s="20"/>
    </row>
    <row r="586" ht="14.25" customHeight="1">
      <c r="A586" s="20"/>
      <c r="B586" s="20"/>
      <c r="C586" s="20"/>
      <c r="D586" s="20"/>
      <c r="E586" s="20"/>
      <c r="F586" s="20"/>
    </row>
    <row r="587" ht="14.25" customHeight="1">
      <c r="A587" s="20"/>
      <c r="B587" s="20"/>
      <c r="C587" s="20"/>
      <c r="D587" s="20"/>
      <c r="E587" s="20"/>
      <c r="F587" s="20"/>
    </row>
    <row r="588" ht="14.25" customHeight="1">
      <c r="A588" s="20"/>
      <c r="B588" s="20"/>
      <c r="C588" s="20"/>
      <c r="D588" s="20"/>
      <c r="E588" s="20"/>
      <c r="F588" s="20"/>
    </row>
    <row r="589" ht="14.25" customHeight="1">
      <c r="A589" s="20"/>
      <c r="B589" s="20"/>
      <c r="C589" s="20"/>
      <c r="D589" s="20"/>
      <c r="E589" s="20"/>
      <c r="F589" s="20"/>
    </row>
    <row r="590" ht="14.25" customHeight="1">
      <c r="A590" s="20"/>
      <c r="B590" s="20"/>
      <c r="C590" s="20"/>
      <c r="D590" s="20"/>
      <c r="E590" s="20"/>
      <c r="F590" s="20"/>
    </row>
    <row r="591" ht="14.25" customHeight="1">
      <c r="A591" s="20"/>
      <c r="B591" s="20"/>
      <c r="C591" s="20"/>
      <c r="D591" s="20"/>
      <c r="E591" s="20"/>
      <c r="F591" s="20"/>
    </row>
    <row r="592" ht="14.25" customHeight="1">
      <c r="A592" s="20"/>
      <c r="B592" s="20"/>
      <c r="C592" s="20"/>
      <c r="D592" s="20"/>
      <c r="E592" s="20"/>
      <c r="F592" s="20"/>
    </row>
    <row r="593" ht="14.25" customHeight="1">
      <c r="A593" s="20"/>
      <c r="B593" s="20"/>
      <c r="C593" s="20"/>
      <c r="D593" s="20"/>
      <c r="E593" s="20"/>
      <c r="F593" s="20"/>
    </row>
    <row r="594" ht="14.25" customHeight="1">
      <c r="A594" s="20"/>
      <c r="B594" s="20"/>
      <c r="C594" s="20"/>
      <c r="D594" s="20"/>
      <c r="E594" s="20"/>
      <c r="F594" s="20"/>
    </row>
    <row r="595" ht="14.25" customHeight="1">
      <c r="A595" s="20"/>
      <c r="B595" s="20"/>
      <c r="C595" s="20"/>
      <c r="D595" s="20"/>
      <c r="E595" s="20"/>
      <c r="F595" s="20"/>
    </row>
    <row r="596" ht="14.25" customHeight="1">
      <c r="A596" s="20"/>
      <c r="B596" s="20"/>
      <c r="C596" s="20"/>
      <c r="D596" s="20"/>
      <c r="E596" s="20"/>
      <c r="F596" s="20"/>
    </row>
    <row r="597" ht="14.25" customHeight="1">
      <c r="A597" s="20"/>
      <c r="B597" s="20"/>
      <c r="C597" s="20"/>
      <c r="D597" s="20"/>
      <c r="E597" s="20"/>
      <c r="F597" s="20"/>
    </row>
    <row r="598" ht="14.25" customHeight="1">
      <c r="A598" s="20"/>
      <c r="B598" s="20"/>
      <c r="C598" s="20"/>
      <c r="D598" s="20"/>
      <c r="E598" s="20"/>
      <c r="F598" s="20"/>
    </row>
    <row r="599" ht="14.25" customHeight="1">
      <c r="A599" s="20"/>
      <c r="B599" s="20"/>
      <c r="C599" s="20"/>
      <c r="D599" s="20"/>
      <c r="E599" s="20"/>
      <c r="F599" s="20"/>
    </row>
    <row r="600" ht="14.25" customHeight="1">
      <c r="A600" s="20"/>
      <c r="B600" s="20"/>
      <c r="C600" s="20"/>
      <c r="D600" s="20"/>
      <c r="E600" s="20"/>
      <c r="F600" s="20"/>
    </row>
    <row r="601" ht="14.25" customHeight="1">
      <c r="A601" s="20"/>
      <c r="B601" s="20"/>
      <c r="C601" s="20"/>
      <c r="D601" s="20"/>
      <c r="E601" s="20"/>
      <c r="F601" s="20"/>
    </row>
    <row r="602" ht="14.25" customHeight="1">
      <c r="A602" s="20"/>
      <c r="B602" s="20"/>
      <c r="C602" s="20"/>
      <c r="D602" s="20"/>
      <c r="E602" s="20"/>
      <c r="F602" s="20"/>
    </row>
    <row r="603" ht="14.25" customHeight="1">
      <c r="A603" s="20"/>
      <c r="B603" s="20"/>
      <c r="C603" s="20"/>
      <c r="D603" s="20"/>
      <c r="E603" s="20"/>
      <c r="F603" s="20"/>
    </row>
    <row r="604" ht="14.25" customHeight="1">
      <c r="A604" s="20"/>
      <c r="B604" s="20"/>
      <c r="C604" s="20"/>
      <c r="D604" s="20"/>
      <c r="E604" s="20"/>
      <c r="F604" s="20"/>
    </row>
    <row r="605" ht="14.25" customHeight="1">
      <c r="A605" s="20"/>
      <c r="B605" s="20"/>
      <c r="C605" s="20"/>
      <c r="D605" s="20"/>
      <c r="E605" s="20"/>
      <c r="F605" s="20"/>
    </row>
    <row r="606" ht="14.25" customHeight="1">
      <c r="A606" s="20"/>
      <c r="B606" s="20"/>
      <c r="C606" s="20"/>
      <c r="D606" s="20"/>
      <c r="E606" s="20"/>
      <c r="F606" s="20"/>
    </row>
    <row r="607" ht="14.25" customHeight="1">
      <c r="A607" s="20"/>
      <c r="B607" s="20"/>
      <c r="C607" s="20"/>
      <c r="D607" s="20"/>
      <c r="E607" s="20"/>
      <c r="F607" s="20"/>
    </row>
    <row r="608" ht="14.25" customHeight="1">
      <c r="A608" s="20"/>
      <c r="B608" s="20"/>
      <c r="C608" s="20"/>
      <c r="D608" s="20"/>
      <c r="E608" s="20"/>
      <c r="F608" s="20"/>
    </row>
    <row r="609" ht="14.25" customHeight="1">
      <c r="A609" s="20"/>
      <c r="B609" s="20"/>
      <c r="C609" s="20"/>
      <c r="D609" s="20"/>
      <c r="E609" s="20"/>
      <c r="F609" s="20"/>
    </row>
    <row r="610" ht="14.25" customHeight="1">
      <c r="A610" s="20"/>
      <c r="B610" s="20"/>
      <c r="C610" s="20"/>
      <c r="D610" s="20"/>
      <c r="E610" s="20"/>
      <c r="F610" s="20"/>
    </row>
    <row r="611" ht="14.25" customHeight="1">
      <c r="A611" s="20"/>
      <c r="B611" s="20"/>
      <c r="C611" s="20"/>
      <c r="D611" s="20"/>
      <c r="E611" s="20"/>
      <c r="F611" s="20"/>
    </row>
    <row r="612" ht="14.25" customHeight="1">
      <c r="A612" s="20"/>
      <c r="B612" s="20"/>
      <c r="C612" s="20"/>
      <c r="D612" s="20"/>
      <c r="E612" s="20"/>
      <c r="F612" s="20"/>
    </row>
    <row r="613" ht="14.25" customHeight="1">
      <c r="A613" s="20"/>
      <c r="B613" s="20"/>
      <c r="C613" s="20"/>
      <c r="D613" s="20"/>
      <c r="E613" s="20"/>
      <c r="F613" s="20"/>
    </row>
    <row r="614" ht="14.25" customHeight="1">
      <c r="A614" s="20"/>
      <c r="B614" s="20"/>
      <c r="C614" s="20"/>
      <c r="D614" s="20"/>
      <c r="E614" s="20"/>
      <c r="F614" s="20"/>
    </row>
    <row r="615" ht="14.25" customHeight="1">
      <c r="A615" s="20"/>
      <c r="B615" s="20"/>
      <c r="C615" s="20"/>
      <c r="D615" s="20"/>
      <c r="E615" s="20"/>
      <c r="F615" s="20"/>
    </row>
    <row r="616" ht="14.25" customHeight="1">
      <c r="A616" s="20"/>
      <c r="B616" s="20"/>
      <c r="C616" s="20"/>
      <c r="D616" s="20"/>
      <c r="E616" s="20"/>
      <c r="F616" s="20"/>
    </row>
    <row r="617" ht="14.25" customHeight="1">
      <c r="A617" s="20"/>
      <c r="B617" s="20"/>
      <c r="C617" s="20"/>
      <c r="D617" s="20"/>
      <c r="E617" s="20"/>
      <c r="F617" s="20"/>
    </row>
    <row r="618" ht="14.25" customHeight="1">
      <c r="A618" s="20"/>
      <c r="B618" s="20"/>
      <c r="C618" s="20"/>
      <c r="D618" s="20"/>
      <c r="E618" s="20"/>
      <c r="F618" s="20"/>
    </row>
    <row r="619" ht="14.25" customHeight="1">
      <c r="A619" s="20"/>
      <c r="B619" s="20"/>
      <c r="C619" s="20"/>
      <c r="D619" s="20"/>
      <c r="E619" s="20"/>
      <c r="F619" s="20"/>
    </row>
    <row r="620" ht="14.25" customHeight="1">
      <c r="A620" s="20"/>
      <c r="B620" s="20"/>
      <c r="C620" s="20"/>
      <c r="D620" s="20"/>
      <c r="E620" s="20"/>
      <c r="F620" s="20"/>
    </row>
    <row r="621" ht="14.25" customHeight="1">
      <c r="A621" s="20"/>
      <c r="B621" s="20"/>
      <c r="C621" s="20"/>
      <c r="D621" s="20"/>
      <c r="E621" s="20"/>
      <c r="F621" s="20"/>
    </row>
    <row r="622" ht="14.25" customHeight="1">
      <c r="A622" s="20"/>
      <c r="B622" s="20"/>
      <c r="C622" s="20"/>
      <c r="D622" s="20"/>
      <c r="E622" s="20"/>
      <c r="F622" s="20"/>
    </row>
    <row r="623" ht="14.25" customHeight="1">
      <c r="A623" s="20"/>
      <c r="B623" s="20"/>
      <c r="C623" s="20"/>
      <c r="D623" s="20"/>
      <c r="E623" s="20"/>
      <c r="F623" s="20"/>
    </row>
    <row r="624" ht="14.25" customHeight="1">
      <c r="A624" s="20"/>
      <c r="B624" s="20"/>
      <c r="C624" s="20"/>
      <c r="D624" s="20"/>
      <c r="E624" s="20"/>
      <c r="F624" s="20"/>
    </row>
    <row r="625" ht="14.25" customHeight="1">
      <c r="A625" s="20"/>
      <c r="B625" s="20"/>
      <c r="C625" s="20"/>
      <c r="D625" s="20"/>
      <c r="E625" s="20"/>
      <c r="F625" s="20"/>
    </row>
    <row r="626" ht="14.25" customHeight="1">
      <c r="A626" s="20"/>
      <c r="B626" s="20"/>
      <c r="C626" s="20"/>
      <c r="D626" s="20"/>
      <c r="E626" s="20"/>
      <c r="F626" s="20"/>
    </row>
    <row r="627" ht="14.25" customHeight="1">
      <c r="A627" s="20"/>
      <c r="B627" s="20"/>
      <c r="C627" s="20"/>
      <c r="D627" s="20"/>
      <c r="E627" s="20"/>
      <c r="F627" s="20"/>
    </row>
    <row r="628" ht="14.25" customHeight="1">
      <c r="A628" s="20"/>
      <c r="B628" s="20"/>
      <c r="C628" s="20"/>
      <c r="D628" s="20"/>
      <c r="E628" s="20"/>
      <c r="F628" s="20"/>
    </row>
    <row r="629" ht="14.25" customHeight="1">
      <c r="A629" s="20"/>
      <c r="B629" s="20"/>
      <c r="C629" s="20"/>
      <c r="D629" s="20"/>
      <c r="E629" s="20"/>
      <c r="F629" s="20"/>
    </row>
    <row r="630" ht="14.25" customHeight="1">
      <c r="A630" s="20"/>
      <c r="B630" s="20"/>
      <c r="C630" s="20"/>
      <c r="D630" s="20"/>
      <c r="E630" s="20"/>
      <c r="F630" s="20"/>
    </row>
    <row r="631" ht="14.25" customHeight="1">
      <c r="A631" s="20"/>
      <c r="B631" s="20"/>
      <c r="C631" s="20"/>
      <c r="D631" s="20"/>
      <c r="E631" s="20"/>
      <c r="F631" s="20"/>
    </row>
    <row r="632" ht="14.25" customHeight="1">
      <c r="A632" s="20"/>
      <c r="B632" s="20"/>
      <c r="C632" s="20"/>
      <c r="D632" s="20"/>
      <c r="E632" s="20"/>
      <c r="F632" s="20"/>
    </row>
    <row r="633" ht="14.25" customHeight="1">
      <c r="A633" s="20"/>
      <c r="B633" s="20"/>
      <c r="C633" s="20"/>
      <c r="D633" s="20"/>
      <c r="E633" s="20"/>
      <c r="F633" s="20"/>
    </row>
    <row r="634" ht="14.25" customHeight="1">
      <c r="A634" s="20"/>
      <c r="B634" s="20"/>
      <c r="C634" s="20"/>
      <c r="D634" s="20"/>
      <c r="E634" s="20"/>
      <c r="F634" s="20"/>
    </row>
    <row r="635" ht="14.25" customHeight="1">
      <c r="A635" s="20"/>
      <c r="B635" s="20"/>
      <c r="C635" s="20"/>
      <c r="D635" s="20"/>
      <c r="E635" s="20"/>
      <c r="F635" s="20"/>
    </row>
    <row r="636" ht="14.25" customHeight="1">
      <c r="A636" s="20"/>
      <c r="B636" s="20"/>
      <c r="C636" s="20"/>
      <c r="D636" s="20"/>
      <c r="E636" s="20"/>
      <c r="F636" s="20"/>
    </row>
    <row r="637" ht="14.25" customHeight="1">
      <c r="A637" s="20"/>
      <c r="B637" s="20"/>
      <c r="C637" s="20"/>
      <c r="D637" s="20"/>
      <c r="E637" s="20"/>
      <c r="F637" s="20"/>
    </row>
    <row r="638" ht="14.25" customHeight="1">
      <c r="A638" s="20"/>
      <c r="B638" s="20"/>
      <c r="C638" s="20"/>
      <c r="D638" s="20"/>
      <c r="E638" s="20"/>
      <c r="F638" s="20"/>
    </row>
    <row r="639" ht="14.25" customHeight="1">
      <c r="A639" s="20"/>
      <c r="B639" s="20"/>
      <c r="C639" s="20"/>
      <c r="D639" s="20"/>
      <c r="E639" s="20"/>
      <c r="F639" s="20"/>
    </row>
    <row r="640" ht="14.25" customHeight="1">
      <c r="A640" s="20"/>
      <c r="B640" s="20"/>
      <c r="C640" s="20"/>
      <c r="D640" s="20"/>
      <c r="E640" s="20"/>
      <c r="F640" s="20"/>
    </row>
    <row r="641" ht="14.25" customHeight="1">
      <c r="A641" s="20"/>
      <c r="B641" s="20"/>
      <c r="C641" s="20"/>
      <c r="D641" s="20"/>
      <c r="E641" s="20"/>
      <c r="F641" s="20"/>
    </row>
    <row r="642" ht="14.25" customHeight="1">
      <c r="A642" s="20"/>
      <c r="B642" s="20"/>
      <c r="C642" s="20"/>
      <c r="D642" s="20"/>
      <c r="E642" s="20"/>
      <c r="F642" s="20"/>
    </row>
    <row r="643" ht="14.25" customHeight="1">
      <c r="A643" s="20"/>
      <c r="B643" s="20"/>
      <c r="C643" s="20"/>
      <c r="D643" s="20"/>
      <c r="E643" s="20"/>
      <c r="F643" s="20"/>
    </row>
    <row r="644" ht="14.25" customHeight="1">
      <c r="A644" s="20"/>
      <c r="B644" s="20"/>
      <c r="C644" s="20"/>
      <c r="D644" s="20"/>
      <c r="E644" s="20"/>
      <c r="F644" s="20"/>
    </row>
    <row r="645" ht="14.25" customHeight="1">
      <c r="A645" s="20"/>
      <c r="B645" s="20"/>
      <c r="C645" s="20"/>
      <c r="D645" s="20"/>
      <c r="E645" s="20"/>
      <c r="F645" s="20"/>
    </row>
    <row r="646" ht="14.25" customHeight="1">
      <c r="A646" s="20"/>
      <c r="B646" s="20"/>
      <c r="C646" s="20"/>
      <c r="D646" s="20"/>
      <c r="E646" s="20"/>
      <c r="F646" s="20"/>
    </row>
    <row r="647" ht="14.25" customHeight="1">
      <c r="A647" s="20"/>
      <c r="B647" s="20"/>
      <c r="C647" s="20"/>
      <c r="D647" s="20"/>
      <c r="E647" s="20"/>
      <c r="F647" s="20"/>
    </row>
    <row r="648" ht="14.25" customHeight="1">
      <c r="A648" s="20"/>
      <c r="B648" s="20"/>
      <c r="C648" s="20"/>
      <c r="D648" s="20"/>
      <c r="E648" s="20"/>
      <c r="F648" s="20"/>
    </row>
    <row r="649" ht="14.25" customHeight="1">
      <c r="A649" s="20"/>
      <c r="B649" s="20"/>
      <c r="C649" s="20"/>
      <c r="D649" s="20"/>
      <c r="E649" s="20"/>
      <c r="F649" s="20"/>
    </row>
    <row r="650" ht="14.25" customHeight="1">
      <c r="A650" s="20"/>
      <c r="B650" s="20"/>
      <c r="C650" s="20"/>
      <c r="D650" s="20"/>
      <c r="E650" s="20"/>
      <c r="F650" s="20"/>
    </row>
    <row r="651" ht="14.25" customHeight="1">
      <c r="A651" s="20"/>
      <c r="B651" s="20"/>
      <c r="C651" s="20"/>
      <c r="D651" s="20"/>
      <c r="E651" s="20"/>
      <c r="F651" s="20"/>
    </row>
    <row r="652" ht="14.25" customHeight="1">
      <c r="A652" s="20"/>
      <c r="B652" s="20"/>
      <c r="C652" s="20"/>
      <c r="D652" s="20"/>
      <c r="E652" s="20"/>
      <c r="F652" s="20"/>
    </row>
    <row r="653" ht="14.25" customHeight="1">
      <c r="A653" s="20"/>
      <c r="B653" s="20"/>
      <c r="C653" s="20"/>
      <c r="D653" s="20"/>
      <c r="E653" s="20"/>
      <c r="F653" s="20"/>
    </row>
    <row r="654" ht="14.25" customHeight="1">
      <c r="A654" s="20"/>
      <c r="B654" s="20"/>
      <c r="C654" s="20"/>
      <c r="D654" s="20"/>
      <c r="E654" s="20"/>
      <c r="F654" s="20"/>
    </row>
    <row r="655" ht="14.25" customHeight="1">
      <c r="A655" s="20"/>
      <c r="B655" s="20"/>
      <c r="C655" s="20"/>
      <c r="D655" s="20"/>
      <c r="E655" s="20"/>
      <c r="F655" s="20"/>
    </row>
    <row r="656" ht="14.25" customHeight="1">
      <c r="A656" s="20"/>
      <c r="B656" s="20"/>
      <c r="C656" s="20"/>
      <c r="D656" s="20"/>
      <c r="E656" s="20"/>
      <c r="F656" s="20"/>
    </row>
    <row r="657" ht="14.25" customHeight="1">
      <c r="A657" s="20"/>
      <c r="B657" s="20"/>
      <c r="C657" s="20"/>
      <c r="D657" s="20"/>
      <c r="E657" s="20"/>
      <c r="F657" s="20"/>
    </row>
    <row r="658" ht="14.25" customHeight="1">
      <c r="A658" s="20"/>
      <c r="B658" s="20"/>
      <c r="C658" s="20"/>
      <c r="D658" s="20"/>
      <c r="E658" s="20"/>
      <c r="F658" s="20"/>
    </row>
    <row r="659" ht="14.25" customHeight="1">
      <c r="A659" s="20"/>
      <c r="B659" s="20"/>
      <c r="C659" s="20"/>
      <c r="D659" s="20"/>
      <c r="E659" s="20"/>
      <c r="F659" s="20"/>
    </row>
    <row r="660" ht="14.25" customHeight="1">
      <c r="A660" s="20"/>
      <c r="B660" s="20"/>
      <c r="C660" s="20"/>
      <c r="D660" s="20"/>
      <c r="E660" s="20"/>
      <c r="F660" s="20"/>
    </row>
    <row r="661" ht="14.25" customHeight="1">
      <c r="A661" s="20"/>
      <c r="B661" s="20"/>
      <c r="C661" s="20"/>
      <c r="D661" s="20"/>
      <c r="E661" s="20"/>
      <c r="F661" s="20"/>
    </row>
    <row r="662" ht="14.25" customHeight="1">
      <c r="A662" s="20"/>
      <c r="B662" s="20"/>
      <c r="C662" s="20"/>
      <c r="D662" s="20"/>
      <c r="E662" s="20"/>
      <c r="F662" s="20"/>
    </row>
    <row r="663" ht="14.25" customHeight="1">
      <c r="A663" s="20"/>
      <c r="B663" s="20"/>
      <c r="C663" s="20"/>
      <c r="D663" s="20"/>
      <c r="E663" s="20"/>
      <c r="F663" s="20"/>
    </row>
    <row r="664" ht="14.25" customHeight="1">
      <c r="A664" s="20"/>
      <c r="B664" s="20"/>
      <c r="C664" s="20"/>
      <c r="D664" s="20"/>
      <c r="E664" s="20"/>
      <c r="F664" s="20"/>
    </row>
    <row r="665" ht="14.25" customHeight="1">
      <c r="A665" s="20"/>
      <c r="B665" s="20"/>
      <c r="C665" s="20"/>
      <c r="D665" s="20"/>
      <c r="E665" s="20"/>
      <c r="F665" s="20"/>
    </row>
    <row r="666" ht="14.25" customHeight="1">
      <c r="A666" s="20"/>
      <c r="B666" s="20"/>
      <c r="C666" s="20"/>
      <c r="D666" s="20"/>
      <c r="E666" s="20"/>
      <c r="F666" s="20"/>
    </row>
    <row r="667" ht="14.25" customHeight="1">
      <c r="A667" s="20"/>
      <c r="B667" s="20"/>
      <c r="C667" s="20"/>
      <c r="D667" s="20"/>
      <c r="E667" s="20"/>
      <c r="F667" s="20"/>
    </row>
    <row r="668" ht="14.25" customHeight="1">
      <c r="A668" s="20"/>
      <c r="B668" s="20"/>
      <c r="C668" s="20"/>
      <c r="D668" s="20"/>
      <c r="E668" s="20"/>
      <c r="F668" s="20"/>
    </row>
    <row r="669" ht="14.25" customHeight="1">
      <c r="A669" s="20"/>
      <c r="B669" s="20"/>
      <c r="C669" s="20"/>
      <c r="D669" s="20"/>
      <c r="E669" s="20"/>
      <c r="F669" s="20"/>
    </row>
    <row r="670" ht="14.25" customHeight="1">
      <c r="A670" s="20"/>
      <c r="B670" s="20"/>
      <c r="C670" s="20"/>
      <c r="D670" s="20"/>
      <c r="E670" s="20"/>
      <c r="F670" s="20"/>
    </row>
    <row r="671" ht="14.25" customHeight="1">
      <c r="A671" s="20"/>
      <c r="B671" s="20"/>
      <c r="C671" s="20"/>
      <c r="D671" s="20"/>
      <c r="E671" s="20"/>
      <c r="F671" s="20"/>
    </row>
    <row r="672" ht="14.25" customHeight="1">
      <c r="A672" s="20"/>
      <c r="B672" s="20"/>
      <c r="C672" s="20"/>
      <c r="D672" s="20"/>
      <c r="E672" s="20"/>
      <c r="F672" s="20"/>
    </row>
    <row r="673" ht="14.25" customHeight="1">
      <c r="A673" s="20"/>
      <c r="B673" s="20"/>
      <c r="C673" s="20"/>
      <c r="D673" s="20"/>
      <c r="E673" s="20"/>
      <c r="F673" s="20"/>
    </row>
    <row r="674" ht="14.25" customHeight="1">
      <c r="A674" s="20"/>
      <c r="B674" s="20"/>
      <c r="C674" s="20"/>
      <c r="D674" s="20"/>
      <c r="E674" s="20"/>
      <c r="F674" s="20"/>
    </row>
    <row r="675" ht="14.25" customHeight="1">
      <c r="A675" s="20"/>
      <c r="B675" s="20"/>
      <c r="C675" s="20"/>
      <c r="D675" s="20"/>
      <c r="E675" s="20"/>
      <c r="F675" s="20"/>
    </row>
    <row r="676" ht="14.25" customHeight="1">
      <c r="A676" s="20"/>
      <c r="B676" s="20"/>
      <c r="C676" s="20"/>
      <c r="D676" s="20"/>
      <c r="E676" s="20"/>
      <c r="F676" s="20"/>
    </row>
    <row r="677" ht="14.25" customHeight="1">
      <c r="A677" s="20"/>
      <c r="B677" s="20"/>
      <c r="C677" s="20"/>
      <c r="D677" s="20"/>
      <c r="E677" s="20"/>
      <c r="F677" s="20"/>
    </row>
    <row r="678" ht="14.25" customHeight="1">
      <c r="A678" s="20"/>
      <c r="B678" s="20"/>
      <c r="C678" s="20"/>
      <c r="D678" s="20"/>
      <c r="E678" s="20"/>
      <c r="F678" s="20"/>
    </row>
    <row r="679" ht="14.25" customHeight="1">
      <c r="A679" s="20"/>
      <c r="B679" s="20"/>
      <c r="C679" s="20"/>
      <c r="D679" s="20"/>
      <c r="E679" s="20"/>
      <c r="F679" s="20"/>
    </row>
    <row r="680" ht="14.25" customHeight="1">
      <c r="A680" s="20"/>
      <c r="B680" s="20"/>
      <c r="C680" s="20"/>
      <c r="D680" s="20"/>
      <c r="E680" s="20"/>
      <c r="F680" s="20"/>
    </row>
    <row r="681" ht="14.25" customHeight="1">
      <c r="A681" s="20"/>
      <c r="B681" s="20"/>
      <c r="C681" s="20"/>
      <c r="D681" s="20"/>
      <c r="E681" s="20"/>
      <c r="F681" s="20"/>
    </row>
    <row r="682" ht="14.25" customHeight="1">
      <c r="A682" s="20"/>
      <c r="B682" s="20"/>
      <c r="C682" s="20"/>
      <c r="D682" s="20"/>
      <c r="E682" s="20"/>
      <c r="F682" s="20"/>
    </row>
    <row r="683" ht="14.25" customHeight="1">
      <c r="A683" s="20"/>
      <c r="B683" s="20"/>
      <c r="C683" s="20"/>
      <c r="D683" s="20"/>
      <c r="E683" s="20"/>
      <c r="F683" s="20"/>
    </row>
    <row r="684" ht="14.25" customHeight="1">
      <c r="A684" s="20"/>
      <c r="B684" s="20"/>
      <c r="C684" s="20"/>
      <c r="D684" s="20"/>
      <c r="E684" s="20"/>
      <c r="F684" s="20"/>
    </row>
    <row r="685" ht="14.25" customHeight="1">
      <c r="A685" s="20"/>
      <c r="B685" s="20"/>
      <c r="C685" s="20"/>
      <c r="D685" s="20"/>
      <c r="E685" s="20"/>
      <c r="F685" s="20"/>
    </row>
    <row r="686" ht="14.25" customHeight="1">
      <c r="A686" s="20"/>
      <c r="B686" s="20"/>
      <c r="C686" s="20"/>
      <c r="D686" s="20"/>
      <c r="E686" s="20"/>
      <c r="F686" s="20"/>
    </row>
    <row r="687" ht="14.25" customHeight="1">
      <c r="A687" s="20"/>
      <c r="B687" s="20"/>
      <c r="C687" s="20"/>
      <c r="D687" s="20"/>
      <c r="E687" s="20"/>
      <c r="F687" s="20"/>
    </row>
    <row r="688" ht="14.25" customHeight="1">
      <c r="A688" s="20"/>
      <c r="B688" s="20"/>
      <c r="C688" s="20"/>
      <c r="D688" s="20"/>
      <c r="E688" s="20"/>
      <c r="F688" s="20"/>
    </row>
    <row r="689" ht="14.25" customHeight="1">
      <c r="A689" s="20"/>
      <c r="B689" s="20"/>
      <c r="C689" s="20"/>
      <c r="D689" s="20"/>
      <c r="E689" s="20"/>
      <c r="F689" s="20"/>
    </row>
    <row r="690" ht="14.25" customHeight="1">
      <c r="A690" s="20"/>
      <c r="B690" s="20"/>
      <c r="C690" s="20"/>
      <c r="D690" s="20"/>
      <c r="E690" s="20"/>
      <c r="F690" s="20"/>
    </row>
    <row r="691" ht="14.25" customHeight="1">
      <c r="A691" s="20"/>
      <c r="B691" s="20"/>
      <c r="C691" s="20"/>
      <c r="D691" s="20"/>
      <c r="E691" s="20"/>
      <c r="F691" s="20"/>
    </row>
    <row r="692" ht="14.25" customHeight="1">
      <c r="A692" s="20"/>
      <c r="B692" s="20"/>
      <c r="C692" s="20"/>
      <c r="D692" s="20"/>
      <c r="E692" s="20"/>
      <c r="F692" s="20"/>
    </row>
    <row r="693" ht="14.25" customHeight="1">
      <c r="A693" s="20"/>
      <c r="B693" s="20"/>
      <c r="C693" s="20"/>
      <c r="D693" s="20"/>
      <c r="E693" s="20"/>
      <c r="F693" s="20"/>
    </row>
    <row r="694" ht="14.25" customHeight="1">
      <c r="A694" s="20"/>
      <c r="B694" s="20"/>
      <c r="C694" s="20"/>
      <c r="D694" s="20"/>
      <c r="E694" s="20"/>
      <c r="F694" s="20"/>
    </row>
    <row r="695" ht="14.25" customHeight="1">
      <c r="A695" s="20"/>
      <c r="B695" s="20"/>
      <c r="C695" s="20"/>
      <c r="D695" s="20"/>
      <c r="E695" s="20"/>
      <c r="F695" s="20"/>
    </row>
    <row r="696" ht="14.25" customHeight="1">
      <c r="A696" s="20"/>
      <c r="B696" s="20"/>
      <c r="C696" s="20"/>
      <c r="D696" s="20"/>
      <c r="E696" s="20"/>
      <c r="F696" s="20"/>
    </row>
    <row r="697" ht="14.25" customHeight="1">
      <c r="A697" s="20"/>
      <c r="B697" s="20"/>
      <c r="C697" s="20"/>
      <c r="D697" s="20"/>
      <c r="E697" s="20"/>
      <c r="F697" s="20"/>
    </row>
    <row r="698" ht="14.25" customHeight="1">
      <c r="A698" s="20"/>
      <c r="B698" s="20"/>
      <c r="C698" s="20"/>
      <c r="D698" s="20"/>
      <c r="E698" s="20"/>
      <c r="F698" s="20"/>
    </row>
    <row r="699" ht="14.25" customHeight="1">
      <c r="A699" s="20"/>
      <c r="B699" s="20"/>
      <c r="C699" s="20"/>
      <c r="D699" s="20"/>
      <c r="E699" s="20"/>
      <c r="F699" s="20"/>
    </row>
    <row r="700" ht="14.25" customHeight="1">
      <c r="A700" s="20"/>
      <c r="B700" s="20"/>
      <c r="C700" s="20"/>
      <c r="D700" s="20"/>
      <c r="E700" s="20"/>
      <c r="F700" s="20"/>
    </row>
    <row r="701" ht="14.25" customHeight="1">
      <c r="A701" s="20"/>
      <c r="B701" s="20"/>
      <c r="C701" s="20"/>
      <c r="D701" s="20"/>
      <c r="E701" s="20"/>
      <c r="F701" s="20"/>
    </row>
    <row r="702" ht="14.25" customHeight="1">
      <c r="A702" s="20"/>
      <c r="B702" s="20"/>
      <c r="C702" s="20"/>
      <c r="D702" s="20"/>
      <c r="E702" s="20"/>
      <c r="F702" s="20"/>
    </row>
    <row r="703" ht="14.25" customHeight="1">
      <c r="A703" s="20"/>
      <c r="B703" s="20"/>
      <c r="C703" s="20"/>
      <c r="D703" s="20"/>
      <c r="E703" s="20"/>
      <c r="F703" s="20"/>
    </row>
    <row r="704" ht="14.25" customHeight="1">
      <c r="A704" s="20"/>
      <c r="B704" s="20"/>
      <c r="C704" s="20"/>
      <c r="D704" s="20"/>
      <c r="E704" s="20"/>
      <c r="F704" s="20"/>
    </row>
    <row r="705" ht="14.25" customHeight="1">
      <c r="A705" s="20"/>
      <c r="B705" s="20"/>
      <c r="C705" s="20"/>
      <c r="D705" s="20"/>
      <c r="E705" s="20"/>
      <c r="F705" s="20"/>
    </row>
    <row r="706" ht="14.25" customHeight="1">
      <c r="A706" s="20"/>
      <c r="B706" s="20"/>
      <c r="C706" s="20"/>
      <c r="D706" s="20"/>
      <c r="E706" s="20"/>
      <c r="F706" s="20"/>
    </row>
    <row r="707" ht="14.25" customHeight="1">
      <c r="A707" s="20"/>
      <c r="B707" s="20"/>
      <c r="C707" s="20"/>
      <c r="D707" s="20"/>
      <c r="E707" s="20"/>
      <c r="F707" s="20"/>
    </row>
    <row r="708" ht="14.25" customHeight="1">
      <c r="A708" s="20"/>
      <c r="B708" s="20"/>
      <c r="C708" s="20"/>
      <c r="D708" s="20"/>
      <c r="E708" s="20"/>
      <c r="F708" s="20"/>
    </row>
    <row r="709" ht="14.25" customHeight="1">
      <c r="A709" s="20"/>
      <c r="B709" s="20"/>
      <c r="C709" s="20"/>
      <c r="D709" s="20"/>
      <c r="E709" s="20"/>
      <c r="F709" s="20"/>
    </row>
    <row r="710" ht="14.25" customHeight="1">
      <c r="A710" s="20"/>
      <c r="B710" s="20"/>
      <c r="C710" s="20"/>
      <c r="D710" s="20"/>
      <c r="E710" s="20"/>
      <c r="F710" s="20"/>
    </row>
    <row r="711" ht="14.25" customHeight="1">
      <c r="A711" s="20"/>
      <c r="B711" s="20"/>
      <c r="C711" s="20"/>
      <c r="D711" s="20"/>
      <c r="E711" s="20"/>
      <c r="F711" s="20"/>
    </row>
    <row r="712" ht="14.25" customHeight="1">
      <c r="A712" s="20"/>
      <c r="B712" s="20"/>
      <c r="C712" s="20"/>
      <c r="D712" s="20"/>
      <c r="E712" s="20"/>
      <c r="F712" s="20"/>
    </row>
    <row r="713" ht="14.25" customHeight="1">
      <c r="A713" s="20"/>
      <c r="B713" s="20"/>
      <c r="C713" s="20"/>
      <c r="D713" s="20"/>
      <c r="E713" s="20"/>
      <c r="F713" s="20"/>
    </row>
    <row r="714" ht="14.25" customHeight="1">
      <c r="A714" s="20"/>
      <c r="B714" s="20"/>
      <c r="C714" s="20"/>
      <c r="D714" s="20"/>
      <c r="E714" s="20"/>
      <c r="F714" s="20"/>
    </row>
    <row r="715" ht="14.25" customHeight="1">
      <c r="A715" s="20"/>
      <c r="B715" s="20"/>
      <c r="C715" s="20"/>
      <c r="D715" s="20"/>
      <c r="E715" s="20"/>
      <c r="F715" s="20"/>
    </row>
    <row r="716" ht="14.25" customHeight="1">
      <c r="A716" s="20"/>
      <c r="B716" s="20"/>
      <c r="C716" s="20"/>
      <c r="D716" s="20"/>
      <c r="E716" s="20"/>
      <c r="F716" s="20"/>
    </row>
    <row r="717" ht="14.25" customHeight="1">
      <c r="A717" s="20"/>
      <c r="B717" s="20"/>
      <c r="C717" s="20"/>
      <c r="D717" s="20"/>
      <c r="E717" s="20"/>
      <c r="F717" s="20"/>
    </row>
    <row r="718" ht="14.25" customHeight="1">
      <c r="A718" s="20"/>
      <c r="B718" s="20"/>
      <c r="C718" s="20"/>
      <c r="D718" s="20"/>
      <c r="E718" s="20"/>
      <c r="F718" s="20"/>
    </row>
    <row r="719" ht="14.25" customHeight="1">
      <c r="A719" s="20"/>
      <c r="B719" s="20"/>
      <c r="C719" s="20"/>
      <c r="D719" s="20"/>
      <c r="E719" s="20"/>
      <c r="F719" s="20"/>
    </row>
    <row r="720" ht="14.25" customHeight="1">
      <c r="A720" s="20"/>
      <c r="B720" s="20"/>
      <c r="C720" s="20"/>
      <c r="D720" s="20"/>
      <c r="E720" s="20"/>
      <c r="F720" s="20"/>
    </row>
    <row r="721" ht="14.25" customHeight="1">
      <c r="A721" s="20"/>
      <c r="B721" s="20"/>
      <c r="C721" s="20"/>
      <c r="D721" s="20"/>
      <c r="E721" s="20"/>
      <c r="F721" s="20"/>
    </row>
    <row r="722" ht="14.25" customHeight="1">
      <c r="A722" s="20"/>
      <c r="B722" s="20"/>
      <c r="C722" s="20"/>
      <c r="D722" s="20"/>
      <c r="E722" s="20"/>
      <c r="F722" s="20"/>
    </row>
    <row r="723" ht="14.25" customHeight="1">
      <c r="A723" s="20"/>
      <c r="B723" s="20"/>
      <c r="C723" s="20"/>
      <c r="D723" s="20"/>
      <c r="E723" s="20"/>
      <c r="F723" s="20"/>
    </row>
    <row r="724" ht="14.25" customHeight="1">
      <c r="A724" s="20"/>
      <c r="B724" s="20"/>
      <c r="C724" s="20"/>
      <c r="D724" s="20"/>
      <c r="E724" s="20"/>
      <c r="F724" s="20"/>
    </row>
    <row r="725" ht="14.25" customHeight="1">
      <c r="A725" s="20"/>
      <c r="B725" s="20"/>
      <c r="C725" s="20"/>
      <c r="D725" s="20"/>
      <c r="E725" s="20"/>
      <c r="F725" s="20"/>
    </row>
    <row r="726" ht="14.25" customHeight="1">
      <c r="A726" s="20"/>
      <c r="B726" s="20"/>
      <c r="C726" s="20"/>
      <c r="D726" s="20"/>
      <c r="E726" s="20"/>
      <c r="F726" s="20"/>
    </row>
    <row r="727" ht="14.25" customHeight="1">
      <c r="A727" s="20"/>
      <c r="B727" s="20"/>
      <c r="C727" s="20"/>
      <c r="D727" s="20"/>
      <c r="E727" s="20"/>
      <c r="F727" s="20"/>
    </row>
    <row r="728" ht="14.25" customHeight="1">
      <c r="A728" s="20"/>
      <c r="B728" s="20"/>
      <c r="C728" s="20"/>
      <c r="D728" s="20"/>
      <c r="E728" s="20"/>
      <c r="F728" s="20"/>
    </row>
    <row r="729" ht="14.25" customHeight="1">
      <c r="A729" s="20"/>
      <c r="B729" s="20"/>
      <c r="C729" s="20"/>
      <c r="D729" s="20"/>
      <c r="E729" s="20"/>
      <c r="F729" s="20"/>
    </row>
    <row r="730" ht="14.25" customHeight="1">
      <c r="A730" s="20"/>
      <c r="B730" s="20"/>
      <c r="C730" s="20"/>
      <c r="D730" s="20"/>
      <c r="E730" s="20"/>
      <c r="F730" s="20"/>
    </row>
    <row r="731" ht="14.25" customHeight="1">
      <c r="A731" s="20"/>
      <c r="B731" s="20"/>
      <c r="C731" s="20"/>
      <c r="D731" s="20"/>
      <c r="E731" s="20"/>
      <c r="F731" s="20"/>
    </row>
    <row r="732" ht="14.25" customHeight="1">
      <c r="A732" s="20"/>
      <c r="B732" s="20"/>
      <c r="C732" s="20"/>
      <c r="D732" s="20"/>
      <c r="E732" s="20"/>
      <c r="F732" s="20"/>
    </row>
    <row r="733" ht="14.25" customHeight="1">
      <c r="A733" s="20"/>
      <c r="B733" s="20"/>
      <c r="C733" s="20"/>
      <c r="D733" s="20"/>
      <c r="E733" s="20"/>
      <c r="F733" s="20"/>
    </row>
    <row r="734" ht="14.25" customHeight="1">
      <c r="A734" s="20"/>
      <c r="B734" s="20"/>
      <c r="C734" s="20"/>
      <c r="D734" s="20"/>
      <c r="E734" s="20"/>
      <c r="F734" s="20"/>
    </row>
    <row r="735" ht="14.25" customHeight="1">
      <c r="A735" s="20"/>
      <c r="B735" s="20"/>
      <c r="C735" s="20"/>
      <c r="D735" s="20"/>
      <c r="E735" s="20"/>
      <c r="F735" s="20"/>
    </row>
    <row r="736" ht="14.25" customHeight="1">
      <c r="A736" s="20"/>
      <c r="B736" s="20"/>
      <c r="C736" s="20"/>
      <c r="D736" s="20"/>
      <c r="E736" s="20"/>
      <c r="F736" s="20"/>
    </row>
    <row r="737" ht="14.25" customHeight="1">
      <c r="A737" s="20"/>
      <c r="B737" s="20"/>
      <c r="C737" s="20"/>
      <c r="D737" s="20"/>
      <c r="E737" s="20"/>
      <c r="F737" s="20"/>
    </row>
    <row r="738" ht="14.25" customHeight="1">
      <c r="A738" s="20"/>
      <c r="B738" s="20"/>
      <c r="C738" s="20"/>
      <c r="D738" s="20"/>
      <c r="E738" s="20"/>
      <c r="F738" s="20"/>
    </row>
    <row r="739" ht="14.25" customHeight="1">
      <c r="A739" s="20"/>
      <c r="B739" s="20"/>
      <c r="C739" s="20"/>
      <c r="D739" s="20"/>
      <c r="E739" s="20"/>
      <c r="F739" s="20"/>
    </row>
    <row r="740" ht="14.25" customHeight="1">
      <c r="A740" s="20"/>
      <c r="B740" s="20"/>
      <c r="C740" s="20"/>
      <c r="D740" s="20"/>
      <c r="E740" s="20"/>
      <c r="F740" s="20"/>
    </row>
    <row r="741" ht="14.25" customHeight="1">
      <c r="A741" s="20"/>
      <c r="B741" s="20"/>
      <c r="C741" s="20"/>
      <c r="D741" s="20"/>
      <c r="E741" s="20"/>
      <c r="F741" s="20"/>
    </row>
    <row r="742" ht="14.25" customHeight="1">
      <c r="A742" s="20"/>
      <c r="B742" s="20"/>
      <c r="C742" s="20"/>
      <c r="D742" s="20"/>
      <c r="E742" s="20"/>
      <c r="F742" s="20"/>
    </row>
    <row r="743" ht="14.25" customHeight="1">
      <c r="A743" s="20"/>
      <c r="B743" s="20"/>
      <c r="C743" s="20"/>
      <c r="D743" s="20"/>
      <c r="E743" s="20"/>
      <c r="F743" s="20"/>
    </row>
    <row r="744" ht="14.25" customHeight="1">
      <c r="A744" s="20"/>
      <c r="B744" s="20"/>
      <c r="C744" s="20"/>
      <c r="D744" s="20"/>
      <c r="E744" s="20"/>
      <c r="F744" s="20"/>
    </row>
    <row r="745" ht="14.25" customHeight="1">
      <c r="A745" s="20"/>
      <c r="B745" s="20"/>
      <c r="C745" s="20"/>
      <c r="D745" s="20"/>
      <c r="E745" s="20"/>
      <c r="F745" s="20"/>
    </row>
    <row r="746" ht="14.25" customHeight="1">
      <c r="A746" s="20"/>
      <c r="B746" s="20"/>
      <c r="C746" s="20"/>
      <c r="D746" s="20"/>
      <c r="E746" s="20"/>
      <c r="F746" s="20"/>
    </row>
    <row r="747" ht="14.25" customHeight="1">
      <c r="A747" s="20"/>
      <c r="B747" s="20"/>
      <c r="C747" s="20"/>
      <c r="D747" s="20"/>
      <c r="E747" s="20"/>
      <c r="F747" s="20"/>
    </row>
    <row r="748" ht="14.25" customHeight="1">
      <c r="A748" s="20"/>
      <c r="B748" s="20"/>
      <c r="C748" s="20"/>
      <c r="D748" s="20"/>
      <c r="E748" s="20"/>
      <c r="F748" s="20"/>
    </row>
    <row r="749" ht="14.25" customHeight="1">
      <c r="A749" s="20"/>
      <c r="B749" s="20"/>
      <c r="C749" s="20"/>
      <c r="D749" s="20"/>
      <c r="E749" s="20"/>
      <c r="F749" s="20"/>
    </row>
    <row r="750" ht="14.25" customHeight="1">
      <c r="A750" s="20"/>
      <c r="B750" s="20"/>
      <c r="C750" s="20"/>
      <c r="D750" s="20"/>
      <c r="E750" s="20"/>
      <c r="F750" s="20"/>
    </row>
    <row r="751" ht="14.25" customHeight="1">
      <c r="A751" s="20"/>
      <c r="B751" s="20"/>
      <c r="C751" s="20"/>
      <c r="D751" s="20"/>
      <c r="E751" s="20"/>
      <c r="F751" s="20"/>
    </row>
    <row r="752" ht="14.25" customHeight="1">
      <c r="A752" s="20"/>
      <c r="B752" s="20"/>
      <c r="C752" s="20"/>
      <c r="D752" s="20"/>
      <c r="E752" s="20"/>
      <c r="F752" s="20"/>
    </row>
    <row r="753" ht="14.25" customHeight="1">
      <c r="A753" s="20"/>
      <c r="B753" s="20"/>
      <c r="C753" s="20"/>
      <c r="D753" s="20"/>
      <c r="E753" s="20"/>
      <c r="F753" s="20"/>
    </row>
    <row r="754" ht="14.25" customHeight="1">
      <c r="A754" s="20"/>
      <c r="B754" s="20"/>
      <c r="C754" s="20"/>
      <c r="D754" s="20"/>
      <c r="E754" s="20"/>
      <c r="F754" s="20"/>
    </row>
    <row r="755" ht="14.25" customHeight="1">
      <c r="A755" s="20"/>
      <c r="B755" s="20"/>
      <c r="C755" s="20"/>
      <c r="D755" s="20"/>
      <c r="E755" s="20"/>
      <c r="F755" s="20"/>
    </row>
    <row r="756" ht="14.25" customHeight="1">
      <c r="A756" s="20"/>
      <c r="B756" s="20"/>
      <c r="C756" s="20"/>
      <c r="D756" s="20"/>
      <c r="E756" s="20"/>
      <c r="F756" s="20"/>
    </row>
    <row r="757" ht="14.25" customHeight="1">
      <c r="A757" s="20"/>
      <c r="B757" s="20"/>
      <c r="C757" s="20"/>
      <c r="D757" s="20"/>
      <c r="E757" s="20"/>
      <c r="F757" s="20"/>
    </row>
    <row r="758" ht="14.25" customHeight="1">
      <c r="A758" s="20"/>
      <c r="B758" s="20"/>
      <c r="C758" s="20"/>
      <c r="D758" s="20"/>
      <c r="E758" s="20"/>
      <c r="F758" s="20"/>
    </row>
    <row r="759" ht="14.25" customHeight="1">
      <c r="A759" s="20"/>
      <c r="B759" s="20"/>
      <c r="C759" s="20"/>
      <c r="D759" s="20"/>
      <c r="E759" s="20"/>
      <c r="F759" s="20"/>
    </row>
    <row r="760" ht="14.25" customHeight="1">
      <c r="A760" s="20"/>
      <c r="B760" s="20"/>
      <c r="C760" s="20"/>
      <c r="D760" s="20"/>
      <c r="E760" s="20"/>
      <c r="F760" s="20"/>
    </row>
    <row r="761" ht="14.25" customHeight="1">
      <c r="A761" s="20"/>
      <c r="B761" s="20"/>
      <c r="C761" s="20"/>
      <c r="D761" s="20"/>
      <c r="E761" s="20"/>
      <c r="F761" s="20"/>
    </row>
    <row r="762" ht="14.25" customHeight="1">
      <c r="A762" s="20"/>
      <c r="B762" s="20"/>
      <c r="C762" s="20"/>
      <c r="D762" s="20"/>
      <c r="E762" s="20"/>
      <c r="F762" s="20"/>
    </row>
    <row r="763" ht="14.25" customHeight="1">
      <c r="A763" s="20"/>
      <c r="B763" s="20"/>
      <c r="C763" s="20"/>
      <c r="D763" s="20"/>
      <c r="E763" s="20"/>
      <c r="F763" s="20"/>
    </row>
    <row r="764" ht="14.25" customHeight="1">
      <c r="A764" s="20"/>
      <c r="B764" s="20"/>
      <c r="C764" s="20"/>
      <c r="D764" s="20"/>
      <c r="E764" s="20"/>
      <c r="F764" s="20"/>
    </row>
    <row r="765" ht="14.25" customHeight="1">
      <c r="A765" s="20"/>
      <c r="B765" s="20"/>
      <c r="C765" s="20"/>
      <c r="D765" s="20"/>
      <c r="E765" s="20"/>
      <c r="F765" s="20"/>
    </row>
    <row r="766" ht="14.25" customHeight="1">
      <c r="A766" s="20"/>
      <c r="B766" s="20"/>
      <c r="C766" s="20"/>
      <c r="D766" s="20"/>
      <c r="E766" s="20"/>
      <c r="F766" s="20"/>
    </row>
    <row r="767" ht="14.25" customHeight="1">
      <c r="A767" s="20"/>
      <c r="B767" s="20"/>
      <c r="C767" s="20"/>
      <c r="D767" s="20"/>
      <c r="E767" s="20"/>
      <c r="F767" s="20"/>
    </row>
    <row r="768" ht="14.25" customHeight="1">
      <c r="A768" s="20"/>
      <c r="B768" s="20"/>
      <c r="C768" s="20"/>
      <c r="D768" s="20"/>
      <c r="E768" s="20"/>
      <c r="F768" s="20"/>
    </row>
    <row r="769" ht="14.25" customHeight="1">
      <c r="A769" s="20"/>
      <c r="B769" s="20"/>
      <c r="C769" s="20"/>
      <c r="D769" s="20"/>
      <c r="E769" s="20"/>
      <c r="F769" s="20"/>
    </row>
    <row r="770" ht="14.25" customHeight="1">
      <c r="A770" s="20"/>
      <c r="B770" s="20"/>
      <c r="C770" s="20"/>
      <c r="D770" s="20"/>
      <c r="E770" s="20"/>
      <c r="F770" s="20"/>
    </row>
    <row r="771" ht="14.25" customHeight="1">
      <c r="A771" s="20"/>
      <c r="B771" s="20"/>
      <c r="C771" s="20"/>
      <c r="D771" s="20"/>
      <c r="E771" s="20"/>
      <c r="F771" s="20"/>
    </row>
    <row r="772" ht="14.25" customHeight="1">
      <c r="A772" s="20"/>
      <c r="B772" s="20"/>
      <c r="C772" s="20"/>
      <c r="D772" s="20"/>
      <c r="E772" s="20"/>
      <c r="F772" s="20"/>
    </row>
    <row r="773" ht="14.25" customHeight="1">
      <c r="A773" s="20"/>
      <c r="B773" s="20"/>
      <c r="C773" s="20"/>
      <c r="D773" s="20"/>
      <c r="E773" s="20"/>
      <c r="F773" s="20"/>
    </row>
    <row r="774" ht="14.25" customHeight="1">
      <c r="A774" s="20"/>
      <c r="B774" s="20"/>
      <c r="C774" s="20"/>
      <c r="D774" s="20"/>
      <c r="E774" s="20"/>
      <c r="F774" s="20"/>
    </row>
    <row r="775" ht="14.25" customHeight="1">
      <c r="A775" s="20"/>
      <c r="B775" s="20"/>
      <c r="C775" s="20"/>
      <c r="D775" s="20"/>
      <c r="E775" s="20"/>
      <c r="F775" s="20"/>
    </row>
    <row r="776" ht="14.25" customHeight="1">
      <c r="A776" s="20"/>
      <c r="B776" s="20"/>
      <c r="C776" s="20"/>
      <c r="D776" s="20"/>
      <c r="E776" s="20"/>
      <c r="F776" s="20"/>
    </row>
    <row r="777" ht="14.25" customHeight="1">
      <c r="A777" s="20"/>
      <c r="B777" s="20"/>
      <c r="C777" s="20"/>
      <c r="D777" s="20"/>
      <c r="E777" s="20"/>
      <c r="F777" s="20"/>
    </row>
    <row r="778" ht="14.25" customHeight="1">
      <c r="A778" s="20"/>
      <c r="B778" s="20"/>
      <c r="C778" s="20"/>
      <c r="D778" s="20"/>
      <c r="E778" s="20"/>
      <c r="F778" s="20"/>
    </row>
    <row r="779" ht="14.25" customHeight="1">
      <c r="A779" s="20"/>
      <c r="B779" s="20"/>
      <c r="C779" s="20"/>
      <c r="D779" s="20"/>
      <c r="E779" s="20"/>
      <c r="F779" s="20"/>
    </row>
    <row r="780" ht="14.25" customHeight="1">
      <c r="A780" s="20"/>
      <c r="B780" s="20"/>
      <c r="C780" s="20"/>
      <c r="D780" s="20"/>
      <c r="E780" s="20"/>
      <c r="F780" s="20"/>
    </row>
    <row r="781" ht="14.25" customHeight="1">
      <c r="A781" s="20"/>
      <c r="B781" s="20"/>
      <c r="C781" s="20"/>
      <c r="D781" s="20"/>
      <c r="E781" s="20"/>
      <c r="F781" s="20"/>
    </row>
    <row r="782" ht="14.25" customHeight="1">
      <c r="A782" s="20"/>
      <c r="B782" s="20"/>
      <c r="C782" s="20"/>
      <c r="D782" s="20"/>
      <c r="E782" s="20"/>
      <c r="F782" s="20"/>
    </row>
    <row r="783" ht="14.25" customHeight="1">
      <c r="A783" s="20"/>
      <c r="B783" s="20"/>
      <c r="C783" s="20"/>
      <c r="D783" s="20"/>
      <c r="E783" s="20"/>
      <c r="F783" s="20"/>
    </row>
    <row r="784" ht="14.25" customHeight="1">
      <c r="A784" s="20"/>
      <c r="B784" s="20"/>
      <c r="C784" s="20"/>
      <c r="D784" s="20"/>
      <c r="E784" s="20"/>
      <c r="F784" s="20"/>
    </row>
    <row r="785" ht="14.25" customHeight="1">
      <c r="A785" s="20"/>
      <c r="B785" s="20"/>
      <c r="C785" s="20"/>
      <c r="D785" s="20"/>
      <c r="E785" s="20"/>
      <c r="F785" s="20"/>
    </row>
    <row r="786" ht="14.25" customHeight="1">
      <c r="A786" s="20"/>
      <c r="B786" s="20"/>
      <c r="C786" s="20"/>
      <c r="D786" s="20"/>
      <c r="E786" s="20"/>
      <c r="F786" s="20"/>
    </row>
    <row r="787" ht="14.25" customHeight="1">
      <c r="A787" s="20"/>
      <c r="B787" s="20"/>
      <c r="C787" s="20"/>
      <c r="D787" s="20"/>
      <c r="E787" s="20"/>
      <c r="F787" s="20"/>
    </row>
    <row r="788" ht="14.25" customHeight="1">
      <c r="A788" s="20"/>
      <c r="B788" s="20"/>
      <c r="C788" s="20"/>
      <c r="D788" s="20"/>
      <c r="E788" s="20"/>
      <c r="F788" s="20"/>
    </row>
    <row r="789" ht="14.25" customHeight="1">
      <c r="A789" s="20"/>
      <c r="B789" s="20"/>
      <c r="C789" s="20"/>
      <c r="D789" s="20"/>
      <c r="E789" s="20"/>
      <c r="F789" s="20"/>
    </row>
    <row r="790" ht="14.25" customHeight="1">
      <c r="A790" s="20"/>
      <c r="B790" s="20"/>
      <c r="C790" s="20"/>
      <c r="D790" s="20"/>
      <c r="E790" s="20"/>
      <c r="F790" s="20"/>
    </row>
    <row r="791" ht="14.25" customHeight="1">
      <c r="A791" s="20"/>
      <c r="B791" s="20"/>
      <c r="C791" s="20"/>
      <c r="D791" s="20"/>
      <c r="E791" s="20"/>
      <c r="F791" s="20"/>
    </row>
    <row r="792" ht="14.25" customHeight="1">
      <c r="A792" s="20"/>
      <c r="B792" s="20"/>
      <c r="C792" s="20"/>
      <c r="D792" s="20"/>
      <c r="E792" s="20"/>
      <c r="F792" s="20"/>
    </row>
    <row r="793" ht="14.25" customHeight="1">
      <c r="A793" s="20"/>
      <c r="B793" s="20"/>
      <c r="C793" s="20"/>
      <c r="D793" s="20"/>
      <c r="E793" s="20"/>
      <c r="F793" s="20"/>
    </row>
    <row r="794" ht="14.25" customHeight="1">
      <c r="A794" s="20"/>
      <c r="B794" s="20"/>
      <c r="C794" s="20"/>
      <c r="D794" s="20"/>
      <c r="E794" s="20"/>
      <c r="F794" s="20"/>
    </row>
    <row r="795" ht="14.25" customHeight="1">
      <c r="A795" s="20"/>
      <c r="B795" s="20"/>
      <c r="C795" s="20"/>
      <c r="D795" s="20"/>
      <c r="E795" s="20"/>
      <c r="F795" s="20"/>
    </row>
    <row r="796" ht="14.25" customHeight="1">
      <c r="A796" s="20"/>
      <c r="B796" s="20"/>
      <c r="C796" s="20"/>
      <c r="D796" s="20"/>
      <c r="E796" s="20"/>
      <c r="F796" s="20"/>
    </row>
    <row r="797" ht="14.25" customHeight="1">
      <c r="A797" s="20"/>
      <c r="B797" s="20"/>
      <c r="C797" s="20"/>
      <c r="D797" s="20"/>
      <c r="E797" s="20"/>
      <c r="F797" s="20"/>
    </row>
    <row r="798" ht="14.25" customHeight="1">
      <c r="A798" s="20"/>
      <c r="B798" s="20"/>
      <c r="C798" s="20"/>
      <c r="D798" s="20"/>
      <c r="E798" s="20"/>
      <c r="F798" s="20"/>
    </row>
    <row r="799" ht="14.25" customHeight="1">
      <c r="A799" s="20"/>
      <c r="B799" s="20"/>
      <c r="C799" s="20"/>
      <c r="D799" s="20"/>
      <c r="E799" s="20"/>
      <c r="F799" s="20"/>
    </row>
    <row r="800" ht="14.25" customHeight="1">
      <c r="A800" s="20"/>
      <c r="B800" s="20"/>
      <c r="C800" s="20"/>
      <c r="D800" s="20"/>
      <c r="E800" s="20"/>
      <c r="F800" s="20"/>
    </row>
    <row r="801" ht="14.25" customHeight="1">
      <c r="A801" s="20"/>
      <c r="B801" s="20"/>
      <c r="C801" s="20"/>
      <c r="D801" s="20"/>
      <c r="E801" s="20"/>
      <c r="F801" s="20"/>
    </row>
    <row r="802" ht="14.25" customHeight="1">
      <c r="A802" s="20"/>
      <c r="B802" s="20"/>
      <c r="C802" s="20"/>
      <c r="D802" s="20"/>
      <c r="E802" s="20"/>
      <c r="F802" s="20"/>
    </row>
    <row r="803" ht="14.25" customHeight="1">
      <c r="A803" s="20"/>
      <c r="B803" s="20"/>
      <c r="C803" s="20"/>
      <c r="D803" s="20"/>
      <c r="E803" s="20"/>
      <c r="F803" s="20"/>
    </row>
    <row r="804" ht="14.25" customHeight="1">
      <c r="A804" s="20"/>
      <c r="B804" s="20"/>
      <c r="C804" s="20"/>
      <c r="D804" s="20"/>
      <c r="E804" s="20"/>
      <c r="F804" s="20"/>
    </row>
    <row r="805" ht="14.25" customHeight="1">
      <c r="A805" s="20"/>
      <c r="B805" s="20"/>
      <c r="C805" s="20"/>
      <c r="D805" s="20"/>
      <c r="E805" s="20"/>
      <c r="F805" s="20"/>
    </row>
    <row r="806" ht="14.25" customHeight="1">
      <c r="A806" s="20"/>
      <c r="B806" s="20"/>
      <c r="C806" s="20"/>
      <c r="D806" s="20"/>
      <c r="E806" s="20"/>
      <c r="F806" s="20"/>
    </row>
    <row r="807" ht="14.25" customHeight="1">
      <c r="A807" s="20"/>
      <c r="B807" s="20"/>
      <c r="C807" s="20"/>
      <c r="D807" s="20"/>
      <c r="E807" s="20"/>
      <c r="F807" s="20"/>
    </row>
    <row r="808" ht="14.25" customHeight="1">
      <c r="A808" s="20"/>
      <c r="B808" s="20"/>
      <c r="C808" s="20"/>
      <c r="D808" s="20"/>
      <c r="E808" s="20"/>
      <c r="F808" s="20"/>
    </row>
    <row r="809" ht="14.25" customHeight="1">
      <c r="A809" s="20"/>
      <c r="B809" s="20"/>
      <c r="C809" s="20"/>
      <c r="D809" s="20"/>
      <c r="E809" s="20"/>
      <c r="F809" s="20"/>
    </row>
    <row r="810" ht="14.25" customHeight="1">
      <c r="A810" s="20"/>
      <c r="B810" s="20"/>
      <c r="C810" s="20"/>
      <c r="D810" s="20"/>
      <c r="E810" s="20"/>
      <c r="F810" s="20"/>
    </row>
    <row r="811" ht="14.25" customHeight="1">
      <c r="A811" s="20"/>
      <c r="B811" s="20"/>
      <c r="C811" s="20"/>
      <c r="D811" s="20"/>
      <c r="E811" s="20"/>
      <c r="F811" s="20"/>
    </row>
    <row r="812" ht="14.25" customHeight="1">
      <c r="A812" s="20"/>
      <c r="B812" s="20"/>
      <c r="C812" s="20"/>
      <c r="D812" s="20"/>
      <c r="E812" s="20"/>
      <c r="F812" s="20"/>
    </row>
    <row r="813" ht="14.25" customHeight="1">
      <c r="A813" s="20"/>
      <c r="B813" s="20"/>
      <c r="C813" s="20"/>
      <c r="D813" s="20"/>
      <c r="E813" s="20"/>
      <c r="F813" s="20"/>
    </row>
    <row r="814" ht="14.25" customHeight="1">
      <c r="A814" s="20"/>
      <c r="B814" s="20"/>
      <c r="C814" s="20"/>
      <c r="D814" s="20"/>
      <c r="E814" s="20"/>
      <c r="F814" s="20"/>
    </row>
    <row r="815" ht="14.25" customHeight="1">
      <c r="A815" s="20"/>
      <c r="B815" s="20"/>
      <c r="C815" s="20"/>
      <c r="D815" s="20"/>
      <c r="E815" s="20"/>
      <c r="F815" s="20"/>
    </row>
    <row r="816" ht="14.25" customHeight="1">
      <c r="A816" s="20"/>
      <c r="B816" s="20"/>
      <c r="C816" s="20"/>
      <c r="D816" s="20"/>
      <c r="E816" s="20"/>
      <c r="F816" s="20"/>
    </row>
    <row r="817" ht="14.25" customHeight="1">
      <c r="A817" s="20"/>
      <c r="B817" s="20"/>
      <c r="C817" s="20"/>
      <c r="D817" s="20"/>
      <c r="E817" s="20"/>
      <c r="F817" s="20"/>
    </row>
    <row r="818" ht="14.25" customHeight="1">
      <c r="A818" s="20"/>
      <c r="B818" s="20"/>
      <c r="C818" s="20"/>
      <c r="D818" s="20"/>
      <c r="E818" s="20"/>
      <c r="F818" s="20"/>
    </row>
    <row r="819" ht="14.25" customHeight="1">
      <c r="A819" s="20"/>
      <c r="B819" s="20"/>
      <c r="C819" s="20"/>
      <c r="D819" s="20"/>
      <c r="E819" s="20"/>
      <c r="F819" s="20"/>
    </row>
    <row r="820" ht="14.25" customHeight="1">
      <c r="A820" s="20"/>
      <c r="B820" s="20"/>
      <c r="C820" s="20"/>
      <c r="D820" s="20"/>
      <c r="E820" s="20"/>
      <c r="F820" s="20"/>
    </row>
    <row r="821" ht="14.25" customHeight="1">
      <c r="A821" s="20"/>
      <c r="B821" s="20"/>
      <c r="C821" s="20"/>
      <c r="D821" s="20"/>
      <c r="E821" s="20"/>
      <c r="F821" s="20"/>
    </row>
    <row r="822" ht="14.25" customHeight="1">
      <c r="A822" s="20"/>
      <c r="B822" s="20"/>
      <c r="C822" s="20"/>
      <c r="D822" s="20"/>
      <c r="E822" s="20"/>
      <c r="F822" s="20"/>
    </row>
    <row r="823" ht="14.25" customHeight="1">
      <c r="A823" s="20"/>
      <c r="B823" s="20"/>
      <c r="C823" s="20"/>
      <c r="D823" s="20"/>
      <c r="E823" s="20"/>
      <c r="F823" s="20"/>
    </row>
    <row r="824" ht="14.25" customHeight="1">
      <c r="A824" s="20"/>
      <c r="B824" s="20"/>
      <c r="C824" s="20"/>
      <c r="D824" s="20"/>
      <c r="E824" s="20"/>
      <c r="F824" s="20"/>
    </row>
    <row r="825" ht="14.25" customHeight="1">
      <c r="A825" s="20"/>
      <c r="B825" s="20"/>
      <c r="C825" s="20"/>
      <c r="D825" s="20"/>
      <c r="E825" s="20"/>
      <c r="F825" s="20"/>
    </row>
    <row r="826" ht="14.25" customHeight="1">
      <c r="A826" s="20"/>
      <c r="B826" s="20"/>
      <c r="C826" s="20"/>
      <c r="D826" s="20"/>
      <c r="E826" s="20"/>
      <c r="F826" s="20"/>
    </row>
    <row r="827" ht="14.25" customHeight="1">
      <c r="A827" s="20"/>
      <c r="B827" s="20"/>
      <c r="C827" s="20"/>
      <c r="D827" s="20"/>
      <c r="E827" s="20"/>
      <c r="F827" s="20"/>
    </row>
    <row r="828" ht="14.25" customHeight="1">
      <c r="A828" s="20"/>
      <c r="B828" s="20"/>
      <c r="C828" s="20"/>
      <c r="D828" s="20"/>
      <c r="E828" s="20"/>
      <c r="F828" s="20"/>
    </row>
    <row r="829" ht="14.25" customHeight="1">
      <c r="A829" s="20"/>
      <c r="B829" s="20"/>
      <c r="C829" s="20"/>
      <c r="D829" s="20"/>
      <c r="E829" s="20"/>
      <c r="F829" s="20"/>
    </row>
    <row r="830" ht="14.25" customHeight="1">
      <c r="A830" s="20"/>
      <c r="B830" s="20"/>
      <c r="C830" s="20"/>
      <c r="D830" s="20"/>
      <c r="E830" s="20"/>
      <c r="F830" s="20"/>
    </row>
    <row r="831" ht="14.25" customHeight="1">
      <c r="A831" s="20"/>
      <c r="B831" s="20"/>
      <c r="C831" s="20"/>
      <c r="D831" s="20"/>
      <c r="E831" s="20"/>
      <c r="F831" s="20"/>
    </row>
    <row r="832" ht="14.25" customHeight="1">
      <c r="A832" s="20"/>
      <c r="B832" s="20"/>
      <c r="C832" s="20"/>
      <c r="D832" s="20"/>
      <c r="E832" s="20"/>
      <c r="F832" s="20"/>
    </row>
    <row r="833" ht="14.25" customHeight="1">
      <c r="A833" s="20"/>
      <c r="B833" s="20"/>
      <c r="C833" s="20"/>
      <c r="D833" s="20"/>
      <c r="E833" s="20"/>
      <c r="F833" s="20"/>
    </row>
    <row r="834" ht="14.25" customHeight="1">
      <c r="A834" s="20"/>
      <c r="B834" s="20"/>
      <c r="C834" s="20"/>
      <c r="D834" s="20"/>
      <c r="E834" s="20"/>
      <c r="F834" s="20"/>
    </row>
    <row r="835" ht="14.25" customHeight="1">
      <c r="A835" s="20"/>
      <c r="B835" s="20"/>
      <c r="C835" s="20"/>
      <c r="D835" s="20"/>
      <c r="E835" s="20"/>
      <c r="F835" s="20"/>
    </row>
    <row r="836" ht="14.25" customHeight="1">
      <c r="A836" s="20"/>
      <c r="B836" s="20"/>
      <c r="C836" s="20"/>
      <c r="D836" s="20"/>
      <c r="E836" s="20"/>
      <c r="F836" s="20"/>
    </row>
    <row r="837" ht="14.25" customHeight="1">
      <c r="A837" s="20"/>
      <c r="B837" s="20"/>
      <c r="C837" s="20"/>
      <c r="D837" s="20"/>
      <c r="E837" s="20"/>
      <c r="F837" s="20"/>
    </row>
    <row r="838" ht="14.25" customHeight="1">
      <c r="A838" s="20"/>
      <c r="B838" s="20"/>
      <c r="C838" s="20"/>
      <c r="D838" s="20"/>
      <c r="E838" s="20"/>
      <c r="F838" s="20"/>
    </row>
    <row r="839" ht="14.25" customHeight="1">
      <c r="A839" s="20"/>
      <c r="B839" s="20"/>
      <c r="C839" s="20"/>
      <c r="D839" s="20"/>
      <c r="E839" s="20"/>
      <c r="F839" s="20"/>
    </row>
    <row r="840" ht="14.25" customHeight="1">
      <c r="A840" s="20"/>
      <c r="B840" s="20"/>
      <c r="C840" s="20"/>
      <c r="D840" s="20"/>
      <c r="E840" s="20"/>
      <c r="F840" s="20"/>
    </row>
    <row r="841" ht="14.25" customHeight="1">
      <c r="A841" s="20"/>
      <c r="B841" s="20"/>
      <c r="C841" s="20"/>
      <c r="D841" s="20"/>
      <c r="E841" s="20"/>
      <c r="F841" s="20"/>
    </row>
    <row r="842" ht="14.25" customHeight="1">
      <c r="A842" s="20"/>
      <c r="B842" s="20"/>
      <c r="C842" s="20"/>
      <c r="D842" s="20"/>
      <c r="E842" s="20"/>
      <c r="F842" s="20"/>
    </row>
    <row r="843" ht="14.25" customHeight="1">
      <c r="A843" s="20"/>
      <c r="B843" s="20"/>
      <c r="C843" s="20"/>
      <c r="D843" s="20"/>
      <c r="E843" s="20"/>
      <c r="F843" s="20"/>
    </row>
    <row r="844" ht="14.25" customHeight="1">
      <c r="A844" s="20"/>
      <c r="B844" s="20"/>
      <c r="C844" s="20"/>
      <c r="D844" s="20"/>
      <c r="E844" s="20"/>
      <c r="F844" s="20"/>
    </row>
    <row r="845" ht="14.25" customHeight="1">
      <c r="A845" s="20"/>
      <c r="B845" s="20"/>
      <c r="C845" s="20"/>
      <c r="D845" s="20"/>
      <c r="E845" s="20"/>
      <c r="F845" s="20"/>
    </row>
    <row r="846" ht="14.25" customHeight="1">
      <c r="A846" s="20"/>
      <c r="B846" s="20"/>
      <c r="C846" s="20"/>
      <c r="D846" s="20"/>
      <c r="E846" s="20"/>
      <c r="F846" s="20"/>
    </row>
    <row r="847" ht="14.25" customHeight="1">
      <c r="A847" s="20"/>
      <c r="B847" s="20"/>
      <c r="C847" s="20"/>
      <c r="D847" s="20"/>
      <c r="E847" s="20"/>
      <c r="F847" s="20"/>
    </row>
    <row r="848" ht="14.25" customHeight="1">
      <c r="A848" s="20"/>
      <c r="B848" s="20"/>
      <c r="C848" s="20"/>
      <c r="D848" s="20"/>
      <c r="E848" s="20"/>
      <c r="F848" s="20"/>
    </row>
    <row r="849" ht="14.25" customHeight="1">
      <c r="A849" s="20"/>
      <c r="B849" s="20"/>
      <c r="C849" s="20"/>
      <c r="D849" s="20"/>
      <c r="E849" s="20"/>
      <c r="F849" s="20"/>
    </row>
    <row r="850" ht="14.25" customHeight="1">
      <c r="A850" s="20"/>
      <c r="B850" s="20"/>
      <c r="C850" s="20"/>
      <c r="D850" s="20"/>
      <c r="E850" s="20"/>
      <c r="F850" s="20"/>
    </row>
    <row r="851" ht="14.25" customHeight="1">
      <c r="A851" s="20"/>
      <c r="B851" s="20"/>
      <c r="C851" s="20"/>
      <c r="D851" s="20"/>
      <c r="E851" s="20"/>
      <c r="F851" s="20"/>
    </row>
    <row r="852" ht="14.25" customHeight="1">
      <c r="A852" s="20"/>
      <c r="B852" s="20"/>
      <c r="C852" s="20"/>
      <c r="D852" s="20"/>
      <c r="E852" s="20"/>
      <c r="F852" s="20"/>
    </row>
    <row r="853" ht="14.25" customHeight="1">
      <c r="A853" s="20"/>
      <c r="B853" s="20"/>
      <c r="C853" s="20"/>
      <c r="D853" s="20"/>
      <c r="E853" s="20"/>
      <c r="F853" s="20"/>
    </row>
    <row r="854" ht="14.25" customHeight="1">
      <c r="A854" s="20"/>
      <c r="B854" s="20"/>
      <c r="C854" s="20"/>
      <c r="D854" s="20"/>
      <c r="E854" s="20"/>
      <c r="F854" s="20"/>
    </row>
    <row r="855" ht="14.25" customHeight="1">
      <c r="A855" s="20"/>
      <c r="B855" s="20"/>
      <c r="C855" s="20"/>
      <c r="D855" s="20"/>
      <c r="E855" s="20"/>
      <c r="F855" s="20"/>
    </row>
    <row r="856" ht="14.25" customHeight="1">
      <c r="A856" s="20"/>
      <c r="B856" s="20"/>
      <c r="C856" s="20"/>
      <c r="D856" s="20"/>
      <c r="E856" s="20"/>
      <c r="F856" s="20"/>
    </row>
    <row r="857" ht="14.25" customHeight="1">
      <c r="A857" s="20"/>
      <c r="B857" s="20"/>
      <c r="C857" s="20"/>
      <c r="D857" s="20"/>
      <c r="E857" s="20"/>
      <c r="F857" s="20"/>
    </row>
    <row r="858" ht="14.25" customHeight="1">
      <c r="A858" s="20"/>
      <c r="B858" s="20"/>
      <c r="C858" s="20"/>
      <c r="D858" s="20"/>
      <c r="E858" s="20"/>
      <c r="F858" s="20"/>
    </row>
    <row r="859" ht="14.25" customHeight="1">
      <c r="A859" s="20"/>
      <c r="B859" s="20"/>
      <c r="C859" s="20"/>
      <c r="D859" s="20"/>
      <c r="E859" s="20"/>
      <c r="F859" s="20"/>
    </row>
    <row r="860" ht="14.25" customHeight="1">
      <c r="A860" s="20"/>
      <c r="B860" s="20"/>
      <c r="C860" s="20"/>
      <c r="D860" s="20"/>
      <c r="E860" s="20"/>
      <c r="F860" s="20"/>
    </row>
    <row r="861" ht="14.25" customHeight="1">
      <c r="A861" s="20"/>
      <c r="B861" s="20"/>
      <c r="C861" s="20"/>
      <c r="D861" s="20"/>
      <c r="E861" s="20"/>
      <c r="F861" s="20"/>
    </row>
    <row r="862" ht="14.25" customHeight="1">
      <c r="A862" s="20"/>
      <c r="B862" s="20"/>
      <c r="C862" s="20"/>
      <c r="D862" s="20"/>
      <c r="E862" s="20"/>
      <c r="F862" s="20"/>
    </row>
    <row r="863" ht="14.25" customHeight="1">
      <c r="A863" s="20"/>
      <c r="B863" s="20"/>
      <c r="C863" s="20"/>
      <c r="D863" s="20"/>
      <c r="E863" s="20"/>
      <c r="F863" s="20"/>
    </row>
    <row r="864" ht="14.25" customHeight="1">
      <c r="A864" s="20"/>
      <c r="B864" s="20"/>
      <c r="C864" s="20"/>
      <c r="D864" s="20"/>
      <c r="E864" s="20"/>
      <c r="F864" s="20"/>
    </row>
    <row r="865" ht="14.25" customHeight="1">
      <c r="A865" s="20"/>
      <c r="B865" s="20"/>
      <c r="C865" s="20"/>
      <c r="D865" s="20"/>
      <c r="E865" s="20"/>
      <c r="F865" s="20"/>
    </row>
    <row r="866" ht="14.25" customHeight="1">
      <c r="A866" s="20"/>
      <c r="B866" s="20"/>
      <c r="C866" s="20"/>
      <c r="D866" s="20"/>
      <c r="E866" s="20"/>
      <c r="F866" s="20"/>
    </row>
    <row r="867" ht="14.25" customHeight="1">
      <c r="A867" s="20"/>
      <c r="B867" s="20"/>
      <c r="C867" s="20"/>
      <c r="D867" s="20"/>
      <c r="E867" s="20"/>
      <c r="F867" s="20"/>
    </row>
    <row r="868" ht="14.25" customHeight="1">
      <c r="A868" s="20"/>
      <c r="B868" s="20"/>
      <c r="C868" s="20"/>
      <c r="D868" s="20"/>
      <c r="E868" s="20"/>
      <c r="F868" s="20"/>
    </row>
    <row r="869" ht="14.25" customHeight="1">
      <c r="A869" s="20"/>
      <c r="B869" s="20"/>
      <c r="C869" s="20"/>
      <c r="D869" s="20"/>
      <c r="E869" s="20"/>
      <c r="F869" s="20"/>
    </row>
    <row r="870" ht="14.25" customHeight="1">
      <c r="A870" s="20"/>
      <c r="B870" s="20"/>
      <c r="C870" s="20"/>
      <c r="D870" s="20"/>
      <c r="E870" s="20"/>
      <c r="F870" s="20"/>
    </row>
    <row r="871" ht="14.25" customHeight="1">
      <c r="A871" s="20"/>
      <c r="B871" s="20"/>
      <c r="C871" s="20"/>
      <c r="D871" s="20"/>
      <c r="E871" s="20"/>
      <c r="F871" s="20"/>
    </row>
    <row r="872" ht="14.25" customHeight="1">
      <c r="A872" s="20"/>
      <c r="B872" s="20"/>
      <c r="C872" s="20"/>
      <c r="D872" s="20"/>
      <c r="E872" s="20"/>
      <c r="F872" s="20"/>
    </row>
    <row r="873" ht="14.25" customHeight="1">
      <c r="A873" s="20"/>
      <c r="B873" s="20"/>
      <c r="C873" s="20"/>
      <c r="D873" s="20"/>
      <c r="E873" s="20"/>
      <c r="F873" s="20"/>
    </row>
    <row r="874" ht="14.25" customHeight="1">
      <c r="A874" s="20"/>
      <c r="B874" s="20"/>
      <c r="C874" s="20"/>
      <c r="D874" s="20"/>
      <c r="E874" s="20"/>
      <c r="F874" s="20"/>
    </row>
    <row r="875" ht="14.25" customHeight="1">
      <c r="A875" s="20"/>
      <c r="B875" s="20"/>
      <c r="C875" s="20"/>
      <c r="D875" s="20"/>
      <c r="E875" s="20"/>
      <c r="F875" s="20"/>
    </row>
    <row r="876" ht="14.25" customHeight="1">
      <c r="A876" s="20"/>
      <c r="B876" s="20"/>
      <c r="C876" s="20"/>
      <c r="D876" s="20"/>
      <c r="E876" s="20"/>
      <c r="F876" s="20"/>
    </row>
    <row r="877" ht="14.25" customHeight="1">
      <c r="A877" s="20"/>
      <c r="B877" s="20"/>
      <c r="C877" s="20"/>
      <c r="D877" s="20"/>
      <c r="E877" s="20"/>
      <c r="F877" s="20"/>
    </row>
    <row r="878" ht="14.25" customHeight="1">
      <c r="A878" s="20"/>
      <c r="B878" s="20"/>
      <c r="C878" s="20"/>
      <c r="D878" s="20"/>
      <c r="E878" s="20"/>
      <c r="F878" s="20"/>
    </row>
    <row r="879" ht="14.25" customHeight="1">
      <c r="A879" s="20"/>
      <c r="B879" s="20"/>
      <c r="C879" s="20"/>
      <c r="D879" s="20"/>
      <c r="E879" s="20"/>
      <c r="F879" s="20"/>
    </row>
    <row r="880" ht="14.25" customHeight="1">
      <c r="A880" s="20"/>
      <c r="B880" s="20"/>
      <c r="C880" s="20"/>
      <c r="D880" s="20"/>
      <c r="E880" s="20"/>
      <c r="F880" s="20"/>
    </row>
    <row r="881" ht="14.25" customHeight="1">
      <c r="A881" s="20"/>
      <c r="B881" s="20"/>
      <c r="C881" s="20"/>
      <c r="D881" s="20"/>
      <c r="E881" s="20"/>
      <c r="F881" s="20"/>
    </row>
    <row r="882" ht="14.25" customHeight="1">
      <c r="A882" s="20"/>
      <c r="B882" s="20"/>
      <c r="C882" s="20"/>
      <c r="D882" s="20"/>
      <c r="E882" s="20"/>
      <c r="F882" s="20"/>
    </row>
    <row r="883" ht="14.25" customHeight="1">
      <c r="A883" s="20"/>
      <c r="B883" s="20"/>
      <c r="C883" s="20"/>
      <c r="D883" s="20"/>
      <c r="E883" s="20"/>
      <c r="F883" s="20"/>
    </row>
    <row r="884" ht="14.25" customHeight="1">
      <c r="A884" s="20"/>
      <c r="B884" s="20"/>
      <c r="C884" s="20"/>
      <c r="D884" s="20"/>
      <c r="E884" s="20"/>
      <c r="F884" s="20"/>
    </row>
    <row r="885" ht="14.25" customHeight="1">
      <c r="A885" s="20"/>
      <c r="B885" s="20"/>
      <c r="C885" s="20"/>
      <c r="D885" s="20"/>
      <c r="E885" s="20"/>
      <c r="F885" s="20"/>
    </row>
    <row r="886" ht="14.25" customHeight="1">
      <c r="A886" s="20"/>
      <c r="B886" s="20"/>
      <c r="C886" s="20"/>
      <c r="D886" s="20"/>
      <c r="E886" s="20"/>
      <c r="F886" s="20"/>
    </row>
    <row r="887" ht="14.25" customHeight="1">
      <c r="A887" s="20"/>
      <c r="B887" s="20"/>
      <c r="C887" s="20"/>
      <c r="D887" s="20"/>
      <c r="E887" s="20"/>
      <c r="F887" s="20"/>
    </row>
    <row r="888" ht="14.25" customHeight="1">
      <c r="A888" s="20"/>
      <c r="B888" s="20"/>
      <c r="C888" s="20"/>
      <c r="D888" s="20"/>
      <c r="E888" s="20"/>
      <c r="F888" s="20"/>
    </row>
    <row r="889" ht="14.25" customHeight="1">
      <c r="A889" s="20"/>
      <c r="B889" s="20"/>
      <c r="C889" s="20"/>
      <c r="D889" s="20"/>
      <c r="E889" s="20"/>
      <c r="F889" s="20"/>
    </row>
    <row r="890" ht="14.25" customHeight="1">
      <c r="A890" s="20"/>
      <c r="B890" s="20"/>
      <c r="C890" s="20"/>
      <c r="D890" s="20"/>
      <c r="E890" s="20"/>
      <c r="F890" s="20"/>
    </row>
    <row r="891" ht="14.25" customHeight="1">
      <c r="A891" s="20"/>
      <c r="B891" s="20"/>
      <c r="C891" s="20"/>
      <c r="D891" s="20"/>
      <c r="E891" s="20"/>
      <c r="F891" s="20"/>
    </row>
    <row r="892" ht="14.25" customHeight="1">
      <c r="A892" s="20"/>
      <c r="B892" s="20"/>
      <c r="C892" s="20"/>
      <c r="D892" s="20"/>
      <c r="E892" s="20"/>
      <c r="F892" s="20"/>
    </row>
    <row r="893" ht="14.25" customHeight="1">
      <c r="A893" s="20"/>
      <c r="B893" s="20"/>
      <c r="C893" s="20"/>
      <c r="D893" s="20"/>
      <c r="E893" s="20"/>
      <c r="F893" s="20"/>
    </row>
    <row r="894" ht="14.25" customHeight="1">
      <c r="A894" s="20"/>
      <c r="B894" s="20"/>
      <c r="C894" s="20"/>
      <c r="D894" s="20"/>
      <c r="E894" s="20"/>
      <c r="F894" s="20"/>
    </row>
    <row r="895" ht="14.25" customHeight="1">
      <c r="A895" s="20"/>
      <c r="B895" s="20"/>
      <c r="C895" s="20"/>
      <c r="D895" s="20"/>
      <c r="E895" s="20"/>
      <c r="F895" s="20"/>
    </row>
    <row r="896" ht="14.25" customHeight="1">
      <c r="A896" s="20"/>
      <c r="B896" s="20"/>
      <c r="C896" s="20"/>
      <c r="D896" s="20"/>
      <c r="E896" s="20"/>
      <c r="F896" s="20"/>
    </row>
    <row r="897" ht="14.25" customHeight="1">
      <c r="A897" s="20"/>
      <c r="B897" s="20"/>
      <c r="C897" s="20"/>
      <c r="D897" s="20"/>
      <c r="E897" s="20"/>
      <c r="F897" s="20"/>
    </row>
    <row r="898" ht="14.25" customHeight="1">
      <c r="A898" s="20"/>
      <c r="B898" s="20"/>
      <c r="C898" s="20"/>
      <c r="D898" s="20"/>
      <c r="E898" s="20"/>
      <c r="F898" s="20"/>
    </row>
    <row r="899" ht="14.25" customHeight="1">
      <c r="A899" s="20"/>
      <c r="B899" s="20"/>
      <c r="C899" s="20"/>
      <c r="D899" s="20"/>
      <c r="E899" s="20"/>
      <c r="F899" s="20"/>
    </row>
    <row r="900" ht="14.25" customHeight="1">
      <c r="A900" s="20"/>
      <c r="B900" s="20"/>
      <c r="C900" s="20"/>
      <c r="D900" s="20"/>
      <c r="E900" s="20"/>
      <c r="F900" s="20"/>
    </row>
    <row r="901" ht="14.25" customHeight="1">
      <c r="A901" s="20"/>
      <c r="B901" s="20"/>
      <c r="C901" s="20"/>
      <c r="D901" s="20"/>
      <c r="E901" s="20"/>
      <c r="F901" s="20"/>
    </row>
    <row r="902" ht="14.25" customHeight="1">
      <c r="A902" s="20"/>
      <c r="B902" s="20"/>
      <c r="C902" s="20"/>
      <c r="D902" s="20"/>
      <c r="E902" s="20"/>
      <c r="F902" s="20"/>
    </row>
    <row r="903" ht="14.25" customHeight="1">
      <c r="A903" s="20"/>
      <c r="B903" s="20"/>
      <c r="C903" s="20"/>
      <c r="D903" s="20"/>
      <c r="E903" s="20"/>
      <c r="F903" s="20"/>
    </row>
    <row r="904" ht="14.25" customHeight="1">
      <c r="A904" s="20"/>
      <c r="B904" s="20"/>
      <c r="C904" s="20"/>
      <c r="D904" s="20"/>
      <c r="E904" s="20"/>
      <c r="F904" s="20"/>
    </row>
    <row r="905" ht="14.25" customHeight="1">
      <c r="A905" s="20"/>
      <c r="B905" s="20"/>
      <c r="C905" s="20"/>
      <c r="D905" s="20"/>
      <c r="E905" s="20"/>
      <c r="F905" s="20"/>
    </row>
    <row r="906" ht="14.25" customHeight="1">
      <c r="A906" s="20"/>
      <c r="B906" s="20"/>
      <c r="C906" s="20"/>
      <c r="D906" s="20"/>
      <c r="E906" s="20"/>
      <c r="F906" s="20"/>
    </row>
    <row r="907" ht="14.25" customHeight="1">
      <c r="A907" s="20"/>
      <c r="B907" s="20"/>
      <c r="C907" s="20"/>
      <c r="D907" s="20"/>
      <c r="E907" s="20"/>
      <c r="F907" s="20"/>
    </row>
    <row r="908" ht="14.25" customHeight="1">
      <c r="A908" s="20"/>
      <c r="B908" s="20"/>
      <c r="C908" s="20"/>
      <c r="D908" s="20"/>
      <c r="E908" s="20"/>
      <c r="F908" s="20"/>
    </row>
    <row r="909" ht="14.25" customHeight="1">
      <c r="A909" s="20"/>
      <c r="B909" s="20"/>
      <c r="C909" s="20"/>
      <c r="D909" s="20"/>
      <c r="E909" s="20"/>
      <c r="F909" s="20"/>
    </row>
    <row r="910" ht="14.25" customHeight="1">
      <c r="A910" s="20"/>
      <c r="B910" s="20"/>
      <c r="C910" s="20"/>
      <c r="D910" s="20"/>
      <c r="E910" s="20"/>
      <c r="F910" s="20"/>
    </row>
    <row r="911" ht="14.25" customHeight="1">
      <c r="A911" s="20"/>
      <c r="B911" s="20"/>
      <c r="C911" s="20"/>
      <c r="D911" s="20"/>
      <c r="E911" s="20"/>
      <c r="F911" s="20"/>
    </row>
    <row r="912" ht="14.25" customHeight="1">
      <c r="A912" s="20"/>
      <c r="B912" s="20"/>
      <c r="C912" s="20"/>
      <c r="D912" s="20"/>
      <c r="E912" s="20"/>
      <c r="F912" s="20"/>
    </row>
    <row r="913" ht="14.25" customHeight="1">
      <c r="A913" s="20"/>
      <c r="B913" s="20"/>
      <c r="C913" s="20"/>
      <c r="D913" s="20"/>
      <c r="E913" s="20"/>
      <c r="F913" s="20"/>
    </row>
    <row r="914" ht="14.25" customHeight="1">
      <c r="A914" s="20"/>
      <c r="B914" s="20"/>
      <c r="C914" s="20"/>
      <c r="D914" s="20"/>
      <c r="E914" s="20"/>
      <c r="F914" s="20"/>
    </row>
    <row r="915" ht="14.25" customHeight="1">
      <c r="A915" s="20"/>
      <c r="B915" s="20"/>
      <c r="C915" s="20"/>
      <c r="D915" s="20"/>
      <c r="E915" s="20"/>
      <c r="F915" s="20"/>
    </row>
    <row r="916" ht="14.25" customHeight="1">
      <c r="A916" s="20"/>
      <c r="B916" s="20"/>
      <c r="C916" s="20"/>
      <c r="D916" s="20"/>
      <c r="E916" s="20"/>
      <c r="F916" s="20"/>
    </row>
    <row r="917" ht="14.25" customHeight="1">
      <c r="A917" s="20"/>
      <c r="B917" s="20"/>
      <c r="C917" s="20"/>
      <c r="D917" s="20"/>
      <c r="E917" s="20"/>
      <c r="F917" s="20"/>
    </row>
    <row r="918" ht="14.25" customHeight="1">
      <c r="A918" s="20"/>
      <c r="B918" s="20"/>
      <c r="C918" s="20"/>
      <c r="D918" s="20"/>
      <c r="E918" s="20"/>
      <c r="F918" s="20"/>
    </row>
    <row r="919" ht="14.25" customHeight="1">
      <c r="A919" s="20"/>
      <c r="B919" s="20"/>
      <c r="C919" s="20"/>
      <c r="D919" s="20"/>
      <c r="E919" s="20"/>
      <c r="F919" s="20"/>
    </row>
    <row r="920" ht="14.25" customHeight="1">
      <c r="A920" s="20"/>
      <c r="B920" s="20"/>
      <c r="C920" s="20"/>
      <c r="D920" s="20"/>
      <c r="E920" s="20"/>
      <c r="F920" s="20"/>
    </row>
    <row r="921" ht="14.25" customHeight="1">
      <c r="A921" s="20"/>
      <c r="B921" s="20"/>
      <c r="C921" s="20"/>
      <c r="D921" s="20"/>
      <c r="E921" s="20"/>
      <c r="F921" s="20"/>
    </row>
    <row r="922" ht="14.25" customHeight="1">
      <c r="A922" s="20"/>
      <c r="B922" s="20"/>
      <c r="C922" s="20"/>
      <c r="D922" s="20"/>
      <c r="E922" s="20"/>
      <c r="F922" s="20"/>
    </row>
    <row r="923" ht="14.25" customHeight="1">
      <c r="A923" s="20"/>
      <c r="B923" s="20"/>
      <c r="C923" s="20"/>
      <c r="D923" s="20"/>
      <c r="E923" s="20"/>
      <c r="F923" s="20"/>
    </row>
    <row r="924" ht="14.25" customHeight="1">
      <c r="A924" s="20"/>
      <c r="B924" s="20"/>
      <c r="C924" s="20"/>
      <c r="D924" s="20"/>
      <c r="E924" s="20"/>
      <c r="F924" s="20"/>
    </row>
    <row r="925" ht="14.25" customHeight="1">
      <c r="A925" s="20"/>
      <c r="B925" s="20"/>
      <c r="C925" s="20"/>
      <c r="D925" s="20"/>
      <c r="E925" s="20"/>
      <c r="F925" s="20"/>
    </row>
    <row r="926" ht="14.25" customHeight="1">
      <c r="A926" s="20"/>
      <c r="B926" s="20"/>
      <c r="C926" s="20"/>
      <c r="D926" s="20"/>
      <c r="E926" s="20"/>
      <c r="F926" s="20"/>
    </row>
    <row r="927" ht="14.25" customHeight="1">
      <c r="A927" s="20"/>
      <c r="B927" s="20"/>
      <c r="C927" s="20"/>
      <c r="D927" s="20"/>
      <c r="E927" s="20"/>
      <c r="F927" s="20"/>
    </row>
    <row r="928" ht="14.25" customHeight="1">
      <c r="A928" s="20"/>
      <c r="B928" s="20"/>
      <c r="C928" s="20"/>
      <c r="D928" s="20"/>
      <c r="E928" s="20"/>
      <c r="F928" s="20"/>
    </row>
    <row r="929" ht="14.25" customHeight="1">
      <c r="A929" s="20"/>
      <c r="B929" s="20"/>
      <c r="C929" s="20"/>
      <c r="D929" s="20"/>
      <c r="E929" s="20"/>
      <c r="F929" s="20"/>
    </row>
    <row r="930" ht="14.25" customHeight="1">
      <c r="A930" s="20"/>
      <c r="B930" s="20"/>
      <c r="C930" s="20"/>
      <c r="D930" s="20"/>
      <c r="E930" s="20"/>
      <c r="F930" s="20"/>
    </row>
    <row r="931" ht="14.25" customHeight="1">
      <c r="A931" s="20"/>
      <c r="B931" s="20"/>
      <c r="C931" s="20"/>
      <c r="D931" s="20"/>
      <c r="E931" s="20"/>
      <c r="F931" s="20"/>
    </row>
    <row r="932" ht="14.25" customHeight="1">
      <c r="A932" s="20"/>
      <c r="B932" s="20"/>
      <c r="C932" s="20"/>
      <c r="D932" s="20"/>
      <c r="E932" s="20"/>
      <c r="F932" s="20"/>
    </row>
    <row r="933" ht="14.25" customHeight="1">
      <c r="A933" s="20"/>
      <c r="B933" s="20"/>
      <c r="C933" s="20"/>
      <c r="D933" s="20"/>
      <c r="E933" s="20"/>
      <c r="F933" s="20"/>
    </row>
    <row r="934" ht="14.25" customHeight="1">
      <c r="A934" s="20"/>
      <c r="B934" s="20"/>
      <c r="C934" s="20"/>
      <c r="D934" s="20"/>
      <c r="E934" s="20"/>
      <c r="F934" s="20"/>
    </row>
    <row r="935" ht="14.25" customHeight="1">
      <c r="A935" s="20"/>
      <c r="B935" s="20"/>
      <c r="C935" s="20"/>
      <c r="D935" s="20"/>
      <c r="E935" s="20"/>
      <c r="F935" s="20"/>
    </row>
    <row r="936" ht="14.25" customHeight="1">
      <c r="A936" s="20"/>
      <c r="B936" s="20"/>
      <c r="C936" s="20"/>
      <c r="D936" s="20"/>
      <c r="E936" s="20"/>
      <c r="F936" s="20"/>
    </row>
    <row r="937" ht="14.25" customHeight="1">
      <c r="A937" s="20"/>
      <c r="B937" s="20"/>
      <c r="C937" s="20"/>
      <c r="D937" s="20"/>
      <c r="E937" s="20"/>
      <c r="F937" s="20"/>
    </row>
    <row r="938" ht="14.25" customHeight="1">
      <c r="A938" s="20"/>
      <c r="B938" s="20"/>
      <c r="C938" s="20"/>
      <c r="D938" s="20"/>
      <c r="E938" s="20"/>
      <c r="F938" s="20"/>
    </row>
    <row r="939" ht="14.25" customHeight="1">
      <c r="A939" s="20"/>
      <c r="B939" s="20"/>
      <c r="C939" s="20"/>
      <c r="D939" s="20"/>
      <c r="E939" s="20"/>
      <c r="F939" s="20"/>
    </row>
    <row r="940" ht="14.25" customHeight="1">
      <c r="A940" s="20"/>
      <c r="B940" s="20"/>
      <c r="C940" s="20"/>
      <c r="D940" s="20"/>
      <c r="E940" s="20"/>
      <c r="F940" s="20"/>
    </row>
    <row r="941" ht="14.25" customHeight="1">
      <c r="A941" s="20"/>
      <c r="B941" s="20"/>
      <c r="C941" s="20"/>
      <c r="D941" s="20"/>
      <c r="E941" s="20"/>
      <c r="F941" s="20"/>
    </row>
    <row r="942" ht="14.25" customHeight="1">
      <c r="A942" s="20"/>
      <c r="B942" s="20"/>
      <c r="C942" s="20"/>
      <c r="D942" s="20"/>
      <c r="E942" s="20"/>
      <c r="F942" s="20"/>
    </row>
    <row r="943" ht="14.25" customHeight="1">
      <c r="A943" s="20"/>
      <c r="B943" s="20"/>
      <c r="C943" s="20"/>
      <c r="D943" s="20"/>
      <c r="E943" s="20"/>
      <c r="F943" s="20"/>
    </row>
    <row r="944" ht="14.25" customHeight="1">
      <c r="A944" s="20"/>
      <c r="B944" s="20"/>
      <c r="C944" s="20"/>
      <c r="D944" s="20"/>
      <c r="E944" s="20"/>
      <c r="F944" s="20"/>
    </row>
    <row r="945" ht="14.25" customHeight="1">
      <c r="A945" s="20"/>
      <c r="B945" s="20"/>
      <c r="C945" s="20"/>
      <c r="D945" s="20"/>
      <c r="E945" s="20"/>
      <c r="F945" s="20"/>
    </row>
    <row r="946" ht="14.25" customHeight="1">
      <c r="A946" s="20"/>
      <c r="B946" s="20"/>
      <c r="C946" s="20"/>
      <c r="D946" s="20"/>
      <c r="E946" s="20"/>
      <c r="F946" s="20"/>
    </row>
    <row r="947" ht="14.25" customHeight="1">
      <c r="A947" s="20"/>
      <c r="B947" s="20"/>
      <c r="C947" s="20"/>
      <c r="D947" s="20"/>
      <c r="E947" s="20"/>
      <c r="F947" s="20"/>
    </row>
    <row r="948" ht="14.25" customHeight="1">
      <c r="A948" s="20"/>
      <c r="B948" s="20"/>
      <c r="C948" s="20"/>
      <c r="D948" s="20"/>
      <c r="E948" s="20"/>
      <c r="F948" s="20"/>
    </row>
    <row r="949" ht="14.25" customHeight="1">
      <c r="A949" s="20"/>
      <c r="B949" s="20"/>
      <c r="C949" s="20"/>
      <c r="D949" s="20"/>
      <c r="E949" s="20"/>
      <c r="F949" s="20"/>
    </row>
    <row r="950" ht="14.25" customHeight="1">
      <c r="A950" s="20"/>
      <c r="B950" s="20"/>
      <c r="C950" s="20"/>
      <c r="D950" s="20"/>
      <c r="E950" s="20"/>
      <c r="F950" s="20"/>
    </row>
    <row r="951" ht="14.25" customHeight="1">
      <c r="A951" s="20"/>
      <c r="B951" s="20"/>
      <c r="C951" s="20"/>
      <c r="D951" s="20"/>
      <c r="E951" s="20"/>
      <c r="F951" s="20"/>
    </row>
    <row r="952" ht="14.25" customHeight="1">
      <c r="A952" s="20"/>
      <c r="B952" s="20"/>
      <c r="C952" s="20"/>
      <c r="D952" s="20"/>
      <c r="E952" s="20"/>
      <c r="F952" s="20"/>
    </row>
    <row r="953" ht="14.25" customHeight="1">
      <c r="A953" s="20"/>
      <c r="B953" s="20"/>
      <c r="C953" s="20"/>
      <c r="D953" s="20"/>
      <c r="E953" s="20"/>
      <c r="F953" s="20"/>
    </row>
    <row r="954" ht="14.25" customHeight="1">
      <c r="A954" s="20"/>
      <c r="B954" s="20"/>
      <c r="C954" s="20"/>
      <c r="D954" s="20"/>
      <c r="E954" s="20"/>
      <c r="F954" s="20"/>
    </row>
    <row r="955" ht="14.25" customHeight="1">
      <c r="A955" s="20"/>
      <c r="B955" s="20"/>
      <c r="C955" s="20"/>
      <c r="D955" s="20"/>
      <c r="E955" s="20"/>
      <c r="F955" s="20"/>
    </row>
    <row r="956" ht="14.25" customHeight="1">
      <c r="A956" s="20"/>
      <c r="B956" s="20"/>
      <c r="C956" s="20"/>
      <c r="D956" s="20"/>
      <c r="E956" s="20"/>
      <c r="F956" s="20"/>
    </row>
    <row r="957" ht="14.25" customHeight="1">
      <c r="A957" s="20"/>
      <c r="B957" s="20"/>
      <c r="C957" s="20"/>
      <c r="D957" s="20"/>
      <c r="E957" s="20"/>
      <c r="F957" s="20"/>
    </row>
    <row r="958" ht="14.25" customHeight="1">
      <c r="A958" s="20"/>
      <c r="B958" s="20"/>
      <c r="C958" s="20"/>
      <c r="D958" s="20"/>
      <c r="E958" s="20"/>
      <c r="F958" s="20"/>
    </row>
    <row r="959" ht="14.25" customHeight="1">
      <c r="A959" s="20"/>
      <c r="B959" s="20"/>
      <c r="C959" s="20"/>
      <c r="D959" s="20"/>
      <c r="E959" s="20"/>
      <c r="F959" s="20"/>
    </row>
    <row r="960" ht="14.25" customHeight="1">
      <c r="A960" s="20"/>
      <c r="B960" s="20"/>
      <c r="C960" s="20"/>
      <c r="D960" s="20"/>
      <c r="E960" s="20"/>
      <c r="F960" s="20"/>
    </row>
    <row r="961" ht="14.25" customHeight="1">
      <c r="A961" s="20"/>
      <c r="B961" s="20"/>
      <c r="C961" s="20"/>
      <c r="D961" s="20"/>
      <c r="E961" s="20"/>
      <c r="F961" s="20"/>
    </row>
    <row r="962" ht="14.25" customHeight="1">
      <c r="A962" s="20"/>
      <c r="B962" s="20"/>
      <c r="C962" s="20"/>
      <c r="D962" s="20"/>
      <c r="E962" s="20"/>
      <c r="F962" s="20"/>
    </row>
    <row r="963" ht="14.25" customHeight="1">
      <c r="A963" s="20"/>
      <c r="B963" s="20"/>
      <c r="C963" s="20"/>
      <c r="D963" s="20"/>
      <c r="E963" s="20"/>
      <c r="F963" s="20"/>
    </row>
    <row r="964" ht="14.25" customHeight="1">
      <c r="A964" s="20"/>
      <c r="B964" s="20"/>
      <c r="C964" s="20"/>
      <c r="D964" s="20"/>
      <c r="E964" s="20"/>
      <c r="F964" s="20"/>
    </row>
    <row r="965" ht="14.25" customHeight="1">
      <c r="A965" s="20"/>
      <c r="B965" s="20"/>
      <c r="C965" s="20"/>
      <c r="D965" s="20"/>
      <c r="E965" s="20"/>
      <c r="F965" s="20"/>
    </row>
    <row r="966" ht="14.25" customHeight="1">
      <c r="A966" s="20"/>
      <c r="B966" s="20"/>
      <c r="C966" s="20"/>
      <c r="D966" s="20"/>
      <c r="E966" s="20"/>
      <c r="F966" s="20"/>
    </row>
    <row r="967" ht="14.25" customHeight="1">
      <c r="A967" s="20"/>
      <c r="B967" s="20"/>
      <c r="C967" s="20"/>
      <c r="D967" s="20"/>
      <c r="E967" s="20"/>
      <c r="F967" s="20"/>
    </row>
    <row r="968" ht="14.25" customHeight="1">
      <c r="A968" s="20"/>
      <c r="B968" s="20"/>
      <c r="C968" s="20"/>
      <c r="D968" s="20"/>
      <c r="E968" s="20"/>
      <c r="F968" s="20"/>
    </row>
    <row r="969" ht="14.25" customHeight="1">
      <c r="A969" s="20"/>
      <c r="B969" s="20"/>
      <c r="C969" s="20"/>
      <c r="D969" s="20"/>
      <c r="E969" s="20"/>
      <c r="F969" s="20"/>
    </row>
    <row r="970" ht="14.25" customHeight="1">
      <c r="A970" s="20"/>
      <c r="B970" s="20"/>
      <c r="C970" s="20"/>
      <c r="D970" s="20"/>
      <c r="E970" s="20"/>
      <c r="F970" s="20"/>
    </row>
    <row r="971" ht="14.25" customHeight="1">
      <c r="A971" s="20"/>
      <c r="B971" s="20"/>
      <c r="C971" s="20"/>
      <c r="D971" s="20"/>
      <c r="E971" s="20"/>
      <c r="F971" s="20"/>
    </row>
    <row r="972" ht="14.25" customHeight="1">
      <c r="A972" s="20"/>
      <c r="B972" s="20"/>
      <c r="C972" s="20"/>
      <c r="D972" s="20"/>
      <c r="E972" s="20"/>
      <c r="F972" s="20"/>
    </row>
    <row r="973" ht="14.25" customHeight="1">
      <c r="A973" s="20"/>
      <c r="B973" s="20"/>
      <c r="C973" s="20"/>
      <c r="D973" s="20"/>
      <c r="E973" s="20"/>
      <c r="F973" s="20"/>
    </row>
    <row r="974" ht="14.25" customHeight="1">
      <c r="A974" s="20"/>
      <c r="B974" s="20"/>
      <c r="C974" s="20"/>
      <c r="D974" s="20"/>
      <c r="E974" s="20"/>
      <c r="F974" s="20"/>
    </row>
    <row r="975" ht="14.25" customHeight="1">
      <c r="A975" s="20"/>
      <c r="B975" s="20"/>
      <c r="C975" s="20"/>
      <c r="D975" s="20"/>
      <c r="E975" s="20"/>
      <c r="F975" s="20"/>
    </row>
    <row r="976" ht="14.25" customHeight="1">
      <c r="A976" s="20"/>
      <c r="B976" s="20"/>
      <c r="C976" s="20"/>
      <c r="D976" s="20"/>
      <c r="E976" s="20"/>
      <c r="F976" s="20"/>
    </row>
    <row r="977" ht="14.25" customHeight="1">
      <c r="A977" s="20"/>
      <c r="B977" s="20"/>
      <c r="C977" s="20"/>
      <c r="D977" s="20"/>
      <c r="E977" s="20"/>
      <c r="F977" s="20"/>
    </row>
    <row r="978" ht="14.25" customHeight="1">
      <c r="A978" s="20"/>
      <c r="B978" s="20"/>
      <c r="C978" s="20"/>
      <c r="D978" s="20"/>
      <c r="E978" s="20"/>
      <c r="F978" s="20"/>
    </row>
    <row r="979" ht="14.25" customHeight="1">
      <c r="A979" s="20"/>
      <c r="B979" s="20"/>
      <c r="C979" s="20"/>
      <c r="D979" s="20"/>
      <c r="E979" s="20"/>
      <c r="F979" s="20"/>
    </row>
    <row r="980" ht="14.25" customHeight="1">
      <c r="A980" s="20"/>
      <c r="B980" s="20"/>
      <c r="C980" s="20"/>
      <c r="D980" s="20"/>
      <c r="E980" s="20"/>
      <c r="F980" s="20"/>
    </row>
    <row r="981" ht="14.25" customHeight="1">
      <c r="A981" s="20"/>
      <c r="B981" s="20"/>
      <c r="C981" s="20"/>
      <c r="D981" s="20"/>
      <c r="E981" s="20"/>
      <c r="F981" s="20"/>
    </row>
    <row r="982" ht="14.25" customHeight="1">
      <c r="A982" s="20"/>
      <c r="B982" s="20"/>
      <c r="C982" s="20"/>
      <c r="D982" s="20"/>
      <c r="E982" s="20"/>
      <c r="F982" s="20"/>
    </row>
    <row r="983" ht="14.25" customHeight="1">
      <c r="A983" s="20"/>
      <c r="B983" s="20"/>
      <c r="C983" s="20"/>
      <c r="D983" s="20"/>
      <c r="E983" s="20"/>
      <c r="F983" s="20"/>
    </row>
    <row r="984" ht="14.25" customHeight="1">
      <c r="A984" s="20"/>
      <c r="B984" s="20"/>
      <c r="C984" s="20"/>
      <c r="D984" s="20"/>
      <c r="E984" s="20"/>
      <c r="F984" s="20"/>
    </row>
    <row r="985" ht="14.25" customHeight="1">
      <c r="A985" s="20"/>
      <c r="B985" s="20"/>
      <c r="C985" s="20"/>
      <c r="D985" s="20"/>
      <c r="E985" s="20"/>
      <c r="F985" s="20"/>
    </row>
    <row r="986" ht="14.25" customHeight="1">
      <c r="A986" s="20"/>
      <c r="B986" s="20"/>
      <c r="C986" s="20"/>
      <c r="D986" s="20"/>
      <c r="E986" s="20"/>
      <c r="F986" s="20"/>
    </row>
    <row r="987" ht="14.25" customHeight="1">
      <c r="A987" s="20"/>
      <c r="B987" s="20"/>
      <c r="C987" s="20"/>
      <c r="D987" s="20"/>
      <c r="E987" s="20"/>
      <c r="F987" s="20"/>
    </row>
    <row r="988" ht="14.25" customHeight="1">
      <c r="A988" s="20"/>
      <c r="B988" s="20"/>
      <c r="C988" s="20"/>
      <c r="D988" s="20"/>
      <c r="E988" s="20"/>
      <c r="F988" s="20"/>
    </row>
    <row r="989" ht="14.25" customHeight="1">
      <c r="A989" s="20"/>
      <c r="B989" s="20"/>
      <c r="C989" s="20"/>
      <c r="D989" s="20"/>
      <c r="E989" s="20"/>
      <c r="F989" s="20"/>
    </row>
    <row r="990" ht="14.25" customHeight="1">
      <c r="A990" s="20"/>
      <c r="B990" s="20"/>
      <c r="C990" s="20"/>
      <c r="D990" s="20"/>
      <c r="E990" s="20"/>
      <c r="F990" s="20"/>
    </row>
    <row r="991" ht="14.25" customHeight="1">
      <c r="A991" s="20"/>
      <c r="B991" s="20"/>
      <c r="C991" s="20"/>
      <c r="D991" s="20"/>
      <c r="E991" s="20"/>
      <c r="F991" s="20"/>
    </row>
    <row r="992" ht="14.25" customHeight="1">
      <c r="A992" s="20"/>
      <c r="B992" s="20"/>
      <c r="C992" s="20"/>
      <c r="D992" s="20"/>
      <c r="E992" s="20"/>
      <c r="F992" s="20"/>
    </row>
    <row r="993" ht="14.25" customHeight="1">
      <c r="A993" s="20"/>
      <c r="B993" s="20"/>
      <c r="C993" s="20"/>
      <c r="D993" s="20"/>
      <c r="E993" s="20"/>
      <c r="F993" s="20"/>
    </row>
    <row r="994" ht="14.25" customHeight="1">
      <c r="A994" s="20"/>
      <c r="B994" s="20"/>
      <c r="C994" s="20"/>
      <c r="D994" s="20"/>
      <c r="E994" s="20"/>
      <c r="F994" s="20"/>
    </row>
    <row r="995" ht="14.25" customHeight="1">
      <c r="A995" s="20"/>
      <c r="B995" s="20"/>
      <c r="C995" s="20"/>
      <c r="D995" s="20"/>
      <c r="E995" s="20"/>
      <c r="F995" s="20"/>
    </row>
    <row r="996" ht="14.25" customHeight="1">
      <c r="A996" s="20"/>
      <c r="B996" s="20"/>
      <c r="C996" s="20"/>
      <c r="D996" s="20"/>
      <c r="E996" s="20"/>
      <c r="F996" s="20"/>
    </row>
    <row r="997" ht="14.25" customHeight="1">
      <c r="A997" s="20"/>
      <c r="B997" s="20"/>
      <c r="C997" s="20"/>
      <c r="D997" s="20"/>
      <c r="E997" s="20"/>
      <c r="F997" s="20"/>
    </row>
    <row r="998" ht="14.25" customHeight="1">
      <c r="A998" s="20"/>
      <c r="B998" s="20"/>
      <c r="C998" s="20"/>
      <c r="D998" s="20"/>
      <c r="E998" s="20"/>
      <c r="F998" s="20"/>
    </row>
    <row r="999" ht="14.25" customHeight="1">
      <c r="A999" s="20"/>
      <c r="B999" s="20"/>
      <c r="C999" s="20"/>
      <c r="D999" s="20"/>
      <c r="E999" s="20"/>
      <c r="F999" s="20"/>
    </row>
    <row r="1000" ht="14.25" customHeight="1">
      <c r="A1000" s="20"/>
      <c r="B1000" s="20"/>
      <c r="C1000" s="20"/>
      <c r="D1000" s="20"/>
      <c r="E1000" s="20"/>
      <c r="F1000" s="20"/>
    </row>
  </sheetData>
  <mergeCells count="1">
    <mergeCell ref="A9:F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DC3E6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11.0"/>
    <col customWidth="1" min="4" max="4" width="14.0"/>
    <col customWidth="1" min="5" max="6" width="18.0"/>
    <col customWidth="1" min="7" max="26" width="8.57"/>
  </cols>
  <sheetData>
    <row r="1" ht="21.75" customHeight="1">
      <c r="A1" s="66" t="s">
        <v>223</v>
      </c>
      <c r="B1" s="67"/>
      <c r="C1" s="67"/>
      <c r="D1" s="67"/>
      <c r="E1" s="67"/>
      <c r="F1" s="67"/>
    </row>
    <row r="2" ht="25.5" customHeight="1">
      <c r="A2" s="32" t="s">
        <v>224</v>
      </c>
      <c r="B2" s="68" t="s">
        <v>201</v>
      </c>
      <c r="C2" s="32" t="s">
        <v>203</v>
      </c>
      <c r="D2" s="32" t="s">
        <v>225</v>
      </c>
      <c r="E2" s="32" t="s">
        <v>226</v>
      </c>
      <c r="F2" s="32" t="s">
        <v>227</v>
      </c>
    </row>
    <row r="3" ht="19.5" customHeight="1">
      <c r="A3" s="69" t="str">
        <f>IFERROR(IF('Nodos y Métricas'!A4="","",'Nodos y Métricas'!A4),"")</f>
        <v>M1-P1</v>
      </c>
      <c r="B3" s="70" t="str">
        <f>IFERROR(IF('Nodos y Métricas'!B4="","",'Nodos y Métricas'!B4),"")</f>
        <v>Travesías del Conocimiento</v>
      </c>
      <c r="C3" s="71" t="str">
        <f>IFERROR(IF('Nodos y Métricas'!C4="","",'Nodos y Métricas'!C4),"")</f>
        <v>M1</v>
      </c>
      <c r="D3" s="71">
        <f>IFERROR(IF('Nodos y Métricas'!H4="","",'Nodos y Métricas'!H4),"")</f>
        <v>47</v>
      </c>
      <c r="E3" s="71" t="str">
        <f>IFERROR(IF('Nodos y Métricas'!I4="","",'Nodos y Métricas'!I4),"")</f>
        <v>Alta</v>
      </c>
      <c r="F3" s="71" t="str">
        <f>IFERROR(IF('Nodos y Métricas'!J4="","",'Nodos y Métricas'!J4),"")</f>
        <v>Prioridad Alta</v>
      </c>
    </row>
    <row r="4" ht="19.5" customHeight="1">
      <c r="A4" s="72" t="str">
        <f>IFERROR(IF('Nodos y Métricas'!A5="","",'Nodos y Métricas'!A5),"")</f>
        <v>M1-P2</v>
      </c>
      <c r="B4" s="73" t="str">
        <f>IFERROR(IF('Nodos y Métricas'!B5="","",'Nodos y Métricas'!B5),"")</f>
        <v>Aseguramiento de la Calidad (SIAC)</v>
      </c>
      <c r="C4" s="74" t="str">
        <f>IFERROR(IF('Nodos y Métricas'!C5="","",'Nodos y Métricas'!C5),"")</f>
        <v>M1</v>
      </c>
      <c r="D4" s="74">
        <f>IFERROR(IF('Nodos y Métricas'!H5="","",'Nodos y Métricas'!H5),"")</f>
        <v>27</v>
      </c>
      <c r="E4" s="74" t="str">
        <f>IFERROR(IF('Nodos y Métricas'!I5="","",'Nodos y Métricas'!I5),"")</f>
        <v>Media</v>
      </c>
      <c r="F4" s="74" t="str">
        <f>IFERROR(IF('Nodos y Métricas'!J5="","",'Nodos y Métricas'!J5),"")</f>
        <v>Prioridad Media</v>
      </c>
    </row>
    <row r="5" ht="19.5" customHeight="1">
      <c r="A5" s="69" t="str">
        <f>IFERROR(IF('Nodos y Métricas'!A6="","",'Nodos y Métricas'!A6),"")</f>
        <v>M1-P3</v>
      </c>
      <c r="B5" s="70" t="str">
        <f>IFERROR(IF('Nodos y Métricas'!B6="","",'Nodos y Métricas'!B6),"")</f>
        <v>Tránsito Vital</v>
      </c>
      <c r="C5" s="71" t="str">
        <f>IFERROR(IF('Nodos y Métricas'!C6="","",'Nodos y Métricas'!C6),"")</f>
        <v>M1</v>
      </c>
      <c r="D5" s="71">
        <f>IFERROR(IF('Nodos y Métricas'!H6="","",'Nodos y Métricas'!H6),"")</f>
        <v>28</v>
      </c>
      <c r="E5" s="71" t="str">
        <f>IFERROR(IF('Nodos y Métricas'!I6="","",'Nodos y Métricas'!I6),"")</f>
        <v>Alta</v>
      </c>
      <c r="F5" s="71" t="str">
        <f>IFERROR(IF('Nodos y Métricas'!J6="","",'Nodos y Métricas'!J6),"")</f>
        <v>Prioridad Alta</v>
      </c>
    </row>
    <row r="6" ht="19.5" customHeight="1">
      <c r="A6" s="72" t="str">
        <f>IFERROR(IF('Nodos y Métricas'!A7="","",'Nodos y Métricas'!A7),"")</f>
        <v>M1-P4</v>
      </c>
      <c r="B6" s="73" t="str">
        <f>IFERROR(IF('Nodos y Métricas'!B7="","",'Nodos y Métricas'!B7),"")</f>
        <v>Voces y Saberes</v>
      </c>
      <c r="C6" s="74" t="str">
        <f>IFERROR(IF('Nodos y Métricas'!C7="","",'Nodos y Métricas'!C7),"")</f>
        <v>M1</v>
      </c>
      <c r="D6" s="74">
        <f>IFERROR(IF('Nodos y Métricas'!H7="","",'Nodos y Métricas'!H7),"")</f>
        <v>27</v>
      </c>
      <c r="E6" s="74" t="str">
        <f>IFERROR(IF('Nodos y Métricas'!I7="","",'Nodos y Métricas'!I7),"")</f>
        <v>Media</v>
      </c>
      <c r="F6" s="74" t="str">
        <f>IFERROR(IF('Nodos y Métricas'!J7="","",'Nodos y Métricas'!J7),"")</f>
        <v>Prioridad Media</v>
      </c>
    </row>
    <row r="7" ht="19.5" customHeight="1">
      <c r="A7" s="69" t="str">
        <f>IFERROR(IF('Nodos y Métricas'!A8="","",'Nodos y Métricas'!A8),"")</f>
        <v>M1-P5</v>
      </c>
      <c r="B7" s="70" t="str">
        <f>IFERROR(IF('Nodos y Métricas'!B8="","",'Nodos y Métricas'!B8),"")</f>
        <v>Trayectorias de Futuro</v>
      </c>
      <c r="C7" s="71" t="str">
        <f>IFERROR(IF('Nodos y Métricas'!C8="","",'Nodos y Métricas'!C8),"")</f>
        <v>M1</v>
      </c>
      <c r="D7" s="71">
        <f>IFERROR(IF('Nodos y Métricas'!H8="","",'Nodos y Métricas'!H8),"")</f>
        <v>14</v>
      </c>
      <c r="E7" s="71" t="str">
        <f>IFERROR(IF('Nodos y Métricas'!I8="","",'Nodos y Métricas'!I8),"")</f>
        <v>Baja</v>
      </c>
      <c r="F7" s="71" t="str">
        <f>IFERROR(IF('Nodos y Métricas'!J8="","",'Nodos y Métricas'!J8),"")</f>
        <v>Prioridad Baja</v>
      </c>
    </row>
    <row r="8" ht="19.5" customHeight="1">
      <c r="A8" s="72" t="str">
        <f>IFERROR(IF('Nodos y Métricas'!A9="","",'Nodos y Métricas'!A9),"")</f>
        <v>M2-P1</v>
      </c>
      <c r="B8" s="73" t="str">
        <f>IFERROR(IF('Nodos y Métricas'!B9="","",'Nodos y Métricas'!B9),"")</f>
        <v>Redes del Conocimiento</v>
      </c>
      <c r="C8" s="74" t="str">
        <f>IFERROR(IF('Nodos y Métricas'!C9="","",'Nodos y Métricas'!C9),"")</f>
        <v>M2</v>
      </c>
      <c r="D8" s="74">
        <f>IFERROR(IF('Nodos y Métricas'!H9="","",'Nodos y Métricas'!H9),"")</f>
        <v>27</v>
      </c>
      <c r="E8" s="74" t="str">
        <f>IFERROR(IF('Nodos y Métricas'!I9="","",'Nodos y Métricas'!I9),"")</f>
        <v>Media</v>
      </c>
      <c r="F8" s="74" t="str">
        <f>IFERROR(IF('Nodos y Métricas'!J9="","",'Nodos y Métricas'!J9),"")</f>
        <v>Prioridad Media</v>
      </c>
    </row>
    <row r="9" ht="19.5" customHeight="1">
      <c r="A9" s="69" t="str">
        <f>IFERROR(IF('Nodos y Métricas'!A10="","",'Nodos y Métricas'!A10),"")</f>
        <v>M2-P2</v>
      </c>
      <c r="B9" s="70" t="str">
        <f>IFERROR(IF('Nodos y Métricas'!B10="","",'Nodos y Métricas'!B10),"")</f>
        <v>Misiones Académicas y Científicas</v>
      </c>
      <c r="C9" s="71" t="str">
        <f>IFERROR(IF('Nodos y Métricas'!C10="","",'Nodos y Métricas'!C10),"")</f>
        <v>M2</v>
      </c>
      <c r="D9" s="71">
        <f>IFERROR(IF('Nodos y Métricas'!H10="","",'Nodos y Métricas'!H10),"")</f>
        <v>32</v>
      </c>
      <c r="E9" s="71" t="str">
        <f>IFERROR(IF('Nodos y Métricas'!I10="","",'Nodos y Métricas'!I10),"")</f>
        <v>Alta</v>
      </c>
      <c r="F9" s="71" t="str">
        <f>IFERROR(IF('Nodos y Métricas'!J10="","",'Nodos y Métricas'!J10),"")</f>
        <v>Prioridad Alta</v>
      </c>
    </row>
    <row r="10" ht="19.5" customHeight="1">
      <c r="A10" s="72" t="str">
        <f>IFERROR(IF('Nodos y Métricas'!A11="","",'Nodos y Métricas'!A11),"")</f>
        <v>M2-P3</v>
      </c>
      <c r="B10" s="73" t="str">
        <f>IFERROR(IF('Nodos y Métricas'!B11="","",'Nodos y Métricas'!B11),"")</f>
        <v>Laboratorios Vivos de Innovación</v>
      </c>
      <c r="C10" s="74" t="str">
        <f>IFERROR(IF('Nodos y Métricas'!C11="","",'Nodos y Métricas'!C11),"")</f>
        <v>M2</v>
      </c>
      <c r="D10" s="74">
        <f>IFERROR(IF('Nodos y Métricas'!H11="","",'Nodos y Métricas'!H11),"")</f>
        <v>32</v>
      </c>
      <c r="E10" s="74" t="str">
        <f>IFERROR(IF('Nodos y Métricas'!I11="","",'Nodos y Métricas'!I11),"")</f>
        <v>Alta</v>
      </c>
      <c r="F10" s="74" t="str">
        <f>IFERROR(IF('Nodos y Métricas'!J11="","",'Nodos y Métricas'!J11),"")</f>
        <v>Prioridad Alta</v>
      </c>
    </row>
    <row r="11" ht="19.5" customHeight="1">
      <c r="A11" s="69" t="str">
        <f>IFERROR(IF('Nodos y Métricas'!A12="","",'Nodos y Métricas'!A12),"")</f>
        <v>M3-P1</v>
      </c>
      <c r="B11" s="70" t="str">
        <f>IFERROR(IF('Nodos y Métricas'!B12="","",'Nodos y Métricas'!B12),"")</f>
        <v>Viabilidad Financiera</v>
      </c>
      <c r="C11" s="71" t="str">
        <f>IFERROR(IF('Nodos y Métricas'!C12="","",'Nodos y Métricas'!C12),"")</f>
        <v>M3</v>
      </c>
      <c r="D11" s="71">
        <f>IFERROR(IF('Nodos y Métricas'!H12="","",'Nodos y Métricas'!H12),"")</f>
        <v>31</v>
      </c>
      <c r="E11" s="71" t="str">
        <f>IFERROR(IF('Nodos y Métricas'!I12="","",'Nodos y Métricas'!I12),"")</f>
        <v>Alta</v>
      </c>
      <c r="F11" s="71" t="str">
        <f>IFERROR(IF('Nodos y Métricas'!J12="","",'Nodos y Métricas'!J12),"")</f>
        <v>Prioridad Alta</v>
      </c>
    </row>
    <row r="12" ht="19.5" customHeight="1">
      <c r="A12" s="72" t="str">
        <f>IFERROR(IF('Nodos y Métricas'!A13="","",'Nodos y Métricas'!A13),"")</f>
        <v>M3-P2</v>
      </c>
      <c r="B12" s="73" t="str">
        <f>IFERROR(IF('Nodos y Métricas'!B13="","",'Nodos y Métricas'!B13),"")</f>
        <v>Autorregulación Institucional</v>
      </c>
      <c r="C12" s="74" t="str">
        <f>IFERROR(IF('Nodos y Métricas'!C13="","",'Nodos y Métricas'!C13),"")</f>
        <v>M3</v>
      </c>
      <c r="D12" s="74">
        <f>IFERROR(IF('Nodos y Métricas'!H13="","",'Nodos y Métricas'!H13),"")</f>
        <v>24</v>
      </c>
      <c r="E12" s="74" t="str">
        <f>IFERROR(IF('Nodos y Métricas'!I13="","",'Nodos y Métricas'!I13),"")</f>
        <v>Media</v>
      </c>
      <c r="F12" s="74" t="str">
        <f>IFERROR(IF('Nodos y Métricas'!J13="","",'Nodos y Métricas'!J13),"")</f>
        <v>Prioridad Media</v>
      </c>
    </row>
    <row r="13" ht="19.5" customHeight="1">
      <c r="A13" s="69" t="str">
        <f>IFERROR(IF('Nodos y Métricas'!A14="","",'Nodos y Métricas'!A14),"")</f>
        <v>M3-P3</v>
      </c>
      <c r="B13" s="70" t="str">
        <f>IFERROR(IF('Nodos y Métricas'!B14="","",'Nodos y Métricas'!B14),"")</f>
        <v>Alianzas y Cooperación para la Sostenibilidad</v>
      </c>
      <c r="C13" s="71" t="str">
        <f>IFERROR(IF('Nodos y Métricas'!C14="","",'Nodos y Métricas'!C14),"")</f>
        <v>M3</v>
      </c>
      <c r="D13" s="71">
        <f>IFERROR(IF('Nodos y Métricas'!H14="","",'Nodos y Métricas'!H14),"")</f>
        <v>19</v>
      </c>
      <c r="E13" s="71" t="str">
        <f>IFERROR(IF('Nodos y Métricas'!I14="","",'Nodos y Métricas'!I14),"")</f>
        <v>Baja</v>
      </c>
      <c r="F13" s="71" t="str">
        <f>IFERROR(IF('Nodos y Métricas'!J14="","",'Nodos y Métricas'!J14),"")</f>
        <v>Prioridad Baja</v>
      </c>
    </row>
    <row r="14" ht="19.5" customHeight="1">
      <c r="A14" s="72" t="str">
        <f>IFERROR(IF('Nodos y Métricas'!A15="","",'Nodos y Métricas'!A15),"")</f>
        <v>M4-P1</v>
      </c>
      <c r="B14" s="73" t="str">
        <f>IFERROR(IF('Nodos y Métricas'!B15="","",'Nodos y Métricas'!B15),"")</f>
        <v>Cuidado Colectivo</v>
      </c>
      <c r="C14" s="74" t="str">
        <f>IFERROR(IF('Nodos y Métricas'!C15="","",'Nodos y Métricas'!C15),"")</f>
        <v>M4</v>
      </c>
      <c r="D14" s="74">
        <f>IFERROR(IF('Nodos y Métricas'!H15="","",'Nodos y Métricas'!H15),"")</f>
        <v>16</v>
      </c>
      <c r="E14" s="74" t="str">
        <f>IFERROR(IF('Nodos y Métricas'!I15="","",'Nodos y Métricas'!I15),"")</f>
        <v>Baja</v>
      </c>
      <c r="F14" s="74" t="str">
        <f>IFERROR(IF('Nodos y Métricas'!J15="","",'Nodos y Métricas'!J15),"")</f>
        <v>Prioridad Baja</v>
      </c>
    </row>
    <row r="15" ht="19.5" customHeight="1">
      <c r="A15" s="69" t="str">
        <f>IFERROR(IF('Nodos y Métricas'!A16="","",'Nodos y Métricas'!A16),"")</f>
        <v>M4-P2</v>
      </c>
      <c r="B15" s="70" t="str">
        <f>IFERROR(IF('Nodos y Métricas'!B16="","",'Nodos y Métricas'!B16),"")</f>
        <v>Cultura del Servicio</v>
      </c>
      <c r="C15" s="71" t="str">
        <f>IFERROR(IF('Nodos y Métricas'!C16="","",'Nodos y Métricas'!C16),"")</f>
        <v>M4</v>
      </c>
      <c r="D15" s="71">
        <f>IFERROR(IF('Nodos y Métricas'!H16="","",'Nodos y Métricas'!H16),"")</f>
        <v>21</v>
      </c>
      <c r="E15" s="71" t="str">
        <f>IFERROR(IF('Nodos y Métricas'!I16="","",'Nodos y Métricas'!I16),"")</f>
        <v>Baja</v>
      </c>
      <c r="F15" s="71" t="str">
        <f>IFERROR(IF('Nodos y Métricas'!J16="","",'Nodos y Métricas'!J16),"")</f>
        <v>Prioridad Baja</v>
      </c>
    </row>
    <row r="16" ht="19.5" customHeight="1">
      <c r="A16" s="72" t="str">
        <f>IFERROR(IF('Nodos y Métricas'!A17="","",'Nodos y Métricas'!A17),"")</f>
        <v>M5-P1</v>
      </c>
      <c r="B16" s="73" t="str">
        <f>IFERROR(IF('Nodos y Métricas'!B17="","",'Nodos y Métricas'!B17),"")</f>
        <v>Madurez Digital Institucional</v>
      </c>
      <c r="C16" s="74" t="str">
        <f>IFERROR(IF('Nodos y Métricas'!C17="","",'Nodos y Métricas'!C17),"")</f>
        <v>M5</v>
      </c>
      <c r="D16" s="74">
        <f>IFERROR(IF('Nodos y Métricas'!H17="","",'Nodos y Métricas'!H17),"")</f>
        <v>22</v>
      </c>
      <c r="E16" s="74" t="str">
        <f>IFERROR(IF('Nodos y Métricas'!I17="","",'Nodos y Métricas'!I17),"")</f>
        <v>Media</v>
      </c>
      <c r="F16" s="74" t="str">
        <f>IFERROR(IF('Nodos y Métricas'!J17="","",'Nodos y Métricas'!J17),"")</f>
        <v>Prioridad Media</v>
      </c>
    </row>
    <row r="17" ht="19.5" customHeight="1">
      <c r="A17" s="69" t="str">
        <f>IFERROR(IF('Nodos y Métricas'!A18="","",'Nodos y Métricas'!A18),"")</f>
        <v>M5-P2</v>
      </c>
      <c r="B17" s="70" t="str">
        <f>IFERROR(IF('Nodos y Métricas'!B18="","",'Nodos y Métricas'!B18),"")</f>
        <v>Infraestructura Tecnológica</v>
      </c>
      <c r="C17" s="71" t="str">
        <f>IFERROR(IF('Nodos y Métricas'!C18="","",'Nodos y Métricas'!C18),"")</f>
        <v>M5</v>
      </c>
      <c r="D17" s="71">
        <f>IFERROR(IF('Nodos y Métricas'!H18="","",'Nodos y Métricas'!H18),"")</f>
        <v>15</v>
      </c>
      <c r="E17" s="71" t="str">
        <f>IFERROR(IF('Nodos y Métricas'!I18="","",'Nodos y Métricas'!I18),"")</f>
        <v>Baja</v>
      </c>
      <c r="F17" s="71" t="str">
        <f>IFERROR(IF('Nodos y Métricas'!J18="","",'Nodos y Métricas'!J18),"")</f>
        <v>Prioridad Baja</v>
      </c>
    </row>
    <row r="18" ht="19.5" customHeight="1">
      <c r="A18" s="72" t="str">
        <f>IFERROR(IF('Nodos y Métricas'!A19="","",'Nodos y Métricas'!A19),"")</f>
        <v>M5-P3</v>
      </c>
      <c r="B18" s="73" t="str">
        <f>IFERROR(IF('Nodos y Métricas'!B19="","",'Nodos y Métricas'!B19),"")</f>
        <v>Herramientas Digitales</v>
      </c>
      <c r="C18" s="74" t="str">
        <f>IFERROR(IF('Nodos y Métricas'!C19="","",'Nodos y Métricas'!C19),"")</f>
        <v>M5</v>
      </c>
      <c r="D18" s="74">
        <f>IFERROR(IF('Nodos y Métricas'!H19="","",'Nodos y Métricas'!H19),"")</f>
        <v>49</v>
      </c>
      <c r="E18" s="74" t="str">
        <f>IFERROR(IF('Nodos y Métricas'!I19="","",'Nodos y Métricas'!I19),"")</f>
        <v>Alta</v>
      </c>
      <c r="F18" s="74" t="str">
        <f>IFERROR(IF('Nodos y Métricas'!J19="","",'Nodos y Métricas'!J19),"")</f>
        <v>Prioridad Alta</v>
      </c>
    </row>
    <row r="19" ht="19.5" customHeight="1">
      <c r="A19" s="69" t="str">
        <f>IFERROR(IF('Nodos y Métricas'!A20="","",'Nodos y Métricas'!A20),"")</f>
        <v>M5-P4</v>
      </c>
      <c r="B19" s="70" t="str">
        <f>IFERROR(IF('Nodos y Métricas'!B20="","",'Nodos y Métricas'!B20),"")</f>
        <v>Universidad Ágil</v>
      </c>
      <c r="C19" s="71" t="str">
        <f>IFERROR(IF('Nodos y Métricas'!C20="","",'Nodos y Métricas'!C20),"")</f>
        <v>M5</v>
      </c>
      <c r="D19" s="71">
        <f>IFERROR(IF('Nodos y Métricas'!H20="","",'Nodos y Métricas'!H20),"")</f>
        <v>29</v>
      </c>
      <c r="E19" s="71" t="str">
        <f>IFERROR(IF('Nodos y Métricas'!I20="","",'Nodos y Métricas'!I20),"")</f>
        <v>Media</v>
      </c>
      <c r="F19" s="71" t="str">
        <f>IFERROR(IF('Nodos y Métricas'!J20="","",'Nodos y Métricas'!J20),"")</f>
        <v>Prioridad Media</v>
      </c>
    </row>
    <row r="20" ht="7.5" customHeight="1">
      <c r="A20" s="75"/>
      <c r="B20" s="75"/>
      <c r="C20" s="75"/>
      <c r="D20" s="75"/>
      <c r="E20" s="75"/>
      <c r="F20" s="75"/>
    </row>
    <row r="21" ht="21.75" customHeight="1">
      <c r="A21" s="66" t="s">
        <v>228</v>
      </c>
      <c r="B21" s="67"/>
      <c r="C21" s="67"/>
      <c r="D21" s="67"/>
      <c r="E21" s="67"/>
      <c r="F21" s="75"/>
    </row>
    <row r="22" ht="25.5" customHeight="1">
      <c r="A22" s="32" t="s">
        <v>229</v>
      </c>
      <c r="B22" s="32" t="s">
        <v>230</v>
      </c>
      <c r="C22" s="68" t="s">
        <v>231</v>
      </c>
      <c r="D22" s="32" t="s">
        <v>31</v>
      </c>
      <c r="E22" s="32" t="s">
        <v>32</v>
      </c>
      <c r="F22" s="75"/>
    </row>
    <row r="23" ht="18.0" customHeight="1">
      <c r="A23" s="69" t="str">
        <f>IFERROR(IF(ISERROR(FIND("-P",Relaciones!A4)),"",IF(Relaciones!A4="","",Relaciones!A4)),"")</f>
        <v>M1-P1</v>
      </c>
      <c r="B23" s="69" t="str">
        <f>IFERROR(IF(A23="","",IF(Relaciones!D4="","",Relaciones!D4)),"")</f>
        <v>M3-P1</v>
      </c>
      <c r="C23" s="70" t="str">
        <f>IFERROR(IF(A23="","",IF(Relaciones!G4="","",Relaciones!G4)),"")</f>
        <v>Habilitadora</v>
      </c>
      <c r="D23" s="71" t="str">
        <f>IFERROR(IF(A23="","",IF(Relaciones!H4="","",Relaciones!H4)),"")</f>
        <v>Media</v>
      </c>
      <c r="E23" s="71">
        <f>IFERROR(IF(A23="","",IF(Relaciones!I4="","",Relaciones!I4)),"")</f>
        <v>3</v>
      </c>
      <c r="F23" s="75"/>
    </row>
    <row r="24" ht="18.0" customHeight="1">
      <c r="A24" s="72" t="str">
        <f>IFERROR(IF(ISERROR(FIND("-P",Relaciones!A5)),"",IF(Relaciones!A5="","",Relaciones!A5)),"")</f>
        <v>M1-P1</v>
      </c>
      <c r="B24" s="72" t="str">
        <f>IFERROR(IF(A24="","",IF(Relaciones!D5="","",Relaciones!D5)),"")</f>
        <v>M1-P5</v>
      </c>
      <c r="C24" s="73" t="str">
        <f>IFERROR(IF(A24="","",IF(Relaciones!G5="","",Relaciones!G5)),"")</f>
        <v>Habilitadora</v>
      </c>
      <c r="D24" s="74" t="str">
        <f>IFERROR(IF(A24="","",IF(Relaciones!H5="","",Relaciones!H5)),"")</f>
        <v>Alta</v>
      </c>
      <c r="E24" s="74">
        <f>IFERROR(IF(A24="","",IF(Relaciones!I5="","",Relaciones!I5)),"")</f>
        <v>5</v>
      </c>
      <c r="F24" s="75"/>
    </row>
    <row r="25" ht="18.0" customHeight="1">
      <c r="A25" s="69" t="str">
        <f>IFERROR(IF(ISERROR(FIND("-P",Relaciones!A6)),"",IF(Relaciones!A6="","",Relaciones!A6)),"")</f>
        <v>M1-P1</v>
      </c>
      <c r="B25" s="69" t="str">
        <f>IFERROR(IF(A25="","",IF(Relaciones!D6="","",Relaciones!D6)),"")</f>
        <v>M1-P3</v>
      </c>
      <c r="C25" s="70" t="str">
        <f>IFERROR(IF(A25="","",IF(Relaciones!G6="","",Relaciones!G6)),"")</f>
        <v>Complementariedad</v>
      </c>
      <c r="D25" s="71" t="str">
        <f>IFERROR(IF(A25="","",IF(Relaciones!H6="","",Relaciones!H6)),"")</f>
        <v>Alta</v>
      </c>
      <c r="E25" s="71">
        <f>IFERROR(IF(A25="","",IF(Relaciones!I6="","",Relaciones!I6)),"")</f>
        <v>5</v>
      </c>
      <c r="F25" s="75"/>
    </row>
    <row r="26" ht="18.0" customHeight="1">
      <c r="A26" s="72" t="str">
        <f>IFERROR(IF(ISERROR(FIND("-P",Relaciones!A7)),"",IF(Relaciones!A7="","",Relaciones!A7)),"")</f>
        <v>M1-P1</v>
      </c>
      <c r="B26" s="72" t="str">
        <f>IFERROR(IF(A26="","",IF(Relaciones!D7="","",Relaciones!D7)),"")</f>
        <v>M5-P3</v>
      </c>
      <c r="C26" s="73" t="str">
        <f>IFERROR(IF(A26="","",IF(Relaciones!G7="","",Relaciones!G7)),"")</f>
        <v>Complementariedad</v>
      </c>
      <c r="D26" s="74" t="str">
        <f>IFERROR(IF(A26="","",IF(Relaciones!H7="","",Relaciones!H7)),"")</f>
        <v>Alta</v>
      </c>
      <c r="E26" s="74">
        <f>IFERROR(IF(A26="","",IF(Relaciones!I7="","",Relaciones!I7)),"")</f>
        <v>5</v>
      </c>
      <c r="F26" s="75"/>
    </row>
    <row r="27" ht="18.0" customHeight="1">
      <c r="A27" s="69" t="str">
        <f>IFERROR(IF(ISERROR(FIND("-P",Relaciones!A8)),"",IF(Relaciones!A8="","",Relaciones!A8)),"")</f>
        <v>M1-P1</v>
      </c>
      <c r="B27" s="69" t="str">
        <f>IFERROR(IF(A27="","",IF(Relaciones!D8="","",Relaciones!D8)),"")</f>
        <v>M2-P2</v>
      </c>
      <c r="C27" s="70" t="str">
        <f>IFERROR(IF(A27="","",IF(Relaciones!G8="","",Relaciones!G8)),"")</f>
        <v>Complementariedad</v>
      </c>
      <c r="D27" s="71" t="str">
        <f>IFERROR(IF(A27="","",IF(Relaciones!H8="","",Relaciones!H8)),"")</f>
        <v>Media</v>
      </c>
      <c r="E27" s="71">
        <f>IFERROR(IF(A27="","",IF(Relaciones!I8="","",Relaciones!I8)),"")</f>
        <v>3</v>
      </c>
      <c r="F27" s="75"/>
    </row>
    <row r="28" ht="18.0" customHeight="1">
      <c r="A28" s="72" t="str">
        <f>IFERROR(IF(ISERROR(FIND("-P",Relaciones!A9)),"",IF(Relaciones!A9="","",Relaciones!A9)),"")</f>
        <v>M1-P1</v>
      </c>
      <c r="B28" s="72" t="str">
        <f>IFERROR(IF(A28="","",IF(Relaciones!D9="","",Relaciones!D9)),"")</f>
        <v>M2-P3</v>
      </c>
      <c r="C28" s="73" t="str">
        <f>IFERROR(IF(A28="","",IF(Relaciones!G9="","",Relaciones!G9)),"")</f>
        <v>Complementariedad</v>
      </c>
      <c r="D28" s="74" t="str">
        <f>IFERROR(IF(A28="","",IF(Relaciones!H9="","",Relaciones!H9)),"")</f>
        <v>Media</v>
      </c>
      <c r="E28" s="74">
        <f>IFERROR(IF(A28="","",IF(Relaciones!I9="","",Relaciones!I9)),"")</f>
        <v>3</v>
      </c>
      <c r="F28" s="75"/>
    </row>
    <row r="29" ht="18.0" customHeight="1">
      <c r="A29" s="69" t="str">
        <f>IFERROR(IF(ISERROR(FIND("-P",Relaciones!A10)),"",IF(Relaciones!A10="","",Relaciones!A10)),"")</f>
        <v>M1-P2</v>
      </c>
      <c r="B29" s="69" t="str">
        <f>IFERROR(IF(A29="","",IF(Relaciones!D10="","",Relaciones!D10)),"")</f>
        <v>M1-P1</v>
      </c>
      <c r="C29" s="70" t="str">
        <f>IFERROR(IF(A29="","",IF(Relaciones!G10="","",Relaciones!G10)),"")</f>
        <v>Habilitadora</v>
      </c>
      <c r="D29" s="71" t="str">
        <f>IFERROR(IF(A29="","",IF(Relaciones!H10="","",Relaciones!H10)),"")</f>
        <v>Alta</v>
      </c>
      <c r="E29" s="71">
        <f>IFERROR(IF(A29="","",IF(Relaciones!I10="","",Relaciones!I10)),"")</f>
        <v>5</v>
      </c>
      <c r="F29" s="75"/>
    </row>
    <row r="30" ht="18.0" customHeight="1">
      <c r="A30" s="72" t="str">
        <f>IFERROR(IF(ISERROR(FIND("-P",Relaciones!A11)),"",IF(Relaciones!A11="","",Relaciones!A11)),"")</f>
        <v>M1-P2</v>
      </c>
      <c r="B30" s="72" t="str">
        <f>IFERROR(IF(A30="","",IF(Relaciones!D11="","",Relaciones!D11)),"")</f>
        <v>M1-P3</v>
      </c>
      <c r="C30" s="73" t="str">
        <f>IFERROR(IF(A30="","",IF(Relaciones!G11="","",Relaciones!G11)),"")</f>
        <v>Habilitadora</v>
      </c>
      <c r="D30" s="74" t="str">
        <f>IFERROR(IF(A30="","",IF(Relaciones!H11="","",Relaciones!H11)),"")</f>
        <v>Media</v>
      </c>
      <c r="E30" s="74">
        <f>IFERROR(IF(A30="","",IF(Relaciones!I11="","",Relaciones!I11)),"")</f>
        <v>3</v>
      </c>
      <c r="F30" s="75"/>
    </row>
    <row r="31" ht="18.0" customHeight="1">
      <c r="A31" s="69" t="str">
        <f>IFERROR(IF(ISERROR(FIND("-P",Relaciones!A12)),"",IF(Relaciones!A12="","",Relaciones!A12)),"")</f>
        <v>M1-P2</v>
      </c>
      <c r="B31" s="69" t="str">
        <f>IFERROR(IF(A31="","",IF(Relaciones!D12="","",Relaciones!D12)),"")</f>
        <v>M1-P4</v>
      </c>
      <c r="C31" s="70" t="str">
        <f>IFERROR(IF(A31="","",IF(Relaciones!G12="","",Relaciones!G12)),"")</f>
        <v>Habilitadora</v>
      </c>
      <c r="D31" s="71" t="str">
        <f>IFERROR(IF(A31="","",IF(Relaciones!H12="","",Relaciones!H12)),"")</f>
        <v>Media</v>
      </c>
      <c r="E31" s="71">
        <f>IFERROR(IF(A31="","",IF(Relaciones!I12="","",Relaciones!I12)),"")</f>
        <v>3</v>
      </c>
      <c r="F31" s="75"/>
    </row>
    <row r="32" ht="18.0" customHeight="1">
      <c r="A32" s="72" t="str">
        <f>IFERROR(IF(ISERROR(FIND("-P",Relaciones!A13)),"",IF(Relaciones!A13="","",Relaciones!A13)),"")</f>
        <v>M1-P2</v>
      </c>
      <c r="B32" s="72" t="str">
        <f>IFERROR(IF(A32="","",IF(Relaciones!D13="","",Relaciones!D13)),"")</f>
        <v>M3-P2</v>
      </c>
      <c r="C32" s="73" t="str">
        <f>IFERROR(IF(A32="","",IF(Relaciones!G13="","",Relaciones!G13)),"")</f>
        <v>Complementariedad</v>
      </c>
      <c r="D32" s="74" t="str">
        <f>IFERROR(IF(A32="","",IF(Relaciones!H13="","",Relaciones!H13)),"")</f>
        <v>Alta</v>
      </c>
      <c r="E32" s="74">
        <f>IFERROR(IF(A32="","",IF(Relaciones!I13="","",Relaciones!I13)),"")</f>
        <v>5</v>
      </c>
      <c r="F32" s="75"/>
    </row>
    <row r="33" ht="18.0" customHeight="1">
      <c r="A33" s="69" t="str">
        <f>IFERROR(IF(ISERROR(FIND("-P",Relaciones!A14)),"",IF(Relaciones!A14="","",Relaciones!A14)),"")</f>
        <v>M1-P3</v>
      </c>
      <c r="B33" s="69" t="str">
        <f>IFERROR(IF(A33="","",IF(Relaciones!D14="","",Relaciones!D14)),"")</f>
        <v>M4-P1</v>
      </c>
      <c r="C33" s="70" t="str">
        <f>IFERROR(IF(A33="","",IF(Relaciones!G14="","",Relaciones!G14)),"")</f>
        <v>Complementariedad</v>
      </c>
      <c r="D33" s="71" t="str">
        <f>IFERROR(IF(A33="","",IF(Relaciones!H14="","",Relaciones!H14)),"")</f>
        <v>Media</v>
      </c>
      <c r="E33" s="71">
        <f>IFERROR(IF(A33="","",IF(Relaciones!I14="","",Relaciones!I14)),"")</f>
        <v>3</v>
      </c>
      <c r="F33" s="75"/>
    </row>
    <row r="34" ht="18.0" customHeight="1">
      <c r="A34" s="72" t="str">
        <f>IFERROR(IF(ISERROR(FIND("-P",Relaciones!A15)),"",IF(Relaciones!A15="","",Relaciones!A15)),"")</f>
        <v>M1-P3</v>
      </c>
      <c r="B34" s="72" t="str">
        <f>IFERROR(IF(A34="","",IF(Relaciones!D15="","",Relaciones!D15)),"")</f>
        <v>M1-P5</v>
      </c>
      <c r="C34" s="73" t="str">
        <f>IFERROR(IF(A34="","",IF(Relaciones!G15="","",Relaciones!G15)),"")</f>
        <v>Complementariedad</v>
      </c>
      <c r="D34" s="74" t="str">
        <f>IFERROR(IF(A34="","",IF(Relaciones!H15="","",Relaciones!H15)),"")</f>
        <v>Media</v>
      </c>
      <c r="E34" s="74">
        <f>IFERROR(IF(A34="","",IF(Relaciones!I15="","",Relaciones!I15)),"")</f>
        <v>3</v>
      </c>
      <c r="F34" s="75"/>
    </row>
    <row r="35" ht="18.0" customHeight="1">
      <c r="A35" s="69" t="str">
        <f>IFERROR(IF(ISERROR(FIND("-P",Relaciones!A16)),"",IF(Relaciones!A16="","",Relaciones!A16)),"")</f>
        <v>M1-P4</v>
      </c>
      <c r="B35" s="69" t="str">
        <f>IFERROR(IF(A35="","",IF(Relaciones!D16="","",Relaciones!D16)),"")</f>
        <v>M1-P1</v>
      </c>
      <c r="C35" s="70" t="str">
        <f>IFERROR(IF(A35="","",IF(Relaciones!G16="","",Relaciones!G16)),"")</f>
        <v>Habilitadora</v>
      </c>
      <c r="D35" s="71" t="str">
        <f>IFERROR(IF(A35="","",IF(Relaciones!H16="","",Relaciones!H16)),"")</f>
        <v>Alta</v>
      </c>
      <c r="E35" s="71">
        <f>IFERROR(IF(A35="","",IF(Relaciones!I16="","",Relaciones!I16)),"")</f>
        <v>5</v>
      </c>
      <c r="F35" s="75"/>
    </row>
    <row r="36" ht="18.0" customHeight="1">
      <c r="A36" s="72" t="str">
        <f>IFERROR(IF(ISERROR(FIND("-P",Relaciones!A17)),"",IF(Relaciones!A17="","",Relaciones!A17)),"")</f>
        <v>M1-P4</v>
      </c>
      <c r="B36" s="72" t="str">
        <f>IFERROR(IF(A36="","",IF(Relaciones!D17="","",Relaciones!D17)),"")</f>
        <v>M5-P3</v>
      </c>
      <c r="C36" s="73" t="str">
        <f>IFERROR(IF(A36="","",IF(Relaciones!G17="","",Relaciones!G17)),"")</f>
        <v>Complementariedad</v>
      </c>
      <c r="D36" s="74" t="str">
        <f>IFERROR(IF(A36="","",IF(Relaciones!H17="","",Relaciones!H17)),"")</f>
        <v>Alta</v>
      </c>
      <c r="E36" s="74">
        <f>IFERROR(IF(A36="","",IF(Relaciones!I17="","",Relaciones!I17)),"")</f>
        <v>5</v>
      </c>
      <c r="F36" s="75"/>
    </row>
    <row r="37" ht="18.0" customHeight="1">
      <c r="A37" s="69" t="str">
        <f>IFERROR(IF(ISERROR(FIND("-P",Relaciones!A18)),"",IF(Relaciones!A18="","",Relaciones!A18)),"")</f>
        <v>M1-P4</v>
      </c>
      <c r="B37" s="69" t="str">
        <f>IFERROR(IF(A37="","",IF(Relaciones!D18="","",Relaciones!D18)),"")</f>
        <v>M2-P1</v>
      </c>
      <c r="C37" s="70" t="str">
        <f>IFERROR(IF(A37="","",IF(Relaciones!G18="","",Relaciones!G18)),"")</f>
        <v>Habilitadora</v>
      </c>
      <c r="D37" s="71" t="str">
        <f>IFERROR(IF(A37="","",IF(Relaciones!H18="","",Relaciones!H18)),"")</f>
        <v>Media</v>
      </c>
      <c r="E37" s="71">
        <f>IFERROR(IF(A37="","",IF(Relaciones!I18="","",Relaciones!I18)),"")</f>
        <v>3</v>
      </c>
      <c r="F37" s="75"/>
    </row>
    <row r="38" ht="18.0" customHeight="1">
      <c r="A38" s="72" t="str">
        <f>IFERROR(IF(ISERROR(FIND("-P",Relaciones!A19)),"",IF(Relaciones!A19="","",Relaciones!A19)),"")</f>
        <v>M1-P4</v>
      </c>
      <c r="B38" s="72" t="str">
        <f>IFERROR(IF(A38="","",IF(Relaciones!D19="","",Relaciones!D19)),"")</f>
        <v>M2-P2</v>
      </c>
      <c r="C38" s="73" t="str">
        <f>IFERROR(IF(A38="","",IF(Relaciones!G19="","",Relaciones!G19)),"")</f>
        <v>Habilitadora</v>
      </c>
      <c r="D38" s="74" t="str">
        <f>IFERROR(IF(A38="","",IF(Relaciones!H19="","",Relaciones!H19)),"")</f>
        <v>Media</v>
      </c>
      <c r="E38" s="74">
        <f>IFERROR(IF(A38="","",IF(Relaciones!I19="","",Relaciones!I19)),"")</f>
        <v>3</v>
      </c>
      <c r="F38" s="75"/>
    </row>
    <row r="39" ht="18.0" customHeight="1">
      <c r="A39" s="69" t="str">
        <f>IFERROR(IF(ISERROR(FIND("-P",Relaciones!A20)),"",IF(Relaciones!A20="","",Relaciones!A20)),"")</f>
        <v>M1-P4</v>
      </c>
      <c r="B39" s="69" t="str">
        <f>IFERROR(IF(A39="","",IF(Relaciones!D20="","",Relaciones!D20)),"")</f>
        <v>M2-P3</v>
      </c>
      <c r="C39" s="70" t="str">
        <f>IFERROR(IF(A39="","",IF(Relaciones!G20="","",Relaciones!G20)),"")</f>
        <v>Habilitadora</v>
      </c>
      <c r="D39" s="71" t="str">
        <f>IFERROR(IF(A39="","",IF(Relaciones!H20="","",Relaciones!H20)),"")</f>
        <v>Media</v>
      </c>
      <c r="E39" s="71">
        <f>IFERROR(IF(A39="","",IF(Relaciones!I20="","",Relaciones!I20)),"")</f>
        <v>3</v>
      </c>
      <c r="F39" s="75"/>
    </row>
    <row r="40" ht="18.0" customHeight="1">
      <c r="A40" s="72" t="str">
        <f>IFERROR(IF(ISERROR(FIND("-P",Relaciones!A21)),"",IF(Relaciones!A21="","",Relaciones!A21)),"")</f>
        <v>M1-P5</v>
      </c>
      <c r="B40" s="72" t="str">
        <f>IFERROR(IF(A40="","",IF(Relaciones!D21="","",Relaciones!D21)),"")</f>
        <v>M1-P1</v>
      </c>
      <c r="C40" s="73" t="str">
        <f>IFERROR(IF(A40="","",IF(Relaciones!G21="","",Relaciones!G21)),"")</f>
        <v>Complementariedad</v>
      </c>
      <c r="D40" s="74" t="str">
        <f>IFERROR(IF(A40="","",IF(Relaciones!H21="","",Relaciones!H21)),"")</f>
        <v>Media</v>
      </c>
      <c r="E40" s="74">
        <f>IFERROR(IF(A40="","",IF(Relaciones!I21="","",Relaciones!I21)),"")</f>
        <v>3</v>
      </c>
      <c r="F40" s="75"/>
    </row>
    <row r="41" ht="18.0" customHeight="1">
      <c r="A41" s="69" t="str">
        <f>IFERROR(IF(ISERROR(FIND("-P",Relaciones!A22)),"",IF(Relaciones!A22="","",Relaciones!A22)),"")</f>
        <v>M1-P5</v>
      </c>
      <c r="B41" s="69" t="str">
        <f>IFERROR(IF(A41="","",IF(Relaciones!D22="","",Relaciones!D22)),"")</f>
        <v>M1-P3</v>
      </c>
      <c r="C41" s="70" t="str">
        <f>IFERROR(IF(A41="","",IF(Relaciones!G22="","",Relaciones!G22)),"")</f>
        <v>Habilitadora</v>
      </c>
      <c r="D41" s="71" t="str">
        <f>IFERROR(IF(A41="","",IF(Relaciones!H22="","",Relaciones!H22)),"")</f>
        <v>Media</v>
      </c>
      <c r="E41" s="71">
        <f>IFERROR(IF(A41="","",IF(Relaciones!I22="","",Relaciones!I22)),"")</f>
        <v>3</v>
      </c>
      <c r="F41" s="75"/>
    </row>
    <row r="42" ht="18.0" customHeight="1">
      <c r="A42" s="72" t="str">
        <f>IFERROR(IF(ISERROR(FIND("-P",Relaciones!A23)),"",IF(Relaciones!A23="","",Relaciones!A23)),"")</f>
        <v>M2-P1</v>
      </c>
      <c r="B42" s="72" t="str">
        <f>IFERROR(IF(A42="","",IF(Relaciones!D23="","",Relaciones!D23)),"")</f>
        <v>M2-P2</v>
      </c>
      <c r="C42" s="73" t="str">
        <f>IFERROR(IF(A42="","",IF(Relaciones!G23="","",Relaciones!G23)),"")</f>
        <v>Habilitadora</v>
      </c>
      <c r="D42" s="74" t="str">
        <f>IFERROR(IF(A42="","",IF(Relaciones!H23="","",Relaciones!H23)),"")</f>
        <v>Alta</v>
      </c>
      <c r="E42" s="74">
        <f>IFERROR(IF(A42="","",IF(Relaciones!I23="","",Relaciones!I23)),"")</f>
        <v>5</v>
      </c>
      <c r="F42" s="75"/>
    </row>
    <row r="43" ht="18.0" customHeight="1">
      <c r="A43" s="69" t="str">
        <f>IFERROR(IF(ISERROR(FIND("-P",Relaciones!A24)),"",IF(Relaciones!A24="","",Relaciones!A24)),"")</f>
        <v>M2-P1</v>
      </c>
      <c r="B43" s="69" t="str">
        <f>IFERROR(IF(A43="","",IF(Relaciones!D24="","",Relaciones!D24)),"")</f>
        <v>M2-P3</v>
      </c>
      <c r="C43" s="70" t="str">
        <f>IFERROR(IF(A43="","",IF(Relaciones!G24="","",Relaciones!G24)),"")</f>
        <v>Habilitadora</v>
      </c>
      <c r="D43" s="71" t="str">
        <f>IFERROR(IF(A43="","",IF(Relaciones!H24="","",Relaciones!H24)),"")</f>
        <v>Alta</v>
      </c>
      <c r="E43" s="71">
        <f>IFERROR(IF(A43="","",IF(Relaciones!I24="","",Relaciones!I24)),"")</f>
        <v>5</v>
      </c>
      <c r="F43" s="75"/>
    </row>
    <row r="44" ht="18.0" customHeight="1">
      <c r="A44" s="72" t="str">
        <f>IFERROR(IF(ISERROR(FIND("-P",Relaciones!A25)),"",IF(Relaciones!A25="","",Relaciones!A25)),"")</f>
        <v>M2-P1</v>
      </c>
      <c r="B44" s="72" t="str">
        <f>IFERROR(IF(A44="","",IF(Relaciones!D25="","",Relaciones!D25)),"")</f>
        <v>M3-P3</v>
      </c>
      <c r="C44" s="73" t="str">
        <f>IFERROR(IF(A44="","",IF(Relaciones!G25="","",Relaciones!G25)),"")</f>
        <v>Complementariedad</v>
      </c>
      <c r="D44" s="74" t="str">
        <f>IFERROR(IF(A44="","",IF(Relaciones!H25="","",Relaciones!H25)),"")</f>
        <v>Media</v>
      </c>
      <c r="E44" s="74">
        <f>IFERROR(IF(A44="","",IF(Relaciones!I25="","",Relaciones!I25)),"")</f>
        <v>3</v>
      </c>
      <c r="F44" s="75"/>
    </row>
    <row r="45" ht="18.0" customHeight="1">
      <c r="A45" s="69" t="str">
        <f>IFERROR(IF(ISERROR(FIND("-P",Relaciones!A26)),"",IF(Relaciones!A26="","",Relaciones!A26)),"")</f>
        <v>M2-P2</v>
      </c>
      <c r="B45" s="69" t="str">
        <f>IFERROR(IF(A45="","",IF(Relaciones!D26="","",Relaciones!D26)),"")</f>
        <v>M2-P3</v>
      </c>
      <c r="C45" s="70" t="str">
        <f>IFERROR(IF(A45="","",IF(Relaciones!G26="","",Relaciones!G26)),"")</f>
        <v>Complementariedad</v>
      </c>
      <c r="D45" s="71" t="str">
        <f>IFERROR(IF(A45="","",IF(Relaciones!H26="","",Relaciones!H26)),"")</f>
        <v>Alta</v>
      </c>
      <c r="E45" s="71">
        <f>IFERROR(IF(A45="","",IF(Relaciones!I26="","",Relaciones!I26)),"")</f>
        <v>5</v>
      </c>
      <c r="F45" s="75"/>
    </row>
    <row r="46" ht="18.0" customHeight="1">
      <c r="A46" s="72" t="str">
        <f>IFERROR(IF(ISERROR(FIND("-P",Relaciones!A27)),"",IF(Relaciones!A27="","",Relaciones!A27)),"")</f>
        <v>M2-P2</v>
      </c>
      <c r="B46" s="72" t="str">
        <f>IFERROR(IF(A46="","",IF(Relaciones!D27="","",Relaciones!D27)),"")</f>
        <v>M3-P3</v>
      </c>
      <c r="C46" s="73" t="str">
        <f>IFERROR(IF(A46="","",IF(Relaciones!G27="","",Relaciones!G27)),"")</f>
        <v>Complementariedad</v>
      </c>
      <c r="D46" s="74" t="str">
        <f>IFERROR(IF(A46="","",IF(Relaciones!H27="","",Relaciones!H27)),"")</f>
        <v>Alta</v>
      </c>
      <c r="E46" s="74">
        <f>IFERROR(IF(A46="","",IF(Relaciones!I27="","",Relaciones!I27)),"")</f>
        <v>5</v>
      </c>
      <c r="F46" s="75"/>
    </row>
    <row r="47" ht="18.0" customHeight="1">
      <c r="A47" s="69" t="str">
        <f>IFERROR(IF(ISERROR(FIND("-P",Relaciones!A28)),"",IF(Relaciones!A28="","",Relaciones!A28)),"")</f>
        <v>M2-P3</v>
      </c>
      <c r="B47" s="69" t="str">
        <f>IFERROR(IF(A47="","",IF(Relaciones!D28="","",Relaciones!D28)),"")</f>
        <v>M2-P2</v>
      </c>
      <c r="C47" s="70" t="str">
        <f>IFERROR(IF(A47="","",IF(Relaciones!G28="","",Relaciones!G28)),"")</f>
        <v>Complementariedad</v>
      </c>
      <c r="D47" s="71" t="str">
        <f>IFERROR(IF(A47="","",IF(Relaciones!H28="","",Relaciones!H28)),"")</f>
        <v>Alta</v>
      </c>
      <c r="E47" s="71">
        <f>IFERROR(IF(A47="","",IF(Relaciones!I28="","",Relaciones!I28)),"")</f>
        <v>5</v>
      </c>
      <c r="F47" s="75"/>
    </row>
    <row r="48" ht="18.0" customHeight="1">
      <c r="A48" s="72" t="str">
        <f>IFERROR(IF(ISERROR(FIND("-P",Relaciones!A29)),"",IF(Relaciones!A29="","",Relaciones!A29)),"")</f>
        <v>M2-P3</v>
      </c>
      <c r="B48" s="72" t="str">
        <f>IFERROR(IF(A48="","",IF(Relaciones!D29="","",Relaciones!D29)),"")</f>
        <v>M3-P3</v>
      </c>
      <c r="C48" s="73" t="str">
        <f>IFERROR(IF(A48="","",IF(Relaciones!G29="","",Relaciones!G29)),"")</f>
        <v>Complementariedad</v>
      </c>
      <c r="D48" s="74" t="str">
        <f>IFERROR(IF(A48="","",IF(Relaciones!H29="","",Relaciones!H29)),"")</f>
        <v>Alta</v>
      </c>
      <c r="E48" s="74">
        <f>IFERROR(IF(A48="","",IF(Relaciones!I29="","",Relaciones!I29)),"")</f>
        <v>5</v>
      </c>
      <c r="F48" s="75"/>
    </row>
    <row r="49" ht="18.0" customHeight="1">
      <c r="A49" s="69" t="str">
        <f>IFERROR(IF(ISERROR(FIND("-P",Relaciones!A30)),"",IF(Relaciones!A30="","",Relaciones!A30)),"")</f>
        <v>M3-P1</v>
      </c>
      <c r="B49" s="69" t="str">
        <f>IFERROR(IF(A49="","",IF(Relaciones!D30="","",Relaciones!D30)),"")</f>
        <v>M1-P1</v>
      </c>
      <c r="C49" s="70" t="str">
        <f>IFERROR(IF(A49="","",IF(Relaciones!G30="","",Relaciones!G30)),"")</f>
        <v>Habilitadora</v>
      </c>
      <c r="D49" s="71" t="str">
        <f>IFERROR(IF(A49="","",IF(Relaciones!H30="","",Relaciones!H30)),"")</f>
        <v>Alta</v>
      </c>
      <c r="E49" s="71">
        <f>IFERROR(IF(A49="","",IF(Relaciones!I30="","",Relaciones!I30)),"")</f>
        <v>5</v>
      </c>
      <c r="F49" s="75"/>
    </row>
    <row r="50" ht="18.0" customHeight="1">
      <c r="A50" s="72" t="str">
        <f>IFERROR(IF(ISERROR(FIND("-P",Relaciones!A31)),"",IF(Relaciones!A31="","",Relaciones!A31)),"")</f>
        <v>M3-P1</v>
      </c>
      <c r="B50" s="72" t="str">
        <f>IFERROR(IF(A50="","",IF(Relaciones!D31="","",Relaciones!D31)),"")</f>
        <v>M2-P1</v>
      </c>
      <c r="C50" s="73" t="str">
        <f>IFERROR(IF(A50="","",IF(Relaciones!G31="","",Relaciones!G31)),"")</f>
        <v>Habilitadora</v>
      </c>
      <c r="D50" s="74" t="str">
        <f>IFERROR(IF(A50="","",IF(Relaciones!H31="","",Relaciones!H31)),"")</f>
        <v>Media</v>
      </c>
      <c r="E50" s="74">
        <f>IFERROR(IF(A50="","",IF(Relaciones!I31="","",Relaciones!I31)),"")</f>
        <v>3</v>
      </c>
      <c r="F50" s="75"/>
    </row>
    <row r="51" ht="18.0" customHeight="1">
      <c r="A51" s="69" t="str">
        <f>IFERROR(IF(ISERROR(FIND("-P",Relaciones!A32)),"",IF(Relaciones!A32="","",Relaciones!A32)),"")</f>
        <v>M3-P1</v>
      </c>
      <c r="B51" s="69" t="str">
        <f>IFERROR(IF(A51="","",IF(Relaciones!D32="","",Relaciones!D32)),"")</f>
        <v>M2-P2</v>
      </c>
      <c r="C51" s="70" t="str">
        <f>IFERROR(IF(A51="","",IF(Relaciones!G32="","",Relaciones!G32)),"")</f>
        <v>Habilitadora</v>
      </c>
      <c r="D51" s="71" t="str">
        <f>IFERROR(IF(A51="","",IF(Relaciones!H32="","",Relaciones!H32)),"")</f>
        <v>Media</v>
      </c>
      <c r="E51" s="71">
        <f>IFERROR(IF(A51="","",IF(Relaciones!I32="","",Relaciones!I32)),"")</f>
        <v>3</v>
      </c>
      <c r="F51" s="75"/>
    </row>
    <row r="52" ht="18.0" customHeight="1">
      <c r="A52" s="72" t="str">
        <f>IFERROR(IF(ISERROR(FIND("-P",Relaciones!A33)),"",IF(Relaciones!A33="","",Relaciones!A33)),"")</f>
        <v>M3-P1</v>
      </c>
      <c r="B52" s="72" t="str">
        <f>IFERROR(IF(A52="","",IF(Relaciones!D33="","",Relaciones!D33)),"")</f>
        <v>M2-P3</v>
      </c>
      <c r="C52" s="73" t="str">
        <f>IFERROR(IF(A52="","",IF(Relaciones!G33="","",Relaciones!G33)),"")</f>
        <v>Habilitadora</v>
      </c>
      <c r="D52" s="74" t="str">
        <f>IFERROR(IF(A52="","",IF(Relaciones!H33="","",Relaciones!H33)),"")</f>
        <v>Media</v>
      </c>
      <c r="E52" s="74">
        <f>IFERROR(IF(A52="","",IF(Relaciones!I33="","",Relaciones!I33)),"")</f>
        <v>3</v>
      </c>
      <c r="F52" s="75"/>
    </row>
    <row r="53" ht="18.0" customHeight="1">
      <c r="A53" s="69" t="str">
        <f>IFERROR(IF(ISERROR(FIND("-P",Relaciones!A34)),"",IF(Relaciones!A34="","",Relaciones!A34)),"")</f>
        <v>M3-P1</v>
      </c>
      <c r="B53" s="69" t="str">
        <f>IFERROR(IF(A53="","",IF(Relaciones!D34="","",Relaciones!D34)),"")</f>
        <v>M5-P1</v>
      </c>
      <c r="C53" s="70" t="str">
        <f>IFERROR(IF(A53="","",IF(Relaciones!G34="","",Relaciones!G34)),"")</f>
        <v>Habilitadora</v>
      </c>
      <c r="D53" s="71" t="str">
        <f>IFERROR(IF(A53="","",IF(Relaciones!H34="","",Relaciones!H34)),"")</f>
        <v>Media</v>
      </c>
      <c r="E53" s="71">
        <f>IFERROR(IF(A53="","",IF(Relaciones!I34="","",Relaciones!I34)),"")</f>
        <v>3</v>
      </c>
      <c r="F53" s="75"/>
    </row>
    <row r="54" ht="18.0" customHeight="1">
      <c r="A54" s="72" t="str">
        <f>IFERROR(IF(ISERROR(FIND("-P",Relaciones!A35)),"",IF(Relaciones!A35="","",Relaciones!A35)),"")</f>
        <v>M3-P1</v>
      </c>
      <c r="B54" s="72" t="str">
        <f>IFERROR(IF(A54="","",IF(Relaciones!D35="","",Relaciones!D35)),"")</f>
        <v>M5-P2</v>
      </c>
      <c r="C54" s="73" t="str">
        <f>IFERROR(IF(A54="","",IF(Relaciones!G35="","",Relaciones!G35)),"")</f>
        <v>Habilitadora</v>
      </c>
      <c r="D54" s="74" t="str">
        <f>IFERROR(IF(A54="","",IF(Relaciones!H35="","",Relaciones!H35)),"")</f>
        <v>Alta</v>
      </c>
      <c r="E54" s="74">
        <f>IFERROR(IF(A54="","",IF(Relaciones!I35="","",Relaciones!I35)),"")</f>
        <v>5</v>
      </c>
      <c r="F54" s="75"/>
    </row>
    <row r="55" ht="18.0" customHeight="1">
      <c r="A55" s="69" t="str">
        <f>IFERROR(IF(ISERROR(FIND("-P",Relaciones!A36)),"",IF(Relaciones!A36="","",Relaciones!A36)),"")</f>
        <v>M3-P1</v>
      </c>
      <c r="B55" s="69" t="str">
        <f>IFERROR(IF(A55="","",IF(Relaciones!D36="","",Relaciones!D36)),"")</f>
        <v>M5-P3</v>
      </c>
      <c r="C55" s="70" t="str">
        <f>IFERROR(IF(A55="","",IF(Relaciones!G36="","",Relaciones!G36)),"")</f>
        <v>Habilitadora</v>
      </c>
      <c r="D55" s="71" t="str">
        <f>IFERROR(IF(A55="","",IF(Relaciones!H36="","",Relaciones!H36)),"")</f>
        <v>Media</v>
      </c>
      <c r="E55" s="71">
        <f>IFERROR(IF(A55="","",IF(Relaciones!I36="","",Relaciones!I36)),"")</f>
        <v>3</v>
      </c>
      <c r="F55" s="75"/>
    </row>
    <row r="56" ht="18.0" customHeight="1">
      <c r="A56" s="72" t="str">
        <f>IFERROR(IF(ISERROR(FIND("-P",Relaciones!A37)),"",IF(Relaciones!A37="","",Relaciones!A37)),"")</f>
        <v>M3-P2</v>
      </c>
      <c r="B56" s="72" t="str">
        <f>IFERROR(IF(A56="","",IF(Relaciones!D37="","",Relaciones!D37)),"")</f>
        <v>M5-P4</v>
      </c>
      <c r="C56" s="73" t="str">
        <f>IFERROR(IF(A56="","",IF(Relaciones!G37="","",Relaciones!G37)),"")</f>
        <v>Habilitadora</v>
      </c>
      <c r="D56" s="74" t="str">
        <f>IFERROR(IF(A56="","",IF(Relaciones!H37="","",Relaciones!H37)),"")</f>
        <v>Alta</v>
      </c>
      <c r="E56" s="74">
        <f>IFERROR(IF(A56="","",IF(Relaciones!I37="","",Relaciones!I37)),"")</f>
        <v>5</v>
      </c>
      <c r="F56" s="75"/>
    </row>
    <row r="57" ht="18.0" customHeight="1">
      <c r="A57" s="69" t="str">
        <f>IFERROR(IF(ISERROR(FIND("-P",Relaciones!A38)),"",IF(Relaciones!A38="","",Relaciones!A38)),"")</f>
        <v>M3-P2</v>
      </c>
      <c r="B57" s="69" t="str">
        <f>IFERROR(IF(A57="","",IF(Relaciones!D38="","",Relaciones!D38)),"")</f>
        <v>M4-P2</v>
      </c>
      <c r="C57" s="70" t="str">
        <f>IFERROR(IF(A57="","",IF(Relaciones!G38="","",Relaciones!G38)),"")</f>
        <v>Habilitadora</v>
      </c>
      <c r="D57" s="71" t="str">
        <f>IFERROR(IF(A57="","",IF(Relaciones!H38="","",Relaciones!H38)),"")</f>
        <v>Media</v>
      </c>
      <c r="E57" s="71">
        <f>IFERROR(IF(A57="","",IF(Relaciones!I38="","",Relaciones!I38)),"")</f>
        <v>3</v>
      </c>
      <c r="F57" s="75"/>
    </row>
    <row r="58" ht="18.0" customHeight="1">
      <c r="A58" s="72" t="str">
        <f>IFERROR(IF(ISERROR(FIND("-P",Relaciones!A39)),"",IF(Relaciones!A39="","",Relaciones!A39)),"")</f>
        <v>M3-P2</v>
      </c>
      <c r="B58" s="72" t="str">
        <f>IFERROR(IF(A58="","",IF(Relaciones!D39="","",Relaciones!D39)),"")</f>
        <v>M4-P1</v>
      </c>
      <c r="C58" s="73" t="str">
        <f>IFERROR(IF(A58="","",IF(Relaciones!G39="","",Relaciones!G39)),"")</f>
        <v>Habilitadora</v>
      </c>
      <c r="D58" s="74" t="str">
        <f>IFERROR(IF(A58="","",IF(Relaciones!H39="","",Relaciones!H39)),"")</f>
        <v>Media</v>
      </c>
      <c r="E58" s="74">
        <f>IFERROR(IF(A58="","",IF(Relaciones!I39="","",Relaciones!I39)),"")</f>
        <v>3</v>
      </c>
      <c r="F58" s="75"/>
    </row>
    <row r="59" ht="18.0" customHeight="1">
      <c r="A59" s="69" t="str">
        <f>IFERROR(IF(ISERROR(FIND("-P",Relaciones!A40)),"",IF(Relaciones!A40="","",Relaciones!A40)),"")</f>
        <v>M3-P2</v>
      </c>
      <c r="B59" s="69" t="str">
        <f>IFERROR(IF(A59="","",IF(Relaciones!D40="","",Relaciones!D40)),"")</f>
        <v>M1-P2</v>
      </c>
      <c r="C59" s="70" t="str">
        <f>IFERROR(IF(A59="","",IF(Relaciones!G40="","",Relaciones!G40)),"")</f>
        <v>Complementariedad</v>
      </c>
      <c r="D59" s="71" t="str">
        <f>IFERROR(IF(A59="","",IF(Relaciones!H40="","",Relaciones!H40)),"")</f>
        <v>Alta</v>
      </c>
      <c r="E59" s="71">
        <f>IFERROR(IF(A59="","",IF(Relaciones!I40="","",Relaciones!I40)),"")</f>
        <v>5</v>
      </c>
      <c r="F59" s="75"/>
    </row>
    <row r="60" ht="18.0" customHeight="1">
      <c r="A60" s="72" t="str">
        <f>IFERROR(IF(ISERROR(FIND("-P",Relaciones!A41)),"",IF(Relaciones!A41="","",Relaciones!A41)),"")</f>
        <v>M3-P3</v>
      </c>
      <c r="B60" s="72" t="str">
        <f>IFERROR(IF(A60="","",IF(Relaciones!D41="","",Relaciones!D41)),"")</f>
        <v>M2-P1</v>
      </c>
      <c r="C60" s="73" t="str">
        <f>IFERROR(IF(A60="","",IF(Relaciones!G41="","",Relaciones!G41)),"")</f>
        <v>Complementariedad</v>
      </c>
      <c r="D60" s="74" t="str">
        <f>IFERROR(IF(A60="","",IF(Relaciones!H41="","",Relaciones!H41)),"")</f>
        <v>Media</v>
      </c>
      <c r="E60" s="74">
        <f>IFERROR(IF(A60="","",IF(Relaciones!I41="","",Relaciones!I41)),"")</f>
        <v>3</v>
      </c>
      <c r="F60" s="75"/>
    </row>
    <row r="61" ht="18.0" customHeight="1">
      <c r="A61" s="69" t="str">
        <f>IFERROR(IF(ISERROR(FIND("-P",Relaciones!A42)),"",IF(Relaciones!A42="","",Relaciones!A42)),"")</f>
        <v>M4-P1</v>
      </c>
      <c r="B61" s="69" t="str">
        <f>IFERROR(IF(A61="","",IF(Relaciones!D42="","",Relaciones!D42)),"")</f>
        <v>M1-P3</v>
      </c>
      <c r="C61" s="70" t="str">
        <f>IFERROR(IF(A61="","",IF(Relaciones!G42="","",Relaciones!G42)),"")</f>
        <v>Habilitadora</v>
      </c>
      <c r="D61" s="71" t="str">
        <f>IFERROR(IF(A61="","",IF(Relaciones!H42="","",Relaciones!H42)),"")</f>
        <v>Alta</v>
      </c>
      <c r="E61" s="71">
        <f>IFERROR(IF(A61="","",IF(Relaciones!I42="","",Relaciones!I42)),"")</f>
        <v>5</v>
      </c>
      <c r="F61" s="75"/>
    </row>
    <row r="62" ht="18.0" customHeight="1">
      <c r="A62" s="72" t="str">
        <f>IFERROR(IF(ISERROR(FIND("-P",Relaciones!A43)),"",IF(Relaciones!A43="","",Relaciones!A43)),"")</f>
        <v>M4-P1</v>
      </c>
      <c r="B62" s="72" t="str">
        <f>IFERROR(IF(A62="","",IF(Relaciones!D43="","",Relaciones!D43)),"")</f>
        <v>M4-P2</v>
      </c>
      <c r="C62" s="73" t="str">
        <f>IFERROR(IF(A62="","",IF(Relaciones!G43="","",Relaciones!G43)),"")</f>
        <v>Complementariedad</v>
      </c>
      <c r="D62" s="74" t="str">
        <f>IFERROR(IF(A62="","",IF(Relaciones!H43="","",Relaciones!H43)),"")</f>
        <v>Alta</v>
      </c>
      <c r="E62" s="74">
        <f>IFERROR(IF(A62="","",IF(Relaciones!I43="","",Relaciones!I43)),"")</f>
        <v>5</v>
      </c>
      <c r="F62" s="75"/>
    </row>
    <row r="63" ht="18.0" customHeight="1">
      <c r="A63" s="69" t="str">
        <f>IFERROR(IF(ISERROR(FIND("-P",Relaciones!A44)),"",IF(Relaciones!A44="","",Relaciones!A44)),"")</f>
        <v>M4-P2</v>
      </c>
      <c r="B63" s="69" t="str">
        <f>IFERROR(IF(A63="","",IF(Relaciones!D44="","",Relaciones!D44)),"")</f>
        <v>M1-P3</v>
      </c>
      <c r="C63" s="70" t="str">
        <f>IFERROR(IF(A63="","",IF(Relaciones!G44="","",Relaciones!G44)),"")</f>
        <v>Habilitadora</v>
      </c>
      <c r="D63" s="71" t="str">
        <f>IFERROR(IF(A63="","",IF(Relaciones!H44="","",Relaciones!H44)),"")</f>
        <v>Media</v>
      </c>
      <c r="E63" s="71">
        <f>IFERROR(IF(A63="","",IF(Relaciones!I44="","",Relaciones!I44)),"")</f>
        <v>3</v>
      </c>
      <c r="F63" s="75"/>
    </row>
    <row r="64" ht="18.0" customHeight="1">
      <c r="A64" s="72" t="str">
        <f>IFERROR(IF(ISERROR(FIND("-P",Relaciones!A45)),"",IF(Relaciones!A45="","",Relaciones!A45)),"")</f>
        <v>M4-P2</v>
      </c>
      <c r="B64" s="72" t="str">
        <f>IFERROR(IF(A64="","",IF(Relaciones!D45="","",Relaciones!D45)),"")</f>
        <v>M5-P4</v>
      </c>
      <c r="C64" s="73" t="str">
        <f>IFERROR(IF(A64="","",IF(Relaciones!G45="","",Relaciones!G45)),"")</f>
        <v>Complementariedad</v>
      </c>
      <c r="D64" s="74" t="str">
        <f>IFERROR(IF(A64="","",IF(Relaciones!H45="","",Relaciones!H45)),"")</f>
        <v>Alta</v>
      </c>
      <c r="E64" s="74">
        <f>IFERROR(IF(A64="","",IF(Relaciones!I45="","",Relaciones!I45)),"")</f>
        <v>5</v>
      </c>
      <c r="F64" s="75"/>
    </row>
    <row r="65" ht="18.0" customHeight="1">
      <c r="A65" s="69" t="str">
        <f>IFERROR(IF(ISERROR(FIND("-P",Relaciones!A46)),"",IF(Relaciones!A46="","",Relaciones!A46)),"")</f>
        <v>M5-P1</v>
      </c>
      <c r="B65" s="69" t="str">
        <f>IFERROR(IF(A65="","",IF(Relaciones!D46="","",Relaciones!D46)),"")</f>
        <v>M5-P2</v>
      </c>
      <c r="C65" s="70" t="str">
        <f>IFERROR(IF(A65="","",IF(Relaciones!G46="","",Relaciones!G46)),"")</f>
        <v>Habilitadora</v>
      </c>
      <c r="D65" s="71" t="str">
        <f>IFERROR(IF(A65="","",IF(Relaciones!H46="","",Relaciones!H46)),"")</f>
        <v>Alta</v>
      </c>
      <c r="E65" s="71">
        <f>IFERROR(IF(A65="","",IF(Relaciones!I46="","",Relaciones!I46)),"")</f>
        <v>5</v>
      </c>
      <c r="F65" s="75"/>
    </row>
    <row r="66" ht="18.0" customHeight="1">
      <c r="A66" s="72" t="str">
        <f>IFERROR(IF(ISERROR(FIND("-P",Relaciones!A47)),"",IF(Relaciones!A47="","",Relaciones!A47)),"")</f>
        <v>M5-P1</v>
      </c>
      <c r="B66" s="72" t="str">
        <f>IFERROR(IF(A66="","",IF(Relaciones!D47="","",Relaciones!D47)),"")</f>
        <v>M5-P3</v>
      </c>
      <c r="C66" s="73" t="str">
        <f>IFERROR(IF(A66="","",IF(Relaciones!G47="","",Relaciones!G47)),"")</f>
        <v>Habilitadora</v>
      </c>
      <c r="D66" s="74" t="str">
        <f>IFERROR(IF(A66="","",IF(Relaciones!H47="","",Relaciones!H47)),"")</f>
        <v>Alta</v>
      </c>
      <c r="E66" s="74">
        <f>IFERROR(IF(A66="","",IF(Relaciones!I47="","",Relaciones!I47)),"")</f>
        <v>5</v>
      </c>
      <c r="F66" s="75"/>
    </row>
    <row r="67" ht="18.0" customHeight="1">
      <c r="A67" s="69" t="str">
        <f>IFERROR(IF(ISERROR(FIND("-P",Relaciones!A48)),"",IF(Relaciones!A48="","",Relaciones!A48)),"")</f>
        <v>M5-P1</v>
      </c>
      <c r="B67" s="69" t="str">
        <f>IFERROR(IF(A67="","",IF(Relaciones!D48="","",Relaciones!D48)),"")</f>
        <v>M1-P2</v>
      </c>
      <c r="C67" s="70" t="str">
        <f>IFERROR(IF(A67="","",IF(Relaciones!G48="","",Relaciones!G48)),"")</f>
        <v>Habilitadora</v>
      </c>
      <c r="D67" s="71" t="str">
        <f>IFERROR(IF(A67="","",IF(Relaciones!H48="","",Relaciones!H48)),"")</f>
        <v>Media</v>
      </c>
      <c r="E67" s="71">
        <f>IFERROR(IF(A67="","",IF(Relaciones!I48="","",Relaciones!I48)),"")</f>
        <v>3</v>
      </c>
      <c r="F67" s="75"/>
    </row>
    <row r="68" ht="18.0" customHeight="1">
      <c r="A68" s="72" t="str">
        <f>IFERROR(IF(ISERROR(FIND("-P",Relaciones!A49)),"",IF(Relaciones!A49="","",Relaciones!A49)),"")</f>
        <v>M5-P1</v>
      </c>
      <c r="B68" s="72" t="str">
        <f>IFERROR(IF(A68="","",IF(Relaciones!D49="","",Relaciones!D49)),"")</f>
        <v>M1-P3</v>
      </c>
      <c r="C68" s="73" t="str">
        <f>IFERROR(IF(A68="","",IF(Relaciones!G49="","",Relaciones!G49)),"")</f>
        <v>Habilitadora</v>
      </c>
      <c r="D68" s="74" t="str">
        <f>IFERROR(IF(A68="","",IF(Relaciones!H49="","",Relaciones!H49)),"")</f>
        <v>Media</v>
      </c>
      <c r="E68" s="74">
        <f>IFERROR(IF(A68="","",IF(Relaciones!I49="","",Relaciones!I49)),"")</f>
        <v>3</v>
      </c>
      <c r="F68" s="75"/>
    </row>
    <row r="69" ht="18.0" customHeight="1">
      <c r="A69" s="69" t="str">
        <f>IFERROR(IF(ISERROR(FIND("-P",Relaciones!A50)),"",IF(Relaciones!A50="","",Relaciones!A50)),"")</f>
        <v>M5-P1</v>
      </c>
      <c r="B69" s="69" t="str">
        <f>IFERROR(IF(A69="","",IF(Relaciones!D50="","",Relaciones!D50)),"")</f>
        <v>M3-P3</v>
      </c>
      <c r="C69" s="70" t="str">
        <f>IFERROR(IF(A69="","",IF(Relaciones!G50="","",Relaciones!G50)),"")</f>
        <v>Habilitadora</v>
      </c>
      <c r="D69" s="71" t="str">
        <f>IFERROR(IF(A69="","",IF(Relaciones!H50="","",Relaciones!H50)),"")</f>
        <v>Media</v>
      </c>
      <c r="E69" s="71">
        <f>IFERROR(IF(A69="","",IF(Relaciones!I50="","",Relaciones!I50)),"")</f>
        <v>3</v>
      </c>
      <c r="F69" s="75"/>
    </row>
    <row r="70" ht="18.0" customHeight="1">
      <c r="A70" s="72" t="str">
        <f>IFERROR(IF(ISERROR(FIND("-P",Relaciones!A51)),"",IF(Relaciones!A51="","",Relaciones!A51)),"")</f>
        <v>M5-P2</v>
      </c>
      <c r="B70" s="72" t="str">
        <f>IFERROR(IF(A70="","",IF(Relaciones!D51="","",Relaciones!D51)),"")</f>
        <v>M5-P3</v>
      </c>
      <c r="C70" s="73" t="str">
        <f>IFERROR(IF(A70="","",IF(Relaciones!G51="","",Relaciones!G51)),"")</f>
        <v>Habilitadora</v>
      </c>
      <c r="D70" s="74" t="str">
        <f>IFERROR(IF(A70="","",IF(Relaciones!H51="","",Relaciones!H51)),"")</f>
        <v>Alta</v>
      </c>
      <c r="E70" s="74">
        <f>IFERROR(IF(A70="","",IF(Relaciones!I51="","",Relaciones!I51)),"")</f>
        <v>5</v>
      </c>
      <c r="F70" s="75"/>
    </row>
    <row r="71" ht="18.0" customHeight="1">
      <c r="A71" s="69" t="str">
        <f>IFERROR(IF(ISERROR(FIND("-P",Relaciones!A52)),"",IF(Relaciones!A52="","",Relaciones!A52)),"")</f>
        <v>M5-P3</v>
      </c>
      <c r="B71" s="69" t="str">
        <f>IFERROR(IF(A71="","",IF(Relaciones!D52="","",Relaciones!D52)),"")</f>
        <v>M5-P4</v>
      </c>
      <c r="C71" s="70" t="str">
        <f>IFERROR(IF(A71="","",IF(Relaciones!G52="","",Relaciones!G52)),"")</f>
        <v>Habilitadora</v>
      </c>
      <c r="D71" s="71" t="str">
        <f>IFERROR(IF(A71="","",IF(Relaciones!H52="","",Relaciones!H52)),"")</f>
        <v>Alta</v>
      </c>
      <c r="E71" s="71">
        <f>IFERROR(IF(A71="","",IF(Relaciones!I52="","",Relaciones!I52)),"")</f>
        <v>5</v>
      </c>
      <c r="F71" s="75"/>
    </row>
    <row r="72" ht="18.0" customHeight="1">
      <c r="A72" s="72" t="str">
        <f>IFERROR(IF(ISERROR(FIND("-P",Relaciones!A53)),"",IF(Relaciones!A53="","",Relaciones!A53)),"")</f>
        <v>M5-P3</v>
      </c>
      <c r="B72" s="72" t="str">
        <f>IFERROR(IF(A72="","",IF(Relaciones!D53="","",Relaciones!D53)),"")</f>
        <v>M1-P1</v>
      </c>
      <c r="C72" s="73" t="str">
        <f>IFERROR(IF(A72="","",IF(Relaciones!G53="","",Relaciones!G53)),"")</f>
        <v>Habilitadora</v>
      </c>
      <c r="D72" s="74" t="str">
        <f>IFERROR(IF(A72="","",IF(Relaciones!H53="","",Relaciones!H53)),"")</f>
        <v>Alta</v>
      </c>
      <c r="E72" s="74">
        <f>IFERROR(IF(A72="","",IF(Relaciones!I53="","",Relaciones!I53)),"")</f>
        <v>5</v>
      </c>
      <c r="F72" s="75"/>
    </row>
    <row r="73" ht="18.0" customHeight="1">
      <c r="A73" s="69" t="str">
        <f>IFERROR(IF(ISERROR(FIND("-P",Relaciones!A54)),"",IF(Relaciones!A54="","",Relaciones!A54)),"")</f>
        <v>M5-P3</v>
      </c>
      <c r="B73" s="69" t="str">
        <f>IFERROR(IF(A73="","",IF(Relaciones!D54="","",Relaciones!D54)),"")</f>
        <v>M1-P4</v>
      </c>
      <c r="C73" s="70" t="str">
        <f>IFERROR(IF(A73="","",IF(Relaciones!G54="","",Relaciones!G54)),"")</f>
        <v>Habilitadora</v>
      </c>
      <c r="D73" s="71" t="str">
        <f>IFERROR(IF(A73="","",IF(Relaciones!H54="","",Relaciones!H54)),"")</f>
        <v>Alta</v>
      </c>
      <c r="E73" s="71">
        <f>IFERROR(IF(A73="","",IF(Relaciones!I54="","",Relaciones!I54)),"")</f>
        <v>5</v>
      </c>
      <c r="F73" s="75"/>
    </row>
    <row r="74" ht="18.0" customHeight="1">
      <c r="A74" s="72" t="str">
        <f>IFERROR(IF(ISERROR(FIND("-P",Relaciones!A55)),"",IF(Relaciones!A55="","",Relaciones!A55)),"")</f>
        <v>M5-P3</v>
      </c>
      <c r="B74" s="72" t="str">
        <f>IFERROR(IF(A74="","",IF(Relaciones!D55="","",Relaciones!D55)),"")</f>
        <v>M2-P1</v>
      </c>
      <c r="C74" s="73" t="str">
        <f>IFERROR(IF(A74="","",IF(Relaciones!G55="","",Relaciones!G55)),"")</f>
        <v>Habilitadora</v>
      </c>
      <c r="D74" s="74" t="str">
        <f>IFERROR(IF(A74="","",IF(Relaciones!H55="","",Relaciones!H55)),"")</f>
        <v>Alta</v>
      </c>
      <c r="E74" s="74">
        <f>IFERROR(IF(A74="","",IF(Relaciones!I55="","",Relaciones!I55)),"")</f>
        <v>5</v>
      </c>
      <c r="F74" s="75"/>
    </row>
    <row r="75" ht="18.0" customHeight="1">
      <c r="A75" s="69" t="str">
        <f>IFERROR(IF(ISERROR(FIND("-P",Relaciones!A56)),"",IF(Relaciones!A56="","",Relaciones!A56)),"")</f>
        <v>M5-P3</v>
      </c>
      <c r="B75" s="69" t="str">
        <f>IFERROR(IF(A75="","",IF(Relaciones!D56="","",Relaciones!D56)),"")</f>
        <v>M2-P2</v>
      </c>
      <c r="C75" s="70" t="str">
        <f>IFERROR(IF(A75="","",IF(Relaciones!G56="","",Relaciones!G56)),"")</f>
        <v>Habilitadora</v>
      </c>
      <c r="D75" s="71" t="str">
        <f>IFERROR(IF(A75="","",IF(Relaciones!H56="","",Relaciones!H56)),"")</f>
        <v>Media</v>
      </c>
      <c r="E75" s="71">
        <f>IFERROR(IF(A75="","",IF(Relaciones!I56="","",Relaciones!I56)),"")</f>
        <v>3</v>
      </c>
      <c r="F75" s="75"/>
    </row>
    <row r="76" ht="18.0" customHeight="1">
      <c r="A76" s="72" t="str">
        <f>IFERROR(IF(ISERROR(FIND("-P",Relaciones!A57)),"",IF(Relaciones!A57="","",Relaciones!A57)),"")</f>
        <v>M5-P3</v>
      </c>
      <c r="B76" s="72" t="str">
        <f>IFERROR(IF(A76="","",IF(Relaciones!D57="","",Relaciones!D57)),"")</f>
        <v>M2-P3</v>
      </c>
      <c r="C76" s="73" t="str">
        <f>IFERROR(IF(A76="","",IF(Relaciones!G57="","",Relaciones!G57)),"")</f>
        <v>Habilitadora</v>
      </c>
      <c r="D76" s="74" t="str">
        <f>IFERROR(IF(A76="","",IF(Relaciones!H57="","",Relaciones!H57)),"")</f>
        <v>Media</v>
      </c>
      <c r="E76" s="74">
        <f>IFERROR(IF(A76="","",IF(Relaciones!I57="","",Relaciones!I57)),"")</f>
        <v>3</v>
      </c>
      <c r="F76" s="75"/>
    </row>
    <row r="77" ht="18.0" customHeight="1">
      <c r="A77" s="69" t="str">
        <f>IFERROR(IF(ISERROR(FIND("-P",Relaciones!A58)),"",IF(Relaciones!A58="","",Relaciones!A58)),"")</f>
        <v>M5-P4</v>
      </c>
      <c r="B77" s="69" t="str">
        <f>IFERROR(IF(A77="","",IF(Relaciones!D58="","",Relaciones!D58)),"")</f>
        <v>M3-P2</v>
      </c>
      <c r="C77" s="70" t="str">
        <f>IFERROR(IF(A77="","",IF(Relaciones!G58="","",Relaciones!G58)),"")</f>
        <v>Complementariedad</v>
      </c>
      <c r="D77" s="71" t="str">
        <f>IFERROR(IF(A77="","",IF(Relaciones!H58="","",Relaciones!H58)),"")</f>
        <v>Media</v>
      </c>
      <c r="E77" s="71">
        <f>IFERROR(IF(A77="","",IF(Relaciones!I58="","",Relaciones!I58)),"")</f>
        <v>3</v>
      </c>
      <c r="F77" s="75"/>
    </row>
    <row r="78" ht="18.0" customHeight="1">
      <c r="A78" s="72" t="str">
        <f>IFERROR(IF(ISERROR(FIND("-P",Relaciones!A59)),"",IF(Relaciones!A59="","",Relaciones!A59)),"")</f>
        <v>M5-P4</v>
      </c>
      <c r="B78" s="72" t="str">
        <f>IFERROR(IF(A78="","",IF(Relaciones!D59="","",Relaciones!D59)),"")</f>
        <v>M4-P2</v>
      </c>
      <c r="C78" s="73" t="str">
        <f>IFERROR(IF(A78="","",IF(Relaciones!G59="","",Relaciones!G59)),"")</f>
        <v>Habilitadora</v>
      </c>
      <c r="D78" s="74" t="str">
        <f>IFERROR(IF(A78="","",IF(Relaciones!H59="","",Relaciones!H59)),"")</f>
        <v>Alta</v>
      </c>
      <c r="E78" s="74">
        <f>IFERROR(IF(A78="","",IF(Relaciones!I59="","",Relaciones!I59)),"")</f>
        <v>5</v>
      </c>
      <c r="F78" s="75"/>
    </row>
    <row r="79" ht="18.0" customHeight="1">
      <c r="A79" s="69" t="str">
        <f>IFERROR(IF(ISERROR(FIND("-P",Relaciones!A60)),"",IF(Relaciones!A60="","",Relaciones!A60)),"")</f>
        <v>M5-P4</v>
      </c>
      <c r="B79" s="69" t="str">
        <f>IFERROR(IF(A79="","",IF(Relaciones!D60="","",Relaciones!D60)),"")</f>
        <v>M1-P2</v>
      </c>
      <c r="C79" s="70" t="str">
        <f>IFERROR(IF(A79="","",IF(Relaciones!G60="","",Relaciones!G60)),"")</f>
        <v>Habilitadora</v>
      </c>
      <c r="D79" s="71" t="str">
        <f>IFERROR(IF(A79="","",IF(Relaciones!H60="","",Relaciones!H60)),"")</f>
        <v>Media</v>
      </c>
      <c r="E79" s="71">
        <f>IFERROR(IF(A79="","",IF(Relaciones!I60="","",Relaciones!I60)),"")</f>
        <v>3</v>
      </c>
      <c r="F79" s="75"/>
    </row>
    <row r="80" ht="18.0" customHeight="1">
      <c r="A80" s="72" t="str">
        <f>IFERROR(IF(ISERROR(FIND("-P",Relaciones!A61)),"",IF(Relaciones!A61="","",Relaciones!A61)),"")</f>
        <v>M5-P4</v>
      </c>
      <c r="B80" s="72" t="str">
        <f>IFERROR(IF(A80="","",IF(Relaciones!D61="","",Relaciones!D61)),"")</f>
        <v>M3-P1</v>
      </c>
      <c r="C80" s="73" t="str">
        <f>IFERROR(IF(A80="","",IF(Relaciones!G61="","",Relaciones!G61)),"")</f>
        <v>Habilitadora</v>
      </c>
      <c r="D80" s="74" t="str">
        <f>IFERROR(IF(A80="","",IF(Relaciones!H61="","",Relaciones!H61)),"")</f>
        <v>Media</v>
      </c>
      <c r="E80" s="74">
        <f>IFERROR(IF(A80="","",IF(Relaciones!I61="","",Relaciones!I61)),"")</f>
        <v>3</v>
      </c>
      <c r="F80" s="75"/>
    </row>
    <row r="81" ht="18.0" customHeight="1">
      <c r="A81" s="69" t="str">
        <f>IFERROR(IF(ISERROR(FIND("-P",Relaciones!A62)),"",IF(Relaciones!A62="","",Relaciones!A62)),"")</f>
        <v/>
      </c>
      <c r="B81" s="69" t="str">
        <f>IFERROR(IF(A81="","",IF(Relaciones!D62="","",Relaciones!D62)),"")</f>
        <v/>
      </c>
      <c r="C81" s="70" t="str">
        <f>IFERROR(IF(A81="","",IF(Relaciones!G62="","",Relaciones!G62)),"")</f>
        <v/>
      </c>
      <c r="D81" s="71" t="str">
        <f>IFERROR(IF(A81="","",IF(Relaciones!H62="","",Relaciones!H62)),"")</f>
        <v/>
      </c>
      <c r="E81" s="71" t="str">
        <f>IFERROR(IF(A81="","",IF(Relaciones!I62="","",Relaciones!I62)),"")</f>
        <v/>
      </c>
      <c r="F81" s="75"/>
    </row>
    <row r="82" ht="18.0" customHeight="1">
      <c r="A82" s="72" t="str">
        <f>IFERROR(IF(ISERROR(FIND("-P",Relaciones!A63)),"",IF(Relaciones!A63="","",Relaciones!A63)),"")</f>
        <v/>
      </c>
      <c r="B82" s="72" t="str">
        <f>IFERROR(IF(A82="","",IF(Relaciones!D63="","",Relaciones!D63)),"")</f>
        <v/>
      </c>
      <c r="C82" s="73" t="str">
        <f>IFERROR(IF(A82="","",IF(Relaciones!G63="","",Relaciones!G63)),"")</f>
        <v/>
      </c>
      <c r="D82" s="74" t="str">
        <f>IFERROR(IF(A82="","",IF(Relaciones!H63="","",Relaciones!H63)),"")</f>
        <v/>
      </c>
      <c r="E82" s="74" t="str">
        <f>IFERROR(IF(A82="","",IF(Relaciones!I63="","",Relaciones!I63)),"")</f>
        <v/>
      </c>
      <c r="F82" s="75"/>
    </row>
    <row r="83" ht="18.0" customHeight="1">
      <c r="A83" s="69" t="str">
        <f>IFERROR(IF(ISERROR(FIND("-P",Relaciones!A64)),"",IF(Relaciones!A64="","",Relaciones!A64)),"")</f>
        <v/>
      </c>
      <c r="B83" s="69" t="str">
        <f>IFERROR(IF(A83="","",IF(Relaciones!D64="","",Relaciones!D64)),"")</f>
        <v/>
      </c>
      <c r="C83" s="70" t="str">
        <f>IFERROR(IF(A83="","",IF(Relaciones!G64="","",Relaciones!G64)),"")</f>
        <v/>
      </c>
      <c r="D83" s="71" t="str">
        <f>IFERROR(IF(A83="","",IF(Relaciones!H64="","",Relaciones!H64)),"")</f>
        <v/>
      </c>
      <c r="E83" s="71" t="str">
        <f>IFERROR(IF(A83="","",IF(Relaciones!I64="","",Relaciones!I64)),"")</f>
        <v/>
      </c>
      <c r="F83" s="75"/>
    </row>
    <row r="84" ht="18.0" customHeight="1">
      <c r="A84" s="72" t="str">
        <f>IFERROR(IF(ISERROR(FIND("-P",Relaciones!A65)),"",IF(Relaciones!A65="","",Relaciones!A65)),"")</f>
        <v/>
      </c>
      <c r="B84" s="72" t="str">
        <f>IFERROR(IF(A84="","",IF(Relaciones!D65="","",Relaciones!D65)),"")</f>
        <v/>
      </c>
      <c r="C84" s="73" t="str">
        <f>IFERROR(IF(A84="","",IF(Relaciones!G65="","",Relaciones!G65)),"")</f>
        <v/>
      </c>
      <c r="D84" s="74" t="str">
        <f>IFERROR(IF(A84="","",IF(Relaciones!H65="","",Relaciones!H65)),"")</f>
        <v/>
      </c>
      <c r="E84" s="74" t="str">
        <f>IFERROR(IF(A84="","",IF(Relaciones!I65="","",Relaciones!I65)),"")</f>
        <v/>
      </c>
      <c r="F84" s="75"/>
    </row>
    <row r="85" ht="18.0" customHeight="1">
      <c r="A85" s="69" t="str">
        <f>IFERROR(IF(ISERROR(FIND("-P",Relaciones!A66)),"",IF(Relaciones!A66="","",Relaciones!A66)),"")</f>
        <v/>
      </c>
      <c r="B85" s="69" t="str">
        <f>IFERROR(IF(A85="","",IF(Relaciones!D66="","",Relaciones!D66)),"")</f>
        <v/>
      </c>
      <c r="C85" s="70" t="str">
        <f>IFERROR(IF(A85="","",IF(Relaciones!G66="","",Relaciones!G66)),"")</f>
        <v/>
      </c>
      <c r="D85" s="71" t="str">
        <f>IFERROR(IF(A85="","",IF(Relaciones!H66="","",Relaciones!H66)),"")</f>
        <v/>
      </c>
      <c r="E85" s="71" t="str">
        <f>IFERROR(IF(A85="","",IF(Relaciones!I66="","",Relaciones!I66)),"")</f>
        <v/>
      </c>
      <c r="F85" s="75"/>
    </row>
    <row r="86" ht="18.0" customHeight="1">
      <c r="A86" s="72" t="str">
        <f t="shared" ref="A86:A87" si="1">IFERROR(IF(ISERROR(FIND("-P",#REF!)),"",IF(#REF!="","",#REF!)),"")</f>
        <v/>
      </c>
      <c r="B86" s="72" t="str">
        <f t="shared" ref="B86:B87" si="2">IFERROR(IF(A86="","",IF(#REF!="","",#REF!)),"")</f>
        <v/>
      </c>
      <c r="C86" s="73" t="str">
        <f t="shared" ref="C86:C87" si="3">IFERROR(IF(A86="","",IF(#REF!="","",#REF!)),"")</f>
        <v/>
      </c>
      <c r="D86" s="74" t="str">
        <f t="shared" ref="D86:D87" si="4">IFERROR(IF(A86="","",IF(#REF!="","",#REF!)),"")</f>
        <v/>
      </c>
      <c r="E86" s="74" t="str">
        <f t="shared" ref="E86:E87" si="5">IFERROR(IF(A86="","",IF(#REF!="","",#REF!)),"")</f>
        <v/>
      </c>
      <c r="F86" s="75"/>
    </row>
    <row r="87" ht="18.0" customHeight="1">
      <c r="A87" s="69" t="str">
        <f t="shared" si="1"/>
        <v/>
      </c>
      <c r="B87" s="69" t="str">
        <f t="shared" si="2"/>
        <v/>
      </c>
      <c r="C87" s="70" t="str">
        <f t="shared" si="3"/>
        <v/>
      </c>
      <c r="D87" s="71" t="str">
        <f t="shared" si="4"/>
        <v/>
      </c>
      <c r="E87" s="71" t="str">
        <f t="shared" si="5"/>
        <v/>
      </c>
      <c r="F87" s="75"/>
    </row>
    <row r="88" ht="18.0" customHeight="1">
      <c r="A88" s="72" t="str">
        <f>IFERROR(IF(ISERROR(FIND("-P",Relaciones!A68)),"",IF(Relaciones!A68="","",Relaciones!A68)),"")</f>
        <v/>
      </c>
      <c r="B88" s="72" t="str">
        <f>IFERROR(IF(A88="","",IF(Relaciones!D68="","",Relaciones!D68)),"")</f>
        <v/>
      </c>
      <c r="C88" s="73" t="str">
        <f>IFERROR(IF(A88="","",IF(Relaciones!G68="","",Relaciones!G68)),"")</f>
        <v/>
      </c>
      <c r="D88" s="74" t="str">
        <f>IFERROR(IF(A88="","",IF(Relaciones!H68="","",Relaciones!H68)),"")</f>
        <v/>
      </c>
      <c r="E88" s="74" t="str">
        <f>IFERROR(IF(A88="","",IF(Relaciones!I68="","",Relaciones!I68)),"")</f>
        <v/>
      </c>
      <c r="F88" s="75"/>
    </row>
    <row r="89" ht="18.0" customHeight="1">
      <c r="A89" s="69" t="str">
        <f>IFERROR(IF(ISERROR(FIND("-P",Relaciones!A69)),"",IF(Relaciones!A69="","",Relaciones!A69)),"")</f>
        <v/>
      </c>
      <c r="B89" s="69" t="str">
        <f>IFERROR(IF(A89="","",IF(Relaciones!D69="","",Relaciones!D69)),"")</f>
        <v/>
      </c>
      <c r="C89" s="70" t="str">
        <f>IFERROR(IF(A89="","",IF(Relaciones!G69="","",Relaciones!G69)),"")</f>
        <v/>
      </c>
      <c r="D89" s="71" t="str">
        <f>IFERROR(IF(A89="","",IF(Relaciones!H69="","",Relaciones!H69)),"")</f>
        <v/>
      </c>
      <c r="E89" s="71" t="str">
        <f>IFERROR(IF(A89="","",IF(Relaciones!I69="","",Relaciones!I69)),"")</f>
        <v/>
      </c>
      <c r="F89" s="75"/>
    </row>
    <row r="90" ht="18.0" customHeight="1">
      <c r="A90" s="72" t="str">
        <f>IFERROR(IF(ISERROR(FIND("-P",Relaciones!A70)),"",IF(Relaciones!A70="","",Relaciones!A70)),"")</f>
        <v/>
      </c>
      <c r="B90" s="72" t="str">
        <f>IFERROR(IF(A90="","",IF(Relaciones!D70="","",Relaciones!D70)),"")</f>
        <v/>
      </c>
      <c r="C90" s="73" t="str">
        <f>IFERROR(IF(A90="","",IF(Relaciones!G70="","",Relaciones!G70)),"")</f>
        <v/>
      </c>
      <c r="D90" s="74" t="str">
        <f>IFERROR(IF(A90="","",IF(Relaciones!H70="","",Relaciones!H70)),"")</f>
        <v/>
      </c>
      <c r="E90" s="74" t="str">
        <f>IFERROR(IF(A90="","",IF(Relaciones!I70="","",Relaciones!I70)),"")</f>
        <v/>
      </c>
      <c r="F90" s="75"/>
    </row>
    <row r="91" ht="18.0" customHeight="1">
      <c r="A91" s="69" t="str">
        <f>IFERROR(IF(ISERROR(FIND("-P",Relaciones!A71)),"",IF(Relaciones!A71="","",Relaciones!A71)),"")</f>
        <v/>
      </c>
      <c r="B91" s="69" t="str">
        <f>IFERROR(IF(A91="","",IF(Relaciones!D71="","",Relaciones!D71)),"")</f>
        <v/>
      </c>
      <c r="C91" s="70" t="str">
        <f>IFERROR(IF(A91="","",IF(Relaciones!G71="","",Relaciones!G71)),"")</f>
        <v/>
      </c>
      <c r="D91" s="71" t="str">
        <f>IFERROR(IF(A91="","",IF(Relaciones!H71="","",Relaciones!H71)),"")</f>
        <v/>
      </c>
      <c r="E91" s="71" t="str">
        <f>IFERROR(IF(A91="","",IF(Relaciones!I71="","",Relaciones!I71)),"")</f>
        <v/>
      </c>
      <c r="F91" s="75"/>
    </row>
    <row r="92" ht="18.0" customHeight="1">
      <c r="A92" s="72" t="str">
        <f>IFERROR(IF(ISERROR(FIND("-P",Relaciones!A72)),"",IF(Relaciones!A72="","",Relaciones!A72)),"")</f>
        <v/>
      </c>
      <c r="B92" s="72" t="str">
        <f>IFERROR(IF(A92="","",IF(Relaciones!D72="","",Relaciones!D72)),"")</f>
        <v/>
      </c>
      <c r="C92" s="73" t="str">
        <f>IFERROR(IF(A92="","",IF(Relaciones!G72="","",Relaciones!G72)),"")</f>
        <v/>
      </c>
      <c r="D92" s="74" t="str">
        <f>IFERROR(IF(A92="","",IF(Relaciones!H72="","",Relaciones!H72)),"")</f>
        <v/>
      </c>
      <c r="E92" s="74" t="str">
        <f>IFERROR(IF(A92="","",IF(Relaciones!I72="","",Relaciones!I72)),"")</f>
        <v/>
      </c>
      <c r="F92" s="75"/>
    </row>
    <row r="93" ht="18.0" customHeight="1">
      <c r="A93" s="69" t="str">
        <f>IFERROR(IF(ISERROR(FIND("-P",Relaciones!A73)),"",IF(Relaciones!A73="","",Relaciones!A73)),"")</f>
        <v/>
      </c>
      <c r="B93" s="69" t="str">
        <f>IFERROR(IF(A93="","",IF(Relaciones!D73="","",Relaciones!D73)),"")</f>
        <v/>
      </c>
      <c r="C93" s="70" t="str">
        <f>IFERROR(IF(A93="","",IF(Relaciones!G73="","",Relaciones!G73)),"")</f>
        <v/>
      </c>
      <c r="D93" s="71" t="str">
        <f>IFERROR(IF(A93="","",IF(Relaciones!H73="","",Relaciones!H73)),"")</f>
        <v/>
      </c>
      <c r="E93" s="71" t="str">
        <f>IFERROR(IF(A93="","",IF(Relaciones!I73="","",Relaciones!I73)),"")</f>
        <v/>
      </c>
      <c r="F93" s="75"/>
    </row>
    <row r="94" ht="18.0" customHeight="1">
      <c r="A94" s="72" t="str">
        <f>IFERROR(IF(ISERROR(FIND("-P",Relaciones!A74)),"",IF(Relaciones!A74="","",Relaciones!A74)),"")</f>
        <v/>
      </c>
      <c r="B94" s="72" t="str">
        <f>IFERROR(IF(A94="","",IF(Relaciones!D74="","",Relaciones!D74)),"")</f>
        <v/>
      </c>
      <c r="C94" s="73" t="str">
        <f>IFERROR(IF(A94="","",IF(Relaciones!G74="","",Relaciones!G74)),"")</f>
        <v/>
      </c>
      <c r="D94" s="74" t="str">
        <f>IFERROR(IF(A94="","",IF(Relaciones!H74="","",Relaciones!H74)),"")</f>
        <v/>
      </c>
      <c r="E94" s="74" t="str">
        <f>IFERROR(IF(A94="","",IF(Relaciones!I74="","",Relaciones!I74)),"")</f>
        <v/>
      </c>
      <c r="F94" s="75"/>
    </row>
    <row r="95" ht="18.0" customHeight="1">
      <c r="A95" s="69" t="str">
        <f>IFERROR(IF(ISERROR(FIND("-P",Relaciones!A75)),"",IF(Relaciones!A75="","",Relaciones!A75)),"")</f>
        <v/>
      </c>
      <c r="B95" s="69" t="str">
        <f>IFERROR(IF(A95="","",IF(Relaciones!D75="","",Relaciones!D75)),"")</f>
        <v/>
      </c>
      <c r="C95" s="70" t="str">
        <f>IFERROR(IF(A95="","",IF(Relaciones!G75="","",Relaciones!G75)),"")</f>
        <v/>
      </c>
      <c r="D95" s="71" t="str">
        <f>IFERROR(IF(A95="","",IF(Relaciones!H75="","",Relaciones!H75)),"")</f>
        <v/>
      </c>
      <c r="E95" s="71" t="str">
        <f>IFERROR(IF(A95="","",IF(Relaciones!I75="","",Relaciones!I75)),"")</f>
        <v/>
      </c>
      <c r="F95" s="75"/>
    </row>
    <row r="96" ht="18.0" customHeight="1">
      <c r="A96" s="72" t="str">
        <f>IFERROR(IF(ISERROR(FIND("-P",Relaciones!A76)),"",IF(Relaciones!A76="","",Relaciones!A76)),"")</f>
        <v/>
      </c>
      <c r="B96" s="72" t="str">
        <f>IFERROR(IF(A96="","",IF(Relaciones!D76="","",Relaciones!D76)),"")</f>
        <v/>
      </c>
      <c r="C96" s="73" t="str">
        <f>IFERROR(IF(A96="","",IF(Relaciones!G76="","",Relaciones!G76)),"")</f>
        <v/>
      </c>
      <c r="D96" s="74" t="str">
        <f>IFERROR(IF(A96="","",IF(Relaciones!H76="","",Relaciones!H76)),"")</f>
        <v/>
      </c>
      <c r="E96" s="74" t="str">
        <f>IFERROR(IF(A96="","",IF(Relaciones!I76="","",Relaciones!I76)),"")</f>
        <v/>
      </c>
      <c r="F96" s="75"/>
    </row>
    <row r="97" ht="18.0" customHeight="1">
      <c r="A97" s="69" t="str">
        <f>IFERROR(IF(ISERROR(FIND("-P",Relaciones!A77)),"",IF(Relaciones!A77="","",Relaciones!A77)),"")</f>
        <v/>
      </c>
      <c r="B97" s="69" t="str">
        <f>IFERROR(IF(A97="","",IF(Relaciones!D77="","",Relaciones!D77)),"")</f>
        <v/>
      </c>
      <c r="C97" s="70" t="str">
        <f>IFERROR(IF(A97="","",IF(Relaciones!G77="","",Relaciones!G77)),"")</f>
        <v/>
      </c>
      <c r="D97" s="71" t="str">
        <f>IFERROR(IF(A97="","",IF(Relaciones!H77="","",Relaciones!H77)),"")</f>
        <v/>
      </c>
      <c r="E97" s="71" t="str">
        <f>IFERROR(IF(A97="","",IF(Relaciones!I77="","",Relaciones!I77)),"")</f>
        <v/>
      </c>
      <c r="F97" s="75"/>
    </row>
    <row r="98" ht="18.0" customHeight="1">
      <c r="A98" s="72" t="str">
        <f>IFERROR(IF(ISERROR(FIND("-P",Relaciones!A78)),"",IF(Relaciones!A78="","",Relaciones!A78)),"")</f>
        <v/>
      </c>
      <c r="B98" s="72" t="str">
        <f>IFERROR(IF(A98="","",IF(Relaciones!D78="","",Relaciones!D78)),"")</f>
        <v/>
      </c>
      <c r="C98" s="73" t="str">
        <f>IFERROR(IF(A98="","",IF(Relaciones!G78="","",Relaciones!G78)),"")</f>
        <v/>
      </c>
      <c r="D98" s="74" t="str">
        <f>IFERROR(IF(A98="","",IF(Relaciones!H78="","",Relaciones!H78)),"")</f>
        <v/>
      </c>
      <c r="E98" s="74" t="str">
        <f>IFERROR(IF(A98="","",IF(Relaciones!I78="","",Relaciones!I78)),"")</f>
        <v/>
      </c>
      <c r="F98" s="75"/>
    </row>
    <row r="99" ht="18.0" customHeight="1">
      <c r="A99" s="69" t="str">
        <f>IFERROR(IF(ISERROR(FIND("-P",Relaciones!A79)),"",IF(Relaciones!A79="","",Relaciones!A79)),"")</f>
        <v/>
      </c>
      <c r="B99" s="69" t="str">
        <f>IFERROR(IF(A99="","",IF(Relaciones!D79="","",Relaciones!D79)),"")</f>
        <v/>
      </c>
      <c r="C99" s="70" t="str">
        <f>IFERROR(IF(A99="","",IF(Relaciones!G79="","",Relaciones!G79)),"")</f>
        <v/>
      </c>
      <c r="D99" s="71" t="str">
        <f>IFERROR(IF(A99="","",IF(Relaciones!H79="","",Relaciones!H79)),"")</f>
        <v/>
      </c>
      <c r="E99" s="71" t="str">
        <f>IFERROR(IF(A99="","",IF(Relaciones!I79="","",Relaciones!I79)),"")</f>
        <v/>
      </c>
      <c r="F99" s="75"/>
    </row>
    <row r="100" ht="18.0" customHeight="1">
      <c r="A100" s="72" t="str">
        <f>IFERROR(IF(ISERROR(FIND("-P",Relaciones!A80)),"",IF(Relaciones!A80="","",Relaciones!A80)),"")</f>
        <v/>
      </c>
      <c r="B100" s="72" t="str">
        <f>IFERROR(IF(A100="","",IF(Relaciones!D80="","",Relaciones!D80)),"")</f>
        <v/>
      </c>
      <c r="C100" s="73" t="str">
        <f>IFERROR(IF(A100="","",IF(Relaciones!G80="","",Relaciones!G80)),"")</f>
        <v/>
      </c>
      <c r="D100" s="74" t="str">
        <f>IFERROR(IF(A100="","",IF(Relaciones!H80="","",Relaciones!H80)),"")</f>
        <v/>
      </c>
      <c r="E100" s="74" t="str">
        <f>IFERROR(IF(A100="","",IF(Relaciones!I80="","",Relaciones!I80)),"")</f>
        <v/>
      </c>
      <c r="F100" s="75"/>
    </row>
    <row r="101" ht="18.0" customHeight="1">
      <c r="A101" s="69" t="str">
        <f>IFERROR(IF(ISERROR(FIND("-P",Relaciones!A81)),"",IF(Relaciones!A81="","",Relaciones!A81)),"")</f>
        <v/>
      </c>
      <c r="B101" s="69" t="str">
        <f>IFERROR(IF(A101="","",IF(Relaciones!D81="","",Relaciones!D81)),"")</f>
        <v/>
      </c>
      <c r="C101" s="70" t="str">
        <f>IFERROR(IF(A101="","",IF(Relaciones!G81="","",Relaciones!G81)),"")</f>
        <v/>
      </c>
      <c r="D101" s="71" t="str">
        <f>IFERROR(IF(A101="","",IF(Relaciones!H81="","",Relaciones!H81)),"")</f>
        <v/>
      </c>
      <c r="E101" s="71" t="str">
        <f>IFERROR(IF(A101="","",IF(Relaciones!I81="","",Relaciones!I81)),"")</f>
        <v/>
      </c>
      <c r="F101" s="75"/>
    </row>
    <row r="102" ht="18.0" customHeight="1">
      <c r="A102" s="72" t="str">
        <f>IFERROR(IF(ISERROR(FIND("-P",Relaciones!A82)),"",IF(Relaciones!A82="","",Relaciones!A82)),"")</f>
        <v/>
      </c>
      <c r="B102" s="72" t="str">
        <f>IFERROR(IF(A102="","",IF(Relaciones!D82="","",Relaciones!D82)),"")</f>
        <v/>
      </c>
      <c r="C102" s="73" t="str">
        <f>IFERROR(IF(A102="","",IF(Relaciones!G82="","",Relaciones!G82)),"")</f>
        <v/>
      </c>
      <c r="D102" s="74" t="str">
        <f>IFERROR(IF(A102="","",IF(Relaciones!H82="","",Relaciones!H82)),"")</f>
        <v/>
      </c>
      <c r="E102" s="74" t="str">
        <f>IFERROR(IF(A102="","",IF(Relaciones!I82="","",Relaciones!I82)),"")</f>
        <v/>
      </c>
      <c r="F102" s="75"/>
    </row>
    <row r="103" ht="18.0" customHeight="1">
      <c r="A103" s="69" t="str">
        <f>IFERROR(IF(ISERROR(FIND("-P",Relaciones!A83)),"",IF(Relaciones!A83="","",Relaciones!A83)),"")</f>
        <v/>
      </c>
      <c r="B103" s="69" t="str">
        <f>IFERROR(IF(A103="","",IF(Relaciones!D83="","",Relaciones!D83)),"")</f>
        <v/>
      </c>
      <c r="C103" s="70" t="str">
        <f>IFERROR(IF(A103="","",IF(Relaciones!G83="","",Relaciones!G83)),"")</f>
        <v/>
      </c>
      <c r="D103" s="71" t="str">
        <f>IFERROR(IF(A103="","",IF(Relaciones!H83="","",Relaciones!H83)),"")</f>
        <v/>
      </c>
      <c r="E103" s="71" t="str">
        <f>IFERROR(IF(A103="","",IF(Relaciones!I83="","",Relaciones!I83)),"")</f>
        <v/>
      </c>
      <c r="F103" s="75"/>
    </row>
    <row r="104" ht="18.0" customHeight="1">
      <c r="A104" s="72" t="str">
        <f>IFERROR(IF(ISERROR(FIND("-P",Relaciones!A84)),"",IF(Relaciones!A84="","",Relaciones!A84)),"")</f>
        <v/>
      </c>
      <c r="B104" s="72" t="str">
        <f>IFERROR(IF(A104="","",IF(Relaciones!D84="","",Relaciones!D84)),"")</f>
        <v/>
      </c>
      <c r="C104" s="73" t="str">
        <f>IFERROR(IF(A104="","",IF(Relaciones!G84="","",Relaciones!G84)),"")</f>
        <v/>
      </c>
      <c r="D104" s="74" t="str">
        <f>IFERROR(IF(A104="","",IF(Relaciones!H84="","",Relaciones!H84)),"")</f>
        <v/>
      </c>
      <c r="E104" s="74" t="str">
        <f>IFERROR(IF(A104="","",IF(Relaciones!I84="","",Relaciones!I84)),"")</f>
        <v/>
      </c>
      <c r="F104" s="75"/>
    </row>
    <row r="105" ht="18.0" customHeight="1">
      <c r="A105" s="69" t="str">
        <f>IFERROR(IF(ISERROR(FIND("-P",Relaciones!A85)),"",IF(Relaciones!A85="","",Relaciones!A85)),"")</f>
        <v/>
      </c>
      <c r="B105" s="69" t="str">
        <f>IFERROR(IF(A105="","",IF(Relaciones!D85="","",Relaciones!D85)),"")</f>
        <v/>
      </c>
      <c r="C105" s="70" t="str">
        <f>IFERROR(IF(A105="","",IF(Relaciones!G85="","",Relaciones!G85)),"")</f>
        <v/>
      </c>
      <c r="D105" s="71" t="str">
        <f>IFERROR(IF(A105="","",IF(Relaciones!H85="","",Relaciones!H85)),"")</f>
        <v/>
      </c>
      <c r="E105" s="71" t="str">
        <f>IFERROR(IF(A105="","",IF(Relaciones!I85="","",Relaciones!I85)),"")</f>
        <v/>
      </c>
      <c r="F105" s="75"/>
    </row>
    <row r="106" ht="18.0" customHeight="1">
      <c r="A106" s="72" t="str">
        <f>IFERROR(IF(ISERROR(FIND("-P",Relaciones!A86)),"",IF(Relaciones!A86="","",Relaciones!A86)),"")</f>
        <v/>
      </c>
      <c r="B106" s="72" t="str">
        <f>IFERROR(IF(A106="","",IF(Relaciones!D86="","",Relaciones!D86)),"")</f>
        <v/>
      </c>
      <c r="C106" s="73" t="str">
        <f>IFERROR(IF(A106="","",IF(Relaciones!G86="","",Relaciones!G86)),"")</f>
        <v/>
      </c>
      <c r="D106" s="74" t="str">
        <f>IFERROR(IF(A106="","",IF(Relaciones!H86="","",Relaciones!H86)),"")</f>
        <v/>
      </c>
      <c r="E106" s="74" t="str">
        <f>IFERROR(IF(A106="","",IF(Relaciones!I86="","",Relaciones!I86)),"")</f>
        <v/>
      </c>
      <c r="F106" s="75"/>
    </row>
    <row r="107" ht="18.0" customHeight="1">
      <c r="A107" s="69" t="str">
        <f>IFERROR(IF(ISERROR(FIND("-P",Relaciones!A87)),"",IF(Relaciones!A87="","",Relaciones!A87)),"")</f>
        <v/>
      </c>
      <c r="B107" s="69" t="str">
        <f>IFERROR(IF(A107="","",IF(Relaciones!D87="","",Relaciones!D87)),"")</f>
        <v/>
      </c>
      <c r="C107" s="70" t="str">
        <f>IFERROR(IF(A107="","",IF(Relaciones!G87="","",Relaciones!G87)),"")</f>
        <v/>
      </c>
      <c r="D107" s="71" t="str">
        <f>IFERROR(IF(A107="","",IF(Relaciones!H87="","",Relaciones!H87)),"")</f>
        <v/>
      </c>
      <c r="E107" s="71" t="str">
        <f>IFERROR(IF(A107="","",IF(Relaciones!I87="","",Relaciones!I87)),"")</f>
        <v/>
      </c>
      <c r="F107" s="75"/>
    </row>
    <row r="108" ht="18.0" customHeight="1">
      <c r="A108" s="72" t="str">
        <f>IFERROR(IF(ISERROR(FIND("-P",Relaciones!A88)),"",IF(Relaciones!A88="","",Relaciones!A88)),"")</f>
        <v/>
      </c>
      <c r="B108" s="72" t="str">
        <f>IFERROR(IF(A108="","",IF(Relaciones!D88="","",Relaciones!D88)),"")</f>
        <v/>
      </c>
      <c r="C108" s="73" t="str">
        <f>IFERROR(IF(A108="","",IF(Relaciones!G88="","",Relaciones!G88)),"")</f>
        <v/>
      </c>
      <c r="D108" s="74" t="str">
        <f>IFERROR(IF(A108="","",IF(Relaciones!H88="","",Relaciones!H88)),"")</f>
        <v/>
      </c>
      <c r="E108" s="74" t="str">
        <f>IFERROR(IF(A108="","",IF(Relaciones!I88="","",Relaciones!I88)),"")</f>
        <v/>
      </c>
      <c r="F108" s="75"/>
    </row>
    <row r="109" ht="18.0" customHeight="1">
      <c r="A109" s="69" t="str">
        <f>IFERROR(IF(ISERROR(FIND("-P",Relaciones!A89)),"",IF(Relaciones!A89="","",Relaciones!A89)),"")</f>
        <v/>
      </c>
      <c r="B109" s="69" t="str">
        <f>IFERROR(IF(A109="","",IF(Relaciones!D89="","",Relaciones!D89)),"")</f>
        <v/>
      </c>
      <c r="C109" s="70" t="str">
        <f>IFERROR(IF(A109="","",IF(Relaciones!G89="","",Relaciones!G89)),"")</f>
        <v/>
      </c>
      <c r="D109" s="71" t="str">
        <f>IFERROR(IF(A109="","",IF(Relaciones!H89="","",Relaciones!H89)),"")</f>
        <v/>
      </c>
      <c r="E109" s="71" t="str">
        <f>IFERROR(IF(A109="","",IF(Relaciones!I89="","",Relaciones!I89)),"")</f>
        <v/>
      </c>
      <c r="F109" s="75"/>
    </row>
    <row r="110" ht="18.0" customHeight="1">
      <c r="A110" s="72" t="str">
        <f>IFERROR(IF(ISERROR(FIND("-P",Relaciones!A90)),"",IF(Relaciones!A90="","",Relaciones!A90)),"")</f>
        <v/>
      </c>
      <c r="B110" s="72" t="str">
        <f>IFERROR(IF(A110="","",IF(Relaciones!D90="","",Relaciones!D90)),"")</f>
        <v/>
      </c>
      <c r="C110" s="73" t="str">
        <f>IFERROR(IF(A110="","",IF(Relaciones!G90="","",Relaciones!G90)),"")</f>
        <v/>
      </c>
      <c r="D110" s="74" t="str">
        <f>IFERROR(IF(A110="","",IF(Relaciones!H90="","",Relaciones!H90)),"")</f>
        <v/>
      </c>
      <c r="E110" s="74" t="str">
        <f>IFERROR(IF(A110="","",IF(Relaciones!I90="","",Relaciones!I90)),"")</f>
        <v/>
      </c>
      <c r="F110" s="75"/>
    </row>
    <row r="111" ht="18.0" customHeight="1">
      <c r="A111" s="69" t="str">
        <f>IFERROR(IF(ISERROR(FIND("-P",Relaciones!A91)),"",IF(Relaciones!A91="","",Relaciones!A91)),"")</f>
        <v/>
      </c>
      <c r="B111" s="69" t="str">
        <f>IFERROR(IF(A111="","",IF(Relaciones!D91="","",Relaciones!D91)),"")</f>
        <v/>
      </c>
      <c r="C111" s="70" t="str">
        <f>IFERROR(IF(A111="","",IF(Relaciones!G91="","",Relaciones!G91)),"")</f>
        <v/>
      </c>
      <c r="D111" s="71" t="str">
        <f>IFERROR(IF(A111="","",IF(Relaciones!H91="","",Relaciones!H91)),"")</f>
        <v/>
      </c>
      <c r="E111" s="71" t="str">
        <f>IFERROR(IF(A111="","",IF(Relaciones!I91="","",Relaciones!I91)),"")</f>
        <v/>
      </c>
      <c r="F111" s="75"/>
    </row>
    <row r="112" ht="18.0" customHeight="1">
      <c r="A112" s="72" t="str">
        <f>IFERROR(IF(ISERROR(FIND("-P",Relaciones!A92)),"",IF(Relaciones!A92="","",Relaciones!A92)),"")</f>
        <v/>
      </c>
      <c r="B112" s="72" t="str">
        <f>IFERROR(IF(A112="","",IF(Relaciones!D92="","",Relaciones!D92)),"")</f>
        <v/>
      </c>
      <c r="C112" s="73" t="str">
        <f>IFERROR(IF(A112="","",IF(Relaciones!G92="","",Relaciones!G92)),"")</f>
        <v/>
      </c>
      <c r="D112" s="74" t="str">
        <f>IFERROR(IF(A112="","",IF(Relaciones!H92="","",Relaciones!H92)),"")</f>
        <v/>
      </c>
      <c r="E112" s="74" t="str">
        <f>IFERROR(IF(A112="","",IF(Relaciones!I92="","",Relaciones!I92)),"")</f>
        <v/>
      </c>
      <c r="F112" s="75"/>
    </row>
    <row r="113" ht="18.0" customHeight="1">
      <c r="A113" s="69" t="str">
        <f>IFERROR(IF(ISERROR(FIND("-P",Relaciones!A93)),"",IF(Relaciones!A93="","",Relaciones!A93)),"")</f>
        <v/>
      </c>
      <c r="B113" s="69" t="str">
        <f>IFERROR(IF(A113="","",IF(Relaciones!D93="","",Relaciones!D93)),"")</f>
        <v/>
      </c>
      <c r="C113" s="70" t="str">
        <f>IFERROR(IF(A113="","",IF(Relaciones!G93="","",Relaciones!G93)),"")</f>
        <v/>
      </c>
      <c r="D113" s="71" t="str">
        <f>IFERROR(IF(A113="","",IF(Relaciones!H93="","",Relaciones!H93)),"")</f>
        <v/>
      </c>
      <c r="E113" s="71" t="str">
        <f>IFERROR(IF(A113="","",IF(Relaciones!I93="","",Relaciones!I93)),"")</f>
        <v/>
      </c>
      <c r="F113" s="75"/>
    </row>
    <row r="114" ht="18.0" customHeight="1">
      <c r="A114" s="72" t="str">
        <f>IFERROR(IF(ISERROR(FIND("-P",Relaciones!A94)),"",IF(Relaciones!A94="","",Relaciones!A94)),"")</f>
        <v/>
      </c>
      <c r="B114" s="72" t="str">
        <f>IFERROR(IF(A114="","",IF(Relaciones!D94="","",Relaciones!D94)),"")</f>
        <v/>
      </c>
      <c r="C114" s="73" t="str">
        <f>IFERROR(IF(A114="","",IF(Relaciones!G94="","",Relaciones!G94)),"")</f>
        <v/>
      </c>
      <c r="D114" s="74" t="str">
        <f>IFERROR(IF(A114="","",IF(Relaciones!H94="","",Relaciones!H94)),"")</f>
        <v/>
      </c>
      <c r="E114" s="74" t="str">
        <f>IFERROR(IF(A114="","",IF(Relaciones!I94="","",Relaciones!I94)),"")</f>
        <v/>
      </c>
      <c r="F114" s="75"/>
    </row>
    <row r="115" ht="18.0" customHeight="1">
      <c r="A115" s="69" t="str">
        <f>IFERROR(IF(ISERROR(FIND("-P",Relaciones!A95)),"",IF(Relaciones!A95="","",Relaciones!A95)),"")</f>
        <v/>
      </c>
      <c r="B115" s="69" t="str">
        <f>IFERROR(IF(A115="","",IF(Relaciones!D95="","",Relaciones!D95)),"")</f>
        <v/>
      </c>
      <c r="C115" s="70" t="str">
        <f>IFERROR(IF(A115="","",IF(Relaciones!G95="","",Relaciones!G95)),"")</f>
        <v/>
      </c>
      <c r="D115" s="71" t="str">
        <f>IFERROR(IF(A115="","",IF(Relaciones!H95="","",Relaciones!H95)),"")</f>
        <v/>
      </c>
      <c r="E115" s="71" t="str">
        <f>IFERROR(IF(A115="","",IF(Relaciones!I95="","",Relaciones!I95)),"")</f>
        <v/>
      </c>
      <c r="F115" s="75"/>
    </row>
    <row r="116" ht="18.0" customHeight="1">
      <c r="A116" s="72" t="str">
        <f>IFERROR(IF(ISERROR(FIND("-P",Relaciones!A96)),"",IF(Relaciones!A96="","",Relaciones!A96)),"")</f>
        <v/>
      </c>
      <c r="B116" s="72" t="str">
        <f>IFERROR(IF(A116="","",IF(Relaciones!D96="","",Relaciones!D96)),"")</f>
        <v/>
      </c>
      <c r="C116" s="73" t="str">
        <f>IFERROR(IF(A116="","",IF(Relaciones!G96="","",Relaciones!G96)),"")</f>
        <v/>
      </c>
      <c r="D116" s="74" t="str">
        <f>IFERROR(IF(A116="","",IF(Relaciones!H96="","",Relaciones!H96)),"")</f>
        <v/>
      </c>
      <c r="E116" s="74" t="str">
        <f>IFERROR(IF(A116="","",IF(Relaciones!I96="","",Relaciones!I96)),"")</f>
        <v/>
      </c>
      <c r="F116" s="75"/>
    </row>
    <row r="117" ht="18.0" customHeight="1">
      <c r="A117" s="69" t="str">
        <f>IFERROR(IF(ISERROR(FIND("-P",Relaciones!A97)),"",IF(Relaciones!A97="","",Relaciones!A97)),"")</f>
        <v/>
      </c>
      <c r="B117" s="69" t="str">
        <f>IFERROR(IF(A117="","",IF(Relaciones!D97="","",Relaciones!D97)),"")</f>
        <v/>
      </c>
      <c r="C117" s="70" t="str">
        <f>IFERROR(IF(A117="","",IF(Relaciones!G97="","",Relaciones!G97)),"")</f>
        <v/>
      </c>
      <c r="D117" s="71" t="str">
        <f>IFERROR(IF(A117="","",IF(Relaciones!H97="","",Relaciones!H97)),"")</f>
        <v/>
      </c>
      <c r="E117" s="71" t="str">
        <f>IFERROR(IF(A117="","",IF(Relaciones!I97="","",Relaciones!I97)),"")</f>
        <v/>
      </c>
      <c r="F117" s="75"/>
    </row>
    <row r="118" ht="18.0" customHeight="1">
      <c r="A118" s="72" t="str">
        <f>IFERROR(IF(ISERROR(FIND("-P",Relaciones!A98)),"",IF(Relaciones!A98="","",Relaciones!A98)),"")</f>
        <v/>
      </c>
      <c r="B118" s="72" t="str">
        <f>IFERROR(IF(A118="","",IF(Relaciones!D98="","",Relaciones!D98)),"")</f>
        <v/>
      </c>
      <c r="C118" s="73" t="str">
        <f>IFERROR(IF(A118="","",IF(Relaciones!G98="","",Relaciones!G98)),"")</f>
        <v/>
      </c>
      <c r="D118" s="74" t="str">
        <f>IFERROR(IF(A118="","",IF(Relaciones!H98="","",Relaciones!H98)),"")</f>
        <v/>
      </c>
      <c r="E118" s="74" t="str">
        <f>IFERROR(IF(A118="","",IF(Relaciones!I98="","",Relaciones!I98)),"")</f>
        <v/>
      </c>
      <c r="F118" s="75"/>
    </row>
    <row r="119" ht="18.0" customHeight="1">
      <c r="A119" s="69" t="str">
        <f>IFERROR(IF(ISERROR(FIND("-P",Relaciones!A99)),"",IF(Relaciones!A99="","",Relaciones!A99)),"")</f>
        <v/>
      </c>
      <c r="B119" s="69" t="str">
        <f>IFERROR(IF(A119="","",IF(Relaciones!D99="","",Relaciones!D99)),"")</f>
        <v/>
      </c>
      <c r="C119" s="70" t="str">
        <f>IFERROR(IF(A119="","",IF(Relaciones!G99="","",Relaciones!G99)),"")</f>
        <v/>
      </c>
      <c r="D119" s="71" t="str">
        <f>IFERROR(IF(A119="","",IF(Relaciones!H99="","",Relaciones!H99)),"")</f>
        <v/>
      </c>
      <c r="E119" s="71" t="str">
        <f>IFERROR(IF(A119="","",IF(Relaciones!I99="","",Relaciones!I99)),"")</f>
        <v/>
      </c>
      <c r="F119" s="75"/>
    </row>
    <row r="120" ht="18.0" customHeight="1">
      <c r="A120" s="72" t="str">
        <f>IFERROR(IF(ISERROR(FIND("-P",Relaciones!A100)),"",IF(Relaciones!A100="","",Relaciones!A100)),"")</f>
        <v/>
      </c>
      <c r="B120" s="72" t="str">
        <f>IFERROR(IF(A120="","",IF(Relaciones!D100="","",Relaciones!D100)),"")</f>
        <v/>
      </c>
      <c r="C120" s="73" t="str">
        <f>IFERROR(IF(A120="","",IF(Relaciones!G100="","",Relaciones!G100)),"")</f>
        <v/>
      </c>
      <c r="D120" s="74" t="str">
        <f>IFERROR(IF(A120="","",IF(Relaciones!H100="","",Relaciones!H100)),"")</f>
        <v/>
      </c>
      <c r="E120" s="74" t="str">
        <f>IFERROR(IF(A120="","",IF(Relaciones!I100="","",Relaciones!I100)),"")</f>
        <v/>
      </c>
      <c r="F120" s="75"/>
    </row>
    <row r="121" ht="18.0" customHeight="1">
      <c r="A121" s="69" t="str">
        <f>IFERROR(IF(ISERROR(FIND("-P",Relaciones!A101)),"",IF(Relaciones!A101="","",Relaciones!A101)),"")</f>
        <v/>
      </c>
      <c r="B121" s="69" t="str">
        <f>IFERROR(IF(A121="","",IF(Relaciones!D101="","",Relaciones!D101)),"")</f>
        <v/>
      </c>
      <c r="C121" s="70" t="str">
        <f>IFERROR(IF(A121="","",IF(Relaciones!G101="","",Relaciones!G101)),"")</f>
        <v/>
      </c>
      <c r="D121" s="71" t="str">
        <f>IFERROR(IF(A121="","",IF(Relaciones!H101="","",Relaciones!H101)),"")</f>
        <v/>
      </c>
      <c r="E121" s="71" t="str">
        <f>IFERROR(IF(A121="","",IF(Relaciones!I101="","",Relaciones!I101)),"")</f>
        <v/>
      </c>
      <c r="F121" s="75"/>
    </row>
    <row r="122" ht="18.0" customHeight="1">
      <c r="A122" s="72" t="str">
        <f>IFERROR(IF(ISERROR(FIND("-P",Relaciones!A102)),"",IF(Relaciones!A102="","",Relaciones!A102)),"")</f>
        <v/>
      </c>
      <c r="B122" s="72" t="str">
        <f>IFERROR(IF(A122="","",IF(Relaciones!D102="","",Relaciones!D102)),"")</f>
        <v/>
      </c>
      <c r="C122" s="73" t="str">
        <f>IFERROR(IF(A122="","",IF(Relaciones!G102="","",Relaciones!G102)),"")</f>
        <v/>
      </c>
      <c r="D122" s="74" t="str">
        <f>IFERROR(IF(A122="","",IF(Relaciones!H102="","",Relaciones!H102)),"")</f>
        <v/>
      </c>
      <c r="E122" s="74" t="str">
        <f>IFERROR(IF(A122="","",IF(Relaciones!I102="","",Relaciones!I102)),"")</f>
        <v/>
      </c>
      <c r="F122" s="75"/>
    </row>
    <row r="123" ht="18.0" customHeight="1">
      <c r="A123" s="69" t="str">
        <f>IFERROR(IF(ISERROR(FIND("-P",Relaciones!A103)),"",IF(Relaciones!A103="","",Relaciones!A103)),"")</f>
        <v/>
      </c>
      <c r="B123" s="69" t="str">
        <f>IFERROR(IF(A123="","",IF(Relaciones!D103="","",Relaciones!D103)),"")</f>
        <v/>
      </c>
      <c r="C123" s="70" t="str">
        <f>IFERROR(IF(A123="","",IF(Relaciones!G103="","",Relaciones!G103)),"")</f>
        <v/>
      </c>
      <c r="D123" s="71" t="str">
        <f>IFERROR(IF(A123="","",IF(Relaciones!H103="","",Relaciones!H103)),"")</f>
        <v/>
      </c>
      <c r="E123" s="71" t="str">
        <f>IFERROR(IF(A123="","",IF(Relaciones!I103="","",Relaciones!I103)),"")</f>
        <v/>
      </c>
      <c r="F123" s="75"/>
    </row>
    <row r="124" ht="18.0" customHeight="1">
      <c r="A124" s="72" t="str">
        <f>IFERROR(IF(ISERROR(FIND("-P",Relaciones!A104)),"",IF(Relaciones!A104="","",Relaciones!A104)),"")</f>
        <v/>
      </c>
      <c r="B124" s="72" t="str">
        <f>IFERROR(IF(A124="","",IF(Relaciones!D104="","",Relaciones!D104)),"")</f>
        <v/>
      </c>
      <c r="C124" s="73" t="str">
        <f>IFERROR(IF(A124="","",IF(Relaciones!G104="","",Relaciones!G104)),"")</f>
        <v/>
      </c>
      <c r="D124" s="74" t="str">
        <f>IFERROR(IF(A124="","",IF(Relaciones!H104="","",Relaciones!H104)),"")</f>
        <v/>
      </c>
      <c r="E124" s="74" t="str">
        <f>IFERROR(IF(A124="","",IF(Relaciones!I104="","",Relaciones!I104)),"")</f>
        <v/>
      </c>
      <c r="F124" s="75"/>
    </row>
    <row r="125" ht="18.0" customHeight="1">
      <c r="A125" s="69" t="str">
        <f>IFERROR(IF(ISERROR(FIND("-P",Relaciones!A105)),"",IF(Relaciones!A105="","",Relaciones!A105)),"")</f>
        <v/>
      </c>
      <c r="B125" s="69" t="str">
        <f>IFERROR(IF(A125="","",IF(Relaciones!D105="","",Relaciones!D105)),"")</f>
        <v/>
      </c>
      <c r="C125" s="70" t="str">
        <f>IFERROR(IF(A125="","",IF(Relaciones!G105="","",Relaciones!G105)),"")</f>
        <v/>
      </c>
      <c r="D125" s="71" t="str">
        <f>IFERROR(IF(A125="","",IF(Relaciones!H105="","",Relaciones!H105)),"")</f>
        <v/>
      </c>
      <c r="E125" s="71" t="str">
        <f>IFERROR(IF(A125="","",IF(Relaciones!I105="","",Relaciones!I105)),"")</f>
        <v/>
      </c>
      <c r="F125" s="75"/>
    </row>
    <row r="126" ht="18.0" customHeight="1">
      <c r="A126" s="72" t="str">
        <f>IFERROR(IF(ISERROR(FIND("-P",Relaciones!A106)),"",IF(Relaciones!A106="","",Relaciones!A106)),"")</f>
        <v/>
      </c>
      <c r="B126" s="72" t="str">
        <f>IFERROR(IF(A126="","",IF(Relaciones!D106="","",Relaciones!D106)),"")</f>
        <v/>
      </c>
      <c r="C126" s="73" t="str">
        <f>IFERROR(IF(A126="","",IF(Relaciones!G106="","",Relaciones!G106)),"")</f>
        <v/>
      </c>
      <c r="D126" s="74" t="str">
        <f>IFERROR(IF(A126="","",IF(Relaciones!H106="","",Relaciones!H106)),"")</f>
        <v/>
      </c>
      <c r="E126" s="74" t="str">
        <f>IFERROR(IF(A126="","",IF(Relaciones!I106="","",Relaciones!I106)),"")</f>
        <v/>
      </c>
      <c r="F126" s="75"/>
    </row>
    <row r="127" ht="18.0" customHeight="1">
      <c r="A127" s="69" t="str">
        <f>IFERROR(IF(ISERROR(FIND("-P",Relaciones!A107)),"",IF(Relaciones!A107="","",Relaciones!A107)),"")</f>
        <v/>
      </c>
      <c r="B127" s="69" t="str">
        <f>IFERROR(IF(A127="","",IF(Relaciones!D107="","",Relaciones!D107)),"")</f>
        <v/>
      </c>
      <c r="C127" s="70" t="str">
        <f>IFERROR(IF(A127="","",IF(Relaciones!G107="","",Relaciones!G107)),"")</f>
        <v/>
      </c>
      <c r="D127" s="71" t="str">
        <f>IFERROR(IF(A127="","",IF(Relaciones!H107="","",Relaciones!H107)),"")</f>
        <v/>
      </c>
      <c r="E127" s="71" t="str">
        <f>IFERROR(IF(A127="","",IF(Relaciones!I107="","",Relaciones!I107)),"")</f>
        <v/>
      </c>
      <c r="F127" s="75"/>
    </row>
    <row r="128" ht="18.0" customHeight="1">
      <c r="A128" s="72" t="str">
        <f>IFERROR(IF(ISERROR(FIND("-P",Relaciones!A108)),"",IF(Relaciones!A108="","",Relaciones!A108)),"")</f>
        <v/>
      </c>
      <c r="B128" s="72" t="str">
        <f>IFERROR(IF(A128="","",IF(Relaciones!D108="","",Relaciones!D108)),"")</f>
        <v/>
      </c>
      <c r="C128" s="73" t="str">
        <f>IFERROR(IF(A128="","",IF(Relaciones!G108="","",Relaciones!G108)),"")</f>
        <v/>
      </c>
      <c r="D128" s="74" t="str">
        <f>IFERROR(IF(A128="","",IF(Relaciones!H108="","",Relaciones!H108)),"")</f>
        <v/>
      </c>
      <c r="E128" s="74" t="str">
        <f>IFERROR(IF(A128="","",IF(Relaciones!I108="","",Relaciones!I108)),"")</f>
        <v/>
      </c>
      <c r="F128" s="75"/>
    </row>
    <row r="129" ht="18.0" customHeight="1">
      <c r="A129" s="69" t="str">
        <f>IFERROR(IF(ISERROR(FIND("-P",Relaciones!A109)),"",IF(Relaciones!A109="","",Relaciones!A109)),"")</f>
        <v/>
      </c>
      <c r="B129" s="69" t="str">
        <f>IFERROR(IF(A129="","",IF(Relaciones!D109="","",Relaciones!D109)),"")</f>
        <v/>
      </c>
      <c r="C129" s="70" t="str">
        <f>IFERROR(IF(A129="","",IF(Relaciones!G109="","",Relaciones!G109)),"")</f>
        <v/>
      </c>
      <c r="D129" s="71" t="str">
        <f>IFERROR(IF(A129="","",IF(Relaciones!H109="","",Relaciones!H109)),"")</f>
        <v/>
      </c>
      <c r="E129" s="71" t="str">
        <f>IFERROR(IF(A129="","",IF(Relaciones!I109="","",Relaciones!I109)),"")</f>
        <v/>
      </c>
      <c r="F129" s="75"/>
    </row>
    <row r="130" ht="18.0" customHeight="1">
      <c r="A130" s="72" t="str">
        <f>IFERROR(IF(ISERROR(FIND("-P",Relaciones!A110)),"",IF(Relaciones!A110="","",Relaciones!A110)),"")</f>
        <v/>
      </c>
      <c r="B130" s="72" t="str">
        <f>IFERROR(IF(A130="","",IF(Relaciones!D110="","",Relaciones!D110)),"")</f>
        <v/>
      </c>
      <c r="C130" s="73" t="str">
        <f>IFERROR(IF(A130="","",IF(Relaciones!G110="","",Relaciones!G110)),"")</f>
        <v/>
      </c>
      <c r="D130" s="74" t="str">
        <f>IFERROR(IF(A130="","",IF(Relaciones!H110="","",Relaciones!H110)),"")</f>
        <v/>
      </c>
      <c r="E130" s="74" t="str">
        <f>IFERROR(IF(A130="","",IF(Relaciones!I110="","",Relaciones!I110)),"")</f>
        <v/>
      </c>
      <c r="F130" s="75"/>
    </row>
    <row r="131" ht="18.0" customHeight="1">
      <c r="A131" s="69" t="str">
        <f>IFERROR(IF(ISERROR(FIND("-P",Relaciones!A111)),"",IF(Relaciones!A111="","",Relaciones!A111)),"")</f>
        <v/>
      </c>
      <c r="B131" s="69" t="str">
        <f>IFERROR(IF(A131="","",IF(Relaciones!D111="","",Relaciones!D111)),"")</f>
        <v/>
      </c>
      <c r="C131" s="70" t="str">
        <f>IFERROR(IF(A131="","",IF(Relaciones!G111="","",Relaciones!G111)),"")</f>
        <v/>
      </c>
      <c r="D131" s="71" t="str">
        <f>IFERROR(IF(A131="","",IF(Relaciones!H111="","",Relaciones!H111)),"")</f>
        <v/>
      </c>
      <c r="E131" s="71" t="str">
        <f>IFERROR(IF(A131="","",IF(Relaciones!I111="","",Relaciones!I111)),"")</f>
        <v/>
      </c>
      <c r="F131" s="75"/>
    </row>
    <row r="132" ht="18.0" customHeight="1">
      <c r="A132" s="72" t="str">
        <f>IFERROR(IF(ISERROR(FIND("-P",Relaciones!A112)),"",IF(Relaciones!A112="","",Relaciones!A112)),"")</f>
        <v/>
      </c>
      <c r="B132" s="72" t="str">
        <f>IFERROR(IF(A132="","",IF(Relaciones!D112="","",Relaciones!D112)),"")</f>
        <v/>
      </c>
      <c r="C132" s="73" t="str">
        <f>IFERROR(IF(A132="","",IF(Relaciones!G112="","",Relaciones!G112)),"")</f>
        <v/>
      </c>
      <c r="D132" s="74" t="str">
        <f>IFERROR(IF(A132="","",IF(Relaciones!H112="","",Relaciones!H112)),"")</f>
        <v/>
      </c>
      <c r="E132" s="74" t="str">
        <f>IFERROR(IF(A132="","",IF(Relaciones!I112="","",Relaciones!I112)),"")</f>
        <v/>
      </c>
      <c r="F132" s="75"/>
    </row>
    <row r="133" ht="18.0" customHeight="1">
      <c r="A133" s="69" t="str">
        <f>IFERROR(IF(ISERROR(FIND("-P",Relaciones!A113)),"",IF(Relaciones!A113="","",Relaciones!A113)),"")</f>
        <v/>
      </c>
      <c r="B133" s="69" t="str">
        <f>IFERROR(IF(A133="","",IF(Relaciones!D113="","",Relaciones!D113)),"")</f>
        <v/>
      </c>
      <c r="C133" s="70" t="str">
        <f>IFERROR(IF(A133="","",IF(Relaciones!G113="","",Relaciones!G113)),"")</f>
        <v/>
      </c>
      <c r="D133" s="71" t="str">
        <f>IFERROR(IF(A133="","",IF(Relaciones!H113="","",Relaciones!H113)),"")</f>
        <v/>
      </c>
      <c r="E133" s="71" t="str">
        <f>IFERROR(IF(A133="","",IF(Relaciones!I113="","",Relaciones!I113)),"")</f>
        <v/>
      </c>
      <c r="F133" s="75"/>
    </row>
    <row r="134" ht="18.0" customHeight="1">
      <c r="A134" s="72" t="str">
        <f>IFERROR(IF(ISERROR(FIND("-P",Relaciones!A114)),"",IF(Relaciones!A114="","",Relaciones!A114)),"")</f>
        <v/>
      </c>
      <c r="B134" s="72" t="str">
        <f>IFERROR(IF(A134="","",IF(Relaciones!D114="","",Relaciones!D114)),"")</f>
        <v/>
      </c>
      <c r="C134" s="73" t="str">
        <f>IFERROR(IF(A134="","",IF(Relaciones!G114="","",Relaciones!G114)),"")</f>
        <v/>
      </c>
      <c r="D134" s="74" t="str">
        <f>IFERROR(IF(A134="","",IF(Relaciones!H114="","",Relaciones!H114)),"")</f>
        <v/>
      </c>
      <c r="E134" s="74" t="str">
        <f>IFERROR(IF(A134="","",IF(Relaciones!I114="","",Relaciones!I114)),"")</f>
        <v/>
      </c>
      <c r="F134" s="75"/>
    </row>
    <row r="135" ht="18.0" customHeight="1">
      <c r="A135" s="69" t="str">
        <f>IFERROR(IF(ISERROR(FIND("-P",Relaciones!A115)),"",IF(Relaciones!A115="","",Relaciones!A115)),"")</f>
        <v/>
      </c>
      <c r="B135" s="69" t="str">
        <f>IFERROR(IF(A135="","",IF(Relaciones!D115="","",Relaciones!D115)),"")</f>
        <v/>
      </c>
      <c r="C135" s="70" t="str">
        <f>IFERROR(IF(A135="","",IF(Relaciones!G115="","",Relaciones!G115)),"")</f>
        <v/>
      </c>
      <c r="D135" s="71" t="str">
        <f>IFERROR(IF(A135="","",IF(Relaciones!H115="","",Relaciones!H115)),"")</f>
        <v/>
      </c>
      <c r="E135" s="71" t="str">
        <f>IFERROR(IF(A135="","",IF(Relaciones!I115="","",Relaciones!I115)),"")</f>
        <v/>
      </c>
      <c r="F135" s="75"/>
    </row>
    <row r="136" ht="18.0" customHeight="1">
      <c r="A136" s="72" t="str">
        <f>IFERROR(IF(ISERROR(FIND("-P",Relaciones!A116)),"",IF(Relaciones!A116="","",Relaciones!A116)),"")</f>
        <v/>
      </c>
      <c r="B136" s="72" t="str">
        <f>IFERROR(IF(A136="","",IF(Relaciones!D116="","",Relaciones!D116)),"")</f>
        <v/>
      </c>
      <c r="C136" s="73" t="str">
        <f>IFERROR(IF(A136="","",IF(Relaciones!G116="","",Relaciones!G116)),"")</f>
        <v/>
      </c>
      <c r="D136" s="74" t="str">
        <f>IFERROR(IF(A136="","",IF(Relaciones!H116="","",Relaciones!H116)),"")</f>
        <v/>
      </c>
      <c r="E136" s="74" t="str">
        <f>IFERROR(IF(A136="","",IF(Relaciones!I116="","",Relaciones!I116)),"")</f>
        <v/>
      </c>
      <c r="F136" s="75"/>
    </row>
    <row r="137" ht="18.0" customHeight="1">
      <c r="A137" s="69" t="str">
        <f>IFERROR(IF(ISERROR(FIND("-P",Relaciones!A117)),"",IF(Relaciones!A117="","",Relaciones!A117)),"")</f>
        <v/>
      </c>
      <c r="B137" s="69" t="str">
        <f>IFERROR(IF(A137="","",IF(Relaciones!D117="","",Relaciones!D117)),"")</f>
        <v/>
      </c>
      <c r="C137" s="70" t="str">
        <f>IFERROR(IF(A137="","",IF(Relaciones!G117="","",Relaciones!G117)),"")</f>
        <v/>
      </c>
      <c r="D137" s="71" t="str">
        <f>IFERROR(IF(A137="","",IF(Relaciones!H117="","",Relaciones!H117)),"")</f>
        <v/>
      </c>
      <c r="E137" s="71" t="str">
        <f>IFERROR(IF(A137="","",IF(Relaciones!I117="","",Relaciones!I117)),"")</f>
        <v/>
      </c>
      <c r="F137" s="75"/>
    </row>
    <row r="138" ht="18.0" customHeight="1">
      <c r="A138" s="72" t="str">
        <f>IFERROR(IF(ISERROR(FIND("-P",Relaciones!A118)),"",IF(Relaciones!A118="","",Relaciones!A118)),"")</f>
        <v/>
      </c>
      <c r="B138" s="72" t="str">
        <f>IFERROR(IF(A138="","",IF(Relaciones!D118="","",Relaciones!D118)),"")</f>
        <v/>
      </c>
      <c r="C138" s="73" t="str">
        <f>IFERROR(IF(A138="","",IF(Relaciones!G118="","",Relaciones!G118)),"")</f>
        <v/>
      </c>
      <c r="D138" s="74" t="str">
        <f>IFERROR(IF(A138="","",IF(Relaciones!H118="","",Relaciones!H118)),"")</f>
        <v/>
      </c>
      <c r="E138" s="74" t="str">
        <f>IFERROR(IF(A138="","",IF(Relaciones!I118="","",Relaciones!I118)),"")</f>
        <v/>
      </c>
      <c r="F138" s="75"/>
    </row>
    <row r="139" ht="18.0" customHeight="1">
      <c r="A139" s="69" t="str">
        <f>IFERROR(IF(ISERROR(FIND("-P",Relaciones!A119)),"",IF(Relaciones!A119="","",Relaciones!A119)),"")</f>
        <v/>
      </c>
      <c r="B139" s="69" t="str">
        <f>IFERROR(IF(A139="","",IF(Relaciones!D119="","",Relaciones!D119)),"")</f>
        <v/>
      </c>
      <c r="C139" s="70" t="str">
        <f>IFERROR(IF(A139="","",IF(Relaciones!G119="","",Relaciones!G119)),"")</f>
        <v/>
      </c>
      <c r="D139" s="71" t="str">
        <f>IFERROR(IF(A139="","",IF(Relaciones!H119="","",Relaciones!H119)),"")</f>
        <v/>
      </c>
      <c r="E139" s="71" t="str">
        <f>IFERROR(IF(A139="","",IF(Relaciones!I119="","",Relaciones!I119)),"")</f>
        <v/>
      </c>
      <c r="F139" s="75"/>
    </row>
    <row r="140" ht="18.0" customHeight="1">
      <c r="A140" s="72" t="str">
        <f>IFERROR(IF(ISERROR(FIND("-P",Relaciones!A120)),"",IF(Relaciones!A120="","",Relaciones!A120)),"")</f>
        <v/>
      </c>
      <c r="B140" s="72" t="str">
        <f>IFERROR(IF(A140="","",IF(Relaciones!D120="","",Relaciones!D120)),"")</f>
        <v/>
      </c>
      <c r="C140" s="73" t="str">
        <f>IFERROR(IF(A140="","",IF(Relaciones!G120="","",Relaciones!G120)),"")</f>
        <v/>
      </c>
      <c r="D140" s="74" t="str">
        <f>IFERROR(IF(A140="","",IF(Relaciones!H120="","",Relaciones!H120)),"")</f>
        <v/>
      </c>
      <c r="E140" s="74" t="str">
        <f>IFERROR(IF(A140="","",IF(Relaciones!I120="","",Relaciones!I120)),"")</f>
        <v/>
      </c>
      <c r="F140" s="75"/>
    </row>
    <row r="141" ht="18.0" customHeight="1">
      <c r="A141" s="69" t="str">
        <f>IFERROR(IF(ISERROR(FIND("-P",Relaciones!A121)),"",IF(Relaciones!A121="","",Relaciones!A121)),"")</f>
        <v/>
      </c>
      <c r="B141" s="69" t="str">
        <f>IFERROR(IF(A141="","",IF(Relaciones!D121="","",Relaciones!D121)),"")</f>
        <v/>
      </c>
      <c r="C141" s="70" t="str">
        <f>IFERROR(IF(A141="","",IF(Relaciones!G121="","",Relaciones!G121)),"")</f>
        <v/>
      </c>
      <c r="D141" s="71" t="str">
        <f>IFERROR(IF(A141="","",IF(Relaciones!H121="","",Relaciones!H121)),"")</f>
        <v/>
      </c>
      <c r="E141" s="71" t="str">
        <f>IFERROR(IF(A141="","",IF(Relaciones!I121="","",Relaciones!I121)),"")</f>
        <v/>
      </c>
      <c r="F141" s="75"/>
    </row>
    <row r="142" ht="18.0" customHeight="1">
      <c r="A142" s="72" t="str">
        <f>IFERROR(IF(ISERROR(FIND("-P",Relaciones!A122)),"",IF(Relaciones!A122="","",Relaciones!A122)),"")</f>
        <v/>
      </c>
      <c r="B142" s="72" t="str">
        <f>IFERROR(IF(A142="","",IF(Relaciones!D122="","",Relaciones!D122)),"")</f>
        <v/>
      </c>
      <c r="C142" s="73" t="str">
        <f>IFERROR(IF(A142="","",IF(Relaciones!G122="","",Relaciones!G122)),"")</f>
        <v/>
      </c>
      <c r="D142" s="74" t="str">
        <f>IFERROR(IF(A142="","",IF(Relaciones!H122="","",Relaciones!H122)),"")</f>
        <v/>
      </c>
      <c r="E142" s="74" t="str">
        <f>IFERROR(IF(A142="","",IF(Relaciones!I122="","",Relaciones!I122)),"")</f>
        <v/>
      </c>
      <c r="F142" s="75"/>
    </row>
    <row r="143" ht="18.0" customHeight="1">
      <c r="A143" s="69" t="str">
        <f>IFERROR(IF(ISERROR(FIND("-P",Relaciones!A123)),"",IF(Relaciones!A123="","",Relaciones!A123)),"")</f>
        <v/>
      </c>
      <c r="B143" s="69" t="str">
        <f>IFERROR(IF(A143="","",IF(Relaciones!D123="","",Relaciones!D123)),"")</f>
        <v/>
      </c>
      <c r="C143" s="70" t="str">
        <f>IFERROR(IF(A143="","",IF(Relaciones!G123="","",Relaciones!G123)),"")</f>
        <v/>
      </c>
      <c r="D143" s="71" t="str">
        <f>IFERROR(IF(A143="","",IF(Relaciones!H123="","",Relaciones!H123)),"")</f>
        <v/>
      </c>
      <c r="E143" s="71" t="str">
        <f>IFERROR(IF(A143="","",IF(Relaciones!I123="","",Relaciones!I123)),"")</f>
        <v/>
      </c>
      <c r="F143" s="75"/>
    </row>
    <row r="144" ht="18.0" customHeight="1">
      <c r="A144" s="72" t="str">
        <f>IFERROR(IF(ISERROR(FIND("-P",Relaciones!A124)),"",IF(Relaciones!A124="","",Relaciones!A124)),"")</f>
        <v/>
      </c>
      <c r="B144" s="72" t="str">
        <f>IFERROR(IF(A144="","",IF(Relaciones!D124="","",Relaciones!D124)),"")</f>
        <v/>
      </c>
      <c r="C144" s="73" t="str">
        <f>IFERROR(IF(A144="","",IF(Relaciones!G124="","",Relaciones!G124)),"")</f>
        <v/>
      </c>
      <c r="D144" s="74" t="str">
        <f>IFERROR(IF(A144="","",IF(Relaciones!H124="","",Relaciones!H124)),"")</f>
        <v/>
      </c>
      <c r="E144" s="74" t="str">
        <f>IFERROR(IF(A144="","",IF(Relaciones!I124="","",Relaciones!I124)),"")</f>
        <v/>
      </c>
      <c r="F144" s="75"/>
    </row>
    <row r="145" ht="18.0" customHeight="1">
      <c r="A145" s="69" t="str">
        <f>IFERROR(IF(ISERROR(FIND("-P",Relaciones!A125)),"",IF(Relaciones!A125="","",Relaciones!A125)),"")</f>
        <v/>
      </c>
      <c r="B145" s="69" t="str">
        <f>IFERROR(IF(A145="","",IF(Relaciones!D125="","",Relaciones!D125)),"")</f>
        <v/>
      </c>
      <c r="C145" s="70" t="str">
        <f>IFERROR(IF(A145="","",IF(Relaciones!G125="","",Relaciones!G125)),"")</f>
        <v/>
      </c>
      <c r="D145" s="71" t="str">
        <f>IFERROR(IF(A145="","",IF(Relaciones!H125="","",Relaciones!H125)),"")</f>
        <v/>
      </c>
      <c r="E145" s="71" t="str">
        <f>IFERROR(IF(A145="","",IF(Relaciones!I125="","",Relaciones!I125)),"")</f>
        <v/>
      </c>
      <c r="F145" s="75"/>
    </row>
    <row r="146" ht="18.0" customHeight="1">
      <c r="A146" s="72" t="str">
        <f>IFERROR(IF(ISERROR(FIND("-P",Relaciones!A126)),"",IF(Relaciones!A126="","",Relaciones!A126)),"")</f>
        <v/>
      </c>
      <c r="B146" s="72" t="str">
        <f>IFERROR(IF(A146="","",IF(Relaciones!D126="","",Relaciones!D126)),"")</f>
        <v/>
      </c>
      <c r="C146" s="73" t="str">
        <f>IFERROR(IF(A146="","",IF(Relaciones!G126="","",Relaciones!G126)),"")</f>
        <v/>
      </c>
      <c r="D146" s="74" t="str">
        <f>IFERROR(IF(A146="","",IF(Relaciones!H126="","",Relaciones!H126)),"")</f>
        <v/>
      </c>
      <c r="E146" s="74" t="str">
        <f>IFERROR(IF(A146="","",IF(Relaciones!I126="","",Relaciones!I126)),"")</f>
        <v/>
      </c>
      <c r="F146" s="75"/>
    </row>
    <row r="147" ht="18.0" customHeight="1">
      <c r="A147" s="69" t="str">
        <f>IFERROR(IF(ISERROR(FIND("-P",Relaciones!A127)),"",IF(Relaciones!A127="","",Relaciones!A127)),"")</f>
        <v/>
      </c>
      <c r="B147" s="69" t="str">
        <f>IFERROR(IF(A147="","",IF(Relaciones!D127="","",Relaciones!D127)),"")</f>
        <v/>
      </c>
      <c r="C147" s="70" t="str">
        <f>IFERROR(IF(A147="","",IF(Relaciones!G127="","",Relaciones!G127)),"")</f>
        <v/>
      </c>
      <c r="D147" s="71" t="str">
        <f>IFERROR(IF(A147="","",IF(Relaciones!H127="","",Relaciones!H127)),"")</f>
        <v/>
      </c>
      <c r="E147" s="71" t="str">
        <f>IFERROR(IF(A147="","",IF(Relaciones!I127="","",Relaciones!I127)),"")</f>
        <v/>
      </c>
      <c r="F147" s="75"/>
    </row>
    <row r="148" ht="18.0" customHeight="1">
      <c r="A148" s="72" t="str">
        <f>IFERROR(IF(ISERROR(FIND("-P",Relaciones!A128)),"",IF(Relaciones!A128="","",Relaciones!A128)),"")</f>
        <v/>
      </c>
      <c r="B148" s="72" t="str">
        <f>IFERROR(IF(A148="","",IF(Relaciones!D128="","",Relaciones!D128)),"")</f>
        <v/>
      </c>
      <c r="C148" s="73" t="str">
        <f>IFERROR(IF(A148="","",IF(Relaciones!G128="","",Relaciones!G128)),"")</f>
        <v/>
      </c>
      <c r="D148" s="74" t="str">
        <f>IFERROR(IF(A148="","",IF(Relaciones!H128="","",Relaciones!H128)),"")</f>
        <v/>
      </c>
      <c r="E148" s="74" t="str">
        <f>IFERROR(IF(A148="","",IF(Relaciones!I128="","",Relaciones!I128)),"")</f>
        <v/>
      </c>
      <c r="F148" s="75"/>
    </row>
    <row r="149" ht="18.0" customHeight="1">
      <c r="A149" s="69" t="str">
        <f>IFERROR(IF(ISERROR(FIND("-P",Relaciones!A129)),"",IF(Relaciones!A129="","",Relaciones!A129)),"")</f>
        <v/>
      </c>
      <c r="B149" s="69" t="str">
        <f>IFERROR(IF(A149="","",IF(Relaciones!D129="","",Relaciones!D129)),"")</f>
        <v/>
      </c>
      <c r="C149" s="70" t="str">
        <f>IFERROR(IF(A149="","",IF(Relaciones!G129="","",Relaciones!G129)),"")</f>
        <v/>
      </c>
      <c r="D149" s="71" t="str">
        <f>IFERROR(IF(A149="","",IF(Relaciones!H129="","",Relaciones!H129)),"")</f>
        <v/>
      </c>
      <c r="E149" s="71" t="str">
        <f>IFERROR(IF(A149="","",IF(Relaciones!I129="","",Relaciones!I129)),"")</f>
        <v/>
      </c>
      <c r="F149" s="75"/>
    </row>
    <row r="150" ht="18.0" customHeight="1">
      <c r="A150" s="72" t="str">
        <f>IFERROR(IF(ISERROR(FIND("-P",Relaciones!A130)),"",IF(Relaciones!A130="","",Relaciones!A130)),"")</f>
        <v/>
      </c>
      <c r="B150" s="72" t="str">
        <f>IFERROR(IF(A150="","",IF(Relaciones!D130="","",Relaciones!D130)),"")</f>
        <v/>
      </c>
      <c r="C150" s="73" t="str">
        <f>IFERROR(IF(A150="","",IF(Relaciones!G130="","",Relaciones!G130)),"")</f>
        <v/>
      </c>
      <c r="D150" s="74" t="str">
        <f>IFERROR(IF(A150="","",IF(Relaciones!H130="","",Relaciones!H130)),"")</f>
        <v/>
      </c>
      <c r="E150" s="74" t="str">
        <f>IFERROR(IF(A150="","",IF(Relaciones!I130="","",Relaciones!I130)),"")</f>
        <v/>
      </c>
      <c r="F150" s="75"/>
    </row>
    <row r="151" ht="18.0" customHeight="1">
      <c r="A151" s="69" t="str">
        <f>IFERROR(IF(ISERROR(FIND("-P",Relaciones!A131)),"",IF(Relaciones!A131="","",Relaciones!A131)),"")</f>
        <v/>
      </c>
      <c r="B151" s="69" t="str">
        <f>IFERROR(IF(A151="","",IF(Relaciones!D131="","",Relaciones!D131)),"")</f>
        <v/>
      </c>
      <c r="C151" s="70" t="str">
        <f>IFERROR(IF(A151="","",IF(Relaciones!G131="","",Relaciones!G131)),"")</f>
        <v/>
      </c>
      <c r="D151" s="71" t="str">
        <f>IFERROR(IF(A151="","",IF(Relaciones!H131="","",Relaciones!H131)),"")</f>
        <v/>
      </c>
      <c r="E151" s="71" t="str">
        <f>IFERROR(IF(A151="","",IF(Relaciones!I131="","",Relaciones!I131)),"")</f>
        <v/>
      </c>
      <c r="F151" s="75"/>
    </row>
    <row r="152" ht="18.0" customHeight="1">
      <c r="A152" s="72" t="str">
        <f>IFERROR(IF(ISERROR(FIND("-P",Relaciones!A132)),"",IF(Relaciones!A132="","",Relaciones!A132)),"")</f>
        <v/>
      </c>
      <c r="B152" s="72" t="str">
        <f>IFERROR(IF(A152="","",IF(Relaciones!D132="","",Relaciones!D132)),"")</f>
        <v/>
      </c>
      <c r="C152" s="73" t="str">
        <f>IFERROR(IF(A152="","",IF(Relaciones!G132="","",Relaciones!G132)),"")</f>
        <v/>
      </c>
      <c r="D152" s="74" t="str">
        <f>IFERROR(IF(A152="","",IF(Relaciones!H132="","",Relaciones!H132)),"")</f>
        <v/>
      </c>
      <c r="E152" s="74" t="str">
        <f>IFERROR(IF(A152="","",IF(Relaciones!I132="","",Relaciones!I132)),"")</f>
        <v/>
      </c>
      <c r="F152" s="75"/>
    </row>
    <row r="153" ht="18.0" customHeight="1">
      <c r="A153" s="69" t="str">
        <f>IFERROR(IF(ISERROR(FIND("-P",Relaciones!A133)),"",IF(Relaciones!A133="","",Relaciones!A133)),"")</f>
        <v/>
      </c>
      <c r="B153" s="69" t="str">
        <f>IFERROR(IF(A153="","",IF(Relaciones!D133="","",Relaciones!D133)),"")</f>
        <v/>
      </c>
      <c r="C153" s="70" t="str">
        <f>IFERROR(IF(A153="","",IF(Relaciones!G133="","",Relaciones!G133)),"")</f>
        <v/>
      </c>
      <c r="D153" s="71" t="str">
        <f>IFERROR(IF(A153="","",IF(Relaciones!H133="","",Relaciones!H133)),"")</f>
        <v/>
      </c>
      <c r="E153" s="71" t="str">
        <f>IFERROR(IF(A153="","",IF(Relaciones!I133="","",Relaciones!I133)),"")</f>
        <v/>
      </c>
      <c r="F153" s="75"/>
    </row>
    <row r="154" ht="18.0" customHeight="1">
      <c r="A154" s="72" t="str">
        <f>IFERROR(IF(ISERROR(FIND("-P",Relaciones!A134)),"",IF(Relaciones!A134="","",Relaciones!A134)),"")</f>
        <v/>
      </c>
      <c r="B154" s="72" t="str">
        <f>IFERROR(IF(A154="","",IF(Relaciones!D134="","",Relaciones!D134)),"")</f>
        <v/>
      </c>
      <c r="C154" s="73" t="str">
        <f>IFERROR(IF(A154="","",IF(Relaciones!G134="","",Relaciones!G134)),"")</f>
        <v/>
      </c>
      <c r="D154" s="74" t="str">
        <f>IFERROR(IF(A154="","",IF(Relaciones!H134="","",Relaciones!H134)),"")</f>
        <v/>
      </c>
      <c r="E154" s="74" t="str">
        <f>IFERROR(IF(A154="","",IF(Relaciones!I134="","",Relaciones!I134)),"")</f>
        <v/>
      </c>
      <c r="F154" s="75"/>
    </row>
    <row r="155" ht="18.0" customHeight="1">
      <c r="A155" s="69" t="str">
        <f>IFERROR(IF(ISERROR(FIND("-P",Relaciones!A135)),"",IF(Relaciones!A135="","",Relaciones!A135)),"")</f>
        <v/>
      </c>
      <c r="B155" s="69" t="str">
        <f>IFERROR(IF(A155="","",IF(Relaciones!D135="","",Relaciones!D135)),"")</f>
        <v/>
      </c>
      <c r="C155" s="70" t="str">
        <f>IFERROR(IF(A155="","",IF(Relaciones!G135="","",Relaciones!G135)),"")</f>
        <v/>
      </c>
      <c r="D155" s="71" t="str">
        <f>IFERROR(IF(A155="","",IF(Relaciones!H135="","",Relaciones!H135)),"")</f>
        <v/>
      </c>
      <c r="E155" s="71" t="str">
        <f>IFERROR(IF(A155="","",IF(Relaciones!I135="","",Relaciones!I135)),"")</f>
        <v/>
      </c>
      <c r="F155" s="75"/>
    </row>
    <row r="156" ht="18.0" customHeight="1">
      <c r="A156" s="72" t="str">
        <f>IFERROR(IF(ISERROR(FIND("-P",Relaciones!A136)),"",IF(Relaciones!A136="","",Relaciones!A136)),"")</f>
        <v/>
      </c>
      <c r="B156" s="72" t="str">
        <f>IFERROR(IF(A156="","",IF(Relaciones!D136="","",Relaciones!D136)),"")</f>
        <v/>
      </c>
      <c r="C156" s="73" t="str">
        <f>IFERROR(IF(A156="","",IF(Relaciones!G136="","",Relaciones!G136)),"")</f>
        <v/>
      </c>
      <c r="D156" s="74" t="str">
        <f>IFERROR(IF(A156="","",IF(Relaciones!H136="","",Relaciones!H136)),"")</f>
        <v/>
      </c>
      <c r="E156" s="74" t="str">
        <f>IFERROR(IF(A156="","",IF(Relaciones!I136="","",Relaciones!I136)),"")</f>
        <v/>
      </c>
      <c r="F156" s="75"/>
    </row>
    <row r="157" ht="18.0" customHeight="1">
      <c r="A157" s="69" t="str">
        <f>IFERROR(IF(ISERROR(FIND("-P",Relaciones!A137)),"",IF(Relaciones!A137="","",Relaciones!A137)),"")</f>
        <v/>
      </c>
      <c r="B157" s="69" t="str">
        <f>IFERROR(IF(A157="","",IF(Relaciones!D137="","",Relaciones!D137)),"")</f>
        <v/>
      </c>
      <c r="C157" s="70" t="str">
        <f>IFERROR(IF(A157="","",IF(Relaciones!G137="","",Relaciones!G137)),"")</f>
        <v/>
      </c>
      <c r="D157" s="71" t="str">
        <f>IFERROR(IF(A157="","",IF(Relaciones!H137="","",Relaciones!H137)),"")</f>
        <v/>
      </c>
      <c r="E157" s="71" t="str">
        <f>IFERROR(IF(A157="","",IF(Relaciones!I137="","",Relaciones!I137)),"")</f>
        <v/>
      </c>
      <c r="F157" s="75"/>
    </row>
    <row r="158" ht="18.0" customHeight="1">
      <c r="A158" s="72" t="str">
        <f>IFERROR(IF(ISERROR(FIND("-P",Relaciones!A138)),"",IF(Relaciones!A138="","",Relaciones!A138)),"")</f>
        <v/>
      </c>
      <c r="B158" s="72" t="str">
        <f>IFERROR(IF(A158="","",IF(Relaciones!D138="","",Relaciones!D138)),"")</f>
        <v/>
      </c>
      <c r="C158" s="73" t="str">
        <f>IFERROR(IF(A158="","",IF(Relaciones!G138="","",Relaciones!G138)),"")</f>
        <v/>
      </c>
      <c r="D158" s="74" t="str">
        <f>IFERROR(IF(A158="","",IF(Relaciones!H138="","",Relaciones!H138)),"")</f>
        <v/>
      </c>
      <c r="E158" s="74" t="str">
        <f>IFERROR(IF(A158="","",IF(Relaciones!I138="","",Relaciones!I138)),"")</f>
        <v/>
      </c>
      <c r="F158" s="75"/>
    </row>
    <row r="159" ht="18.0" customHeight="1">
      <c r="A159" s="69" t="str">
        <f>IFERROR(IF(ISERROR(FIND("-P",Relaciones!A139)),"",IF(Relaciones!A139="","",Relaciones!A139)),"")</f>
        <v/>
      </c>
      <c r="B159" s="69" t="str">
        <f>IFERROR(IF(A159="","",IF(Relaciones!D139="","",Relaciones!D139)),"")</f>
        <v/>
      </c>
      <c r="C159" s="70" t="str">
        <f>IFERROR(IF(A159="","",IF(Relaciones!G139="","",Relaciones!G139)),"")</f>
        <v/>
      </c>
      <c r="D159" s="71" t="str">
        <f>IFERROR(IF(A159="","",IF(Relaciones!H139="","",Relaciones!H139)),"")</f>
        <v/>
      </c>
      <c r="E159" s="71" t="str">
        <f>IFERROR(IF(A159="","",IF(Relaciones!I139="","",Relaciones!I139)),"")</f>
        <v/>
      </c>
      <c r="F159" s="75"/>
    </row>
    <row r="160" ht="18.0" customHeight="1">
      <c r="A160" s="72" t="str">
        <f>IFERROR(IF(ISERROR(FIND("-P",Relaciones!A140)),"",IF(Relaciones!A140="","",Relaciones!A140)),"")</f>
        <v/>
      </c>
      <c r="B160" s="72" t="str">
        <f>IFERROR(IF(A160="","",IF(Relaciones!D140="","",Relaciones!D140)),"")</f>
        <v/>
      </c>
      <c r="C160" s="73" t="str">
        <f>IFERROR(IF(A160="","",IF(Relaciones!G140="","",Relaciones!G140)),"")</f>
        <v/>
      </c>
      <c r="D160" s="74" t="str">
        <f>IFERROR(IF(A160="","",IF(Relaciones!H140="","",Relaciones!H140)),"")</f>
        <v/>
      </c>
      <c r="E160" s="74" t="str">
        <f>IFERROR(IF(A160="","",IF(Relaciones!I140="","",Relaciones!I140)),"")</f>
        <v/>
      </c>
      <c r="F160" s="75"/>
    </row>
    <row r="161" ht="18.0" customHeight="1">
      <c r="A161" s="69" t="str">
        <f>IFERROR(IF(ISERROR(FIND("-P",Relaciones!A141)),"",IF(Relaciones!A141="","",Relaciones!A141)),"")</f>
        <v/>
      </c>
      <c r="B161" s="69" t="str">
        <f>IFERROR(IF(A161="","",IF(Relaciones!D141="","",Relaciones!D141)),"")</f>
        <v/>
      </c>
      <c r="C161" s="70" t="str">
        <f>IFERROR(IF(A161="","",IF(Relaciones!G141="","",Relaciones!G141)),"")</f>
        <v/>
      </c>
      <c r="D161" s="71" t="str">
        <f>IFERROR(IF(A161="","",IF(Relaciones!H141="","",Relaciones!H141)),"")</f>
        <v/>
      </c>
      <c r="E161" s="71" t="str">
        <f>IFERROR(IF(A161="","",IF(Relaciones!I141="","",Relaciones!I141)),"")</f>
        <v/>
      </c>
      <c r="F161" s="75"/>
    </row>
    <row r="162" ht="18.0" customHeight="1">
      <c r="A162" s="72" t="str">
        <f>IFERROR(IF(ISERROR(FIND("-P",Relaciones!A142)),"",IF(Relaciones!A142="","",Relaciones!A142)),"")</f>
        <v/>
      </c>
      <c r="B162" s="72" t="str">
        <f>IFERROR(IF(A162="","",IF(Relaciones!D142="","",Relaciones!D142)),"")</f>
        <v/>
      </c>
      <c r="C162" s="73" t="str">
        <f>IFERROR(IF(A162="","",IF(Relaciones!G142="","",Relaciones!G142)),"")</f>
        <v/>
      </c>
      <c r="D162" s="74" t="str">
        <f>IFERROR(IF(A162="","",IF(Relaciones!H142="","",Relaciones!H142)),"")</f>
        <v/>
      </c>
      <c r="E162" s="74" t="str">
        <f>IFERROR(IF(A162="","",IF(Relaciones!I142="","",Relaciones!I142)),"")</f>
        <v/>
      </c>
      <c r="F162" s="75"/>
    </row>
    <row r="163" ht="18.0" customHeight="1">
      <c r="A163" s="69" t="str">
        <f>IFERROR(IF(ISERROR(FIND("-P",Relaciones!A143)),"",IF(Relaciones!A143="","",Relaciones!A143)),"")</f>
        <v/>
      </c>
      <c r="B163" s="69" t="str">
        <f>IFERROR(IF(A163="","",IF(Relaciones!D143="","",Relaciones!D143)),"")</f>
        <v/>
      </c>
      <c r="C163" s="70" t="str">
        <f>IFERROR(IF(A163="","",IF(Relaciones!G143="","",Relaciones!G143)),"")</f>
        <v/>
      </c>
      <c r="D163" s="71" t="str">
        <f>IFERROR(IF(A163="","",IF(Relaciones!H143="","",Relaciones!H143)),"")</f>
        <v/>
      </c>
      <c r="E163" s="71" t="str">
        <f>IFERROR(IF(A163="","",IF(Relaciones!I143="","",Relaciones!I143)),"")</f>
        <v/>
      </c>
      <c r="F163" s="75"/>
    </row>
    <row r="164" ht="18.0" customHeight="1">
      <c r="A164" s="72" t="str">
        <f>IFERROR(IF(ISERROR(FIND("-P",Relaciones!A144)),"",IF(Relaciones!A144="","",Relaciones!A144)),"")</f>
        <v/>
      </c>
      <c r="B164" s="72" t="str">
        <f>IFERROR(IF(A164="","",IF(Relaciones!D144="","",Relaciones!D144)),"")</f>
        <v/>
      </c>
      <c r="C164" s="73" t="str">
        <f>IFERROR(IF(A164="","",IF(Relaciones!G144="","",Relaciones!G144)),"")</f>
        <v/>
      </c>
      <c r="D164" s="74" t="str">
        <f>IFERROR(IF(A164="","",IF(Relaciones!H144="","",Relaciones!H144)),"")</f>
        <v/>
      </c>
      <c r="E164" s="74" t="str">
        <f>IFERROR(IF(A164="","",IF(Relaciones!I144="","",Relaciones!I144)),"")</f>
        <v/>
      </c>
      <c r="F164" s="75"/>
    </row>
    <row r="165" ht="18.0" customHeight="1">
      <c r="A165" s="69" t="str">
        <f>IFERROR(IF(ISERROR(FIND("-P",Relaciones!A145)),"",IF(Relaciones!A145="","",Relaciones!A145)),"")</f>
        <v/>
      </c>
      <c r="B165" s="69" t="str">
        <f>IFERROR(IF(A165="","",IF(Relaciones!D145="","",Relaciones!D145)),"")</f>
        <v/>
      </c>
      <c r="C165" s="70" t="str">
        <f>IFERROR(IF(A165="","",IF(Relaciones!G145="","",Relaciones!G145)),"")</f>
        <v/>
      </c>
      <c r="D165" s="71" t="str">
        <f>IFERROR(IF(A165="","",IF(Relaciones!H145="","",Relaciones!H145)),"")</f>
        <v/>
      </c>
      <c r="E165" s="71" t="str">
        <f>IFERROR(IF(A165="","",IF(Relaciones!I145="","",Relaciones!I145)),"")</f>
        <v/>
      </c>
      <c r="F165" s="75"/>
    </row>
    <row r="166" ht="18.0" customHeight="1">
      <c r="A166" s="72" t="str">
        <f>IFERROR(IF(ISERROR(FIND("-P",Relaciones!A146)),"",IF(Relaciones!A146="","",Relaciones!A146)),"")</f>
        <v/>
      </c>
      <c r="B166" s="72" t="str">
        <f>IFERROR(IF(A166="","",IF(Relaciones!D146="","",Relaciones!D146)),"")</f>
        <v/>
      </c>
      <c r="C166" s="73" t="str">
        <f>IFERROR(IF(A166="","",IF(Relaciones!G146="","",Relaciones!G146)),"")</f>
        <v/>
      </c>
      <c r="D166" s="74" t="str">
        <f>IFERROR(IF(A166="","",IF(Relaciones!H146="","",Relaciones!H146)),"")</f>
        <v/>
      </c>
      <c r="E166" s="74" t="str">
        <f>IFERROR(IF(A166="","",IF(Relaciones!I146="","",Relaciones!I146)),"")</f>
        <v/>
      </c>
      <c r="F166" s="75"/>
    </row>
    <row r="167" ht="18.0" customHeight="1">
      <c r="A167" s="69" t="str">
        <f>IFERROR(IF(ISERROR(FIND("-P",Relaciones!A147)),"",IF(Relaciones!A147="","",Relaciones!A147)),"")</f>
        <v/>
      </c>
      <c r="B167" s="69" t="str">
        <f>IFERROR(IF(A167="","",IF(Relaciones!D147="","",Relaciones!D147)),"")</f>
        <v/>
      </c>
      <c r="C167" s="70" t="str">
        <f>IFERROR(IF(A167="","",IF(Relaciones!G147="","",Relaciones!G147)),"")</f>
        <v/>
      </c>
      <c r="D167" s="71" t="str">
        <f>IFERROR(IF(A167="","",IF(Relaciones!H147="","",Relaciones!H147)),"")</f>
        <v/>
      </c>
      <c r="E167" s="71" t="str">
        <f>IFERROR(IF(A167="","",IF(Relaciones!I147="","",Relaciones!I147)),"")</f>
        <v/>
      </c>
      <c r="F167" s="75"/>
    </row>
    <row r="168" ht="18.0" customHeight="1">
      <c r="A168" s="72" t="str">
        <f>IFERROR(IF(ISERROR(FIND("-P",Relaciones!A148)),"",IF(Relaciones!A148="","",Relaciones!A148)),"")</f>
        <v/>
      </c>
      <c r="B168" s="72" t="str">
        <f>IFERROR(IF(A168="","",IF(Relaciones!D148="","",Relaciones!D148)),"")</f>
        <v/>
      </c>
      <c r="C168" s="73" t="str">
        <f>IFERROR(IF(A168="","",IF(Relaciones!G148="","",Relaciones!G148)),"")</f>
        <v/>
      </c>
      <c r="D168" s="74" t="str">
        <f>IFERROR(IF(A168="","",IF(Relaciones!H148="","",Relaciones!H148)),"")</f>
        <v/>
      </c>
      <c r="E168" s="74" t="str">
        <f>IFERROR(IF(A168="","",IF(Relaciones!I148="","",Relaciones!I148)),"")</f>
        <v/>
      </c>
      <c r="F168" s="75"/>
    </row>
    <row r="169" ht="18.0" customHeight="1">
      <c r="A169" s="69" t="str">
        <f>IFERROR(IF(ISERROR(FIND("-P",Relaciones!A149)),"",IF(Relaciones!A149="","",Relaciones!A149)),"")</f>
        <v/>
      </c>
      <c r="B169" s="69" t="str">
        <f>IFERROR(IF(A169="","",IF(Relaciones!D149="","",Relaciones!D149)),"")</f>
        <v/>
      </c>
      <c r="C169" s="70" t="str">
        <f>IFERROR(IF(A169="","",IF(Relaciones!G149="","",Relaciones!G149)),"")</f>
        <v/>
      </c>
      <c r="D169" s="71" t="str">
        <f>IFERROR(IF(A169="","",IF(Relaciones!H149="","",Relaciones!H149)),"")</f>
        <v/>
      </c>
      <c r="E169" s="71" t="str">
        <f>IFERROR(IF(A169="","",IF(Relaciones!I149="","",Relaciones!I149)),"")</f>
        <v/>
      </c>
      <c r="F169" s="75"/>
    </row>
    <row r="170" ht="18.0" customHeight="1">
      <c r="A170" s="72" t="str">
        <f>IFERROR(IF(ISERROR(FIND("-P",Relaciones!A150)),"",IF(Relaciones!A150="","",Relaciones!A150)),"")</f>
        <v/>
      </c>
      <c r="B170" s="72" t="str">
        <f>IFERROR(IF(A170="","",IF(Relaciones!D150="","",Relaciones!D150)),"")</f>
        <v/>
      </c>
      <c r="C170" s="73" t="str">
        <f>IFERROR(IF(A170="","",IF(Relaciones!G150="","",Relaciones!G150)),"")</f>
        <v/>
      </c>
      <c r="D170" s="74" t="str">
        <f>IFERROR(IF(A170="","",IF(Relaciones!H150="","",Relaciones!H150)),"")</f>
        <v/>
      </c>
      <c r="E170" s="74" t="str">
        <f>IFERROR(IF(A170="","",IF(Relaciones!I150="","",Relaciones!I150)),"")</f>
        <v/>
      </c>
      <c r="F170" s="75"/>
    </row>
    <row r="171" ht="18.0" customHeight="1">
      <c r="A171" s="69" t="str">
        <f>IFERROR(IF(ISERROR(FIND("-P",Relaciones!A151)),"",IF(Relaciones!A151="","",Relaciones!A151)),"")</f>
        <v/>
      </c>
      <c r="B171" s="69" t="str">
        <f>IFERROR(IF(A171="","",IF(Relaciones!D151="","",Relaciones!D151)),"")</f>
        <v/>
      </c>
      <c r="C171" s="70" t="str">
        <f>IFERROR(IF(A171="","",IF(Relaciones!G151="","",Relaciones!G151)),"")</f>
        <v/>
      </c>
      <c r="D171" s="71" t="str">
        <f>IFERROR(IF(A171="","",IF(Relaciones!H151="","",Relaciones!H151)),"")</f>
        <v/>
      </c>
      <c r="E171" s="71" t="str">
        <f>IFERROR(IF(A171="","",IF(Relaciones!I151="","",Relaciones!I151)),"")</f>
        <v/>
      </c>
      <c r="F171" s="75"/>
    </row>
    <row r="172" ht="18.0" customHeight="1">
      <c r="A172" s="72" t="str">
        <f>IFERROR(IF(ISERROR(FIND("-P",Relaciones!A152)),"",IF(Relaciones!A152="","",Relaciones!A152)),"")</f>
        <v/>
      </c>
      <c r="B172" s="72" t="str">
        <f>IFERROR(IF(A172="","",IF(Relaciones!D152="","",Relaciones!D152)),"")</f>
        <v/>
      </c>
      <c r="C172" s="73" t="str">
        <f>IFERROR(IF(A172="","",IF(Relaciones!G152="","",Relaciones!G152)),"")</f>
        <v/>
      </c>
      <c r="D172" s="74" t="str">
        <f>IFERROR(IF(A172="","",IF(Relaciones!H152="","",Relaciones!H152)),"")</f>
        <v/>
      </c>
      <c r="E172" s="74" t="str">
        <f>IFERROR(IF(A172="","",IF(Relaciones!I152="","",Relaciones!I152)),"")</f>
        <v/>
      </c>
      <c r="F172" s="75"/>
    </row>
    <row r="173" ht="18.0" customHeight="1">
      <c r="A173" s="69" t="str">
        <f>IFERROR(IF(ISERROR(FIND("-P",Relaciones!A153)),"",IF(Relaciones!A153="","",Relaciones!A153)),"")</f>
        <v/>
      </c>
      <c r="B173" s="69" t="str">
        <f>IFERROR(IF(A173="","",IF(Relaciones!D153="","",Relaciones!D153)),"")</f>
        <v/>
      </c>
      <c r="C173" s="70" t="str">
        <f>IFERROR(IF(A173="","",IF(Relaciones!G153="","",Relaciones!G153)),"")</f>
        <v/>
      </c>
      <c r="D173" s="71" t="str">
        <f>IFERROR(IF(A173="","",IF(Relaciones!H153="","",Relaciones!H153)),"")</f>
        <v/>
      </c>
      <c r="E173" s="71" t="str">
        <f>IFERROR(IF(A173="","",IF(Relaciones!I153="","",Relaciones!I153)),"")</f>
        <v/>
      </c>
      <c r="F173" s="75"/>
    </row>
    <row r="174" ht="18.0" customHeight="1">
      <c r="A174" s="72" t="str">
        <f>IFERROR(IF(ISERROR(FIND("-P",Relaciones!A154)),"",IF(Relaciones!A154="","",Relaciones!A154)),"")</f>
        <v/>
      </c>
      <c r="B174" s="72" t="str">
        <f>IFERROR(IF(A174="","",IF(Relaciones!D154="","",Relaciones!D154)),"")</f>
        <v/>
      </c>
      <c r="C174" s="73" t="str">
        <f>IFERROR(IF(A174="","",IF(Relaciones!G154="","",Relaciones!G154)),"")</f>
        <v/>
      </c>
      <c r="D174" s="74" t="str">
        <f>IFERROR(IF(A174="","",IF(Relaciones!H154="","",Relaciones!H154)),"")</f>
        <v/>
      </c>
      <c r="E174" s="74" t="str">
        <f>IFERROR(IF(A174="","",IF(Relaciones!I154="","",Relaciones!I154)),"")</f>
        <v/>
      </c>
      <c r="F174" s="75"/>
    </row>
    <row r="175" ht="18.0" customHeight="1">
      <c r="A175" s="69" t="str">
        <f>IFERROR(IF(ISERROR(FIND("-P",Relaciones!A155)),"",IF(Relaciones!A155="","",Relaciones!A155)),"")</f>
        <v/>
      </c>
      <c r="B175" s="69" t="str">
        <f>IFERROR(IF(A175="","",IF(Relaciones!D155="","",Relaciones!D155)),"")</f>
        <v/>
      </c>
      <c r="C175" s="70" t="str">
        <f>IFERROR(IF(A175="","",IF(Relaciones!G155="","",Relaciones!G155)),"")</f>
        <v/>
      </c>
      <c r="D175" s="71" t="str">
        <f>IFERROR(IF(A175="","",IF(Relaciones!H155="","",Relaciones!H155)),"")</f>
        <v/>
      </c>
      <c r="E175" s="71" t="str">
        <f>IFERROR(IF(A175="","",IF(Relaciones!I155="","",Relaciones!I155)),"")</f>
        <v/>
      </c>
      <c r="F175" s="75"/>
    </row>
    <row r="176" ht="18.0" customHeight="1">
      <c r="A176" s="72" t="str">
        <f>IFERROR(IF(ISERROR(FIND("-P",Relaciones!A156)),"",IF(Relaciones!A156="","",Relaciones!A156)),"")</f>
        <v/>
      </c>
      <c r="B176" s="72" t="str">
        <f>IFERROR(IF(A176="","",IF(Relaciones!D156="","",Relaciones!D156)),"")</f>
        <v/>
      </c>
      <c r="C176" s="73" t="str">
        <f>IFERROR(IF(A176="","",IF(Relaciones!G156="","",Relaciones!G156)),"")</f>
        <v/>
      </c>
      <c r="D176" s="74" t="str">
        <f>IFERROR(IF(A176="","",IF(Relaciones!H156="","",Relaciones!H156)),"")</f>
        <v/>
      </c>
      <c r="E176" s="74" t="str">
        <f>IFERROR(IF(A176="","",IF(Relaciones!I156="","",Relaciones!I156)),"")</f>
        <v/>
      </c>
      <c r="F176" s="75"/>
    </row>
    <row r="177" ht="18.0" customHeight="1">
      <c r="A177" s="69" t="str">
        <f>IFERROR(IF(ISERROR(FIND("-P",Relaciones!A157)),"",IF(Relaciones!A157="","",Relaciones!A157)),"")</f>
        <v/>
      </c>
      <c r="B177" s="69" t="str">
        <f>IFERROR(IF(A177="","",IF(Relaciones!D157="","",Relaciones!D157)),"")</f>
        <v/>
      </c>
      <c r="C177" s="70" t="str">
        <f>IFERROR(IF(A177="","",IF(Relaciones!G157="","",Relaciones!G157)),"")</f>
        <v/>
      </c>
      <c r="D177" s="71" t="str">
        <f>IFERROR(IF(A177="","",IF(Relaciones!H157="","",Relaciones!H157)),"")</f>
        <v/>
      </c>
      <c r="E177" s="71" t="str">
        <f>IFERROR(IF(A177="","",IF(Relaciones!I157="","",Relaciones!I157)),"")</f>
        <v/>
      </c>
      <c r="F177" s="75"/>
    </row>
    <row r="178" ht="18.0" customHeight="1">
      <c r="A178" s="72" t="str">
        <f>IFERROR(IF(ISERROR(FIND("-P",Relaciones!A158)),"",IF(Relaciones!A158="","",Relaciones!A158)),"")</f>
        <v/>
      </c>
      <c r="B178" s="72" t="str">
        <f>IFERROR(IF(A178="","",IF(Relaciones!D158="","",Relaciones!D158)),"")</f>
        <v/>
      </c>
      <c r="C178" s="73" t="str">
        <f>IFERROR(IF(A178="","",IF(Relaciones!G158="","",Relaciones!G158)),"")</f>
        <v/>
      </c>
      <c r="D178" s="74" t="str">
        <f>IFERROR(IF(A178="","",IF(Relaciones!H158="","",Relaciones!H158)),"")</f>
        <v/>
      </c>
      <c r="E178" s="74" t="str">
        <f>IFERROR(IF(A178="","",IF(Relaciones!I158="","",Relaciones!I158)),"")</f>
        <v/>
      </c>
      <c r="F178" s="75"/>
    </row>
    <row r="179" ht="18.0" customHeight="1">
      <c r="A179" s="69" t="str">
        <f>IFERROR(IF(ISERROR(FIND("-P",Relaciones!A159)),"",IF(Relaciones!A159="","",Relaciones!A159)),"")</f>
        <v/>
      </c>
      <c r="B179" s="69" t="str">
        <f>IFERROR(IF(A179="","",IF(Relaciones!D159="","",Relaciones!D159)),"")</f>
        <v/>
      </c>
      <c r="C179" s="70" t="str">
        <f>IFERROR(IF(A179="","",IF(Relaciones!G159="","",Relaciones!G159)),"")</f>
        <v/>
      </c>
      <c r="D179" s="71" t="str">
        <f>IFERROR(IF(A179="","",IF(Relaciones!H159="","",Relaciones!H159)),"")</f>
        <v/>
      </c>
      <c r="E179" s="71" t="str">
        <f>IFERROR(IF(A179="","",IF(Relaciones!I159="","",Relaciones!I159)),"")</f>
        <v/>
      </c>
      <c r="F179" s="75"/>
    </row>
    <row r="180" ht="18.0" customHeight="1">
      <c r="A180" s="72" t="str">
        <f>IFERROR(IF(ISERROR(FIND("-P",Relaciones!A160)),"",IF(Relaciones!A160="","",Relaciones!A160)),"")</f>
        <v/>
      </c>
      <c r="B180" s="72" t="str">
        <f>IFERROR(IF(A180="","",IF(Relaciones!D160="","",Relaciones!D160)),"")</f>
        <v/>
      </c>
      <c r="C180" s="73" t="str">
        <f>IFERROR(IF(A180="","",IF(Relaciones!G160="","",Relaciones!G160)),"")</f>
        <v/>
      </c>
      <c r="D180" s="74" t="str">
        <f>IFERROR(IF(A180="","",IF(Relaciones!H160="","",Relaciones!H160)),"")</f>
        <v/>
      </c>
      <c r="E180" s="74" t="str">
        <f>IFERROR(IF(A180="","",IF(Relaciones!I160="","",Relaciones!I160)),"")</f>
        <v/>
      </c>
      <c r="F180" s="75"/>
    </row>
    <row r="181" ht="18.0" customHeight="1">
      <c r="A181" s="69" t="str">
        <f>IFERROR(IF(ISERROR(FIND("-P",Relaciones!A161)),"",IF(Relaciones!A161="","",Relaciones!A161)),"")</f>
        <v/>
      </c>
      <c r="B181" s="69" t="str">
        <f>IFERROR(IF(A181="","",IF(Relaciones!D161="","",Relaciones!D161)),"")</f>
        <v/>
      </c>
      <c r="C181" s="70" t="str">
        <f>IFERROR(IF(A181="","",IF(Relaciones!G161="","",Relaciones!G161)),"")</f>
        <v/>
      </c>
      <c r="D181" s="71" t="str">
        <f>IFERROR(IF(A181="","",IF(Relaciones!H161="","",Relaciones!H161)),"")</f>
        <v/>
      </c>
      <c r="E181" s="71" t="str">
        <f>IFERROR(IF(A181="","",IF(Relaciones!I161="","",Relaciones!I161)),"")</f>
        <v/>
      </c>
      <c r="F181" s="75"/>
    </row>
    <row r="182" ht="18.0" customHeight="1">
      <c r="A182" s="72" t="str">
        <f>IFERROR(IF(ISERROR(FIND("-P",Relaciones!A162)),"",IF(Relaciones!A162="","",Relaciones!A162)),"")</f>
        <v/>
      </c>
      <c r="B182" s="72" t="str">
        <f>IFERROR(IF(A182="","",IF(Relaciones!D162="","",Relaciones!D162)),"")</f>
        <v/>
      </c>
      <c r="C182" s="73" t="str">
        <f>IFERROR(IF(A182="","",IF(Relaciones!G162="","",Relaciones!G162)),"")</f>
        <v/>
      </c>
      <c r="D182" s="74" t="str">
        <f>IFERROR(IF(A182="","",IF(Relaciones!H162="","",Relaciones!H162)),"")</f>
        <v/>
      </c>
      <c r="E182" s="74" t="str">
        <f>IFERROR(IF(A182="","",IF(Relaciones!I162="","",Relaciones!I162)),"")</f>
        <v/>
      </c>
      <c r="F182" s="75"/>
    </row>
    <row r="183" ht="18.0" customHeight="1">
      <c r="A183" s="69" t="str">
        <f>IFERROR(IF(ISERROR(FIND("-P",Relaciones!A163)),"",IF(Relaciones!A163="","",Relaciones!A163)),"")</f>
        <v/>
      </c>
      <c r="B183" s="69" t="str">
        <f>IFERROR(IF(A183="","",IF(Relaciones!D163="","",Relaciones!D163)),"")</f>
        <v/>
      </c>
      <c r="C183" s="70" t="str">
        <f>IFERROR(IF(A183="","",IF(Relaciones!G163="","",Relaciones!G163)),"")</f>
        <v/>
      </c>
      <c r="D183" s="71" t="str">
        <f>IFERROR(IF(A183="","",IF(Relaciones!H163="","",Relaciones!H163)),"")</f>
        <v/>
      </c>
      <c r="E183" s="71" t="str">
        <f>IFERROR(IF(A183="","",IF(Relaciones!I163="","",Relaciones!I163)),"")</f>
        <v/>
      </c>
      <c r="F183" s="75"/>
    </row>
    <row r="184" ht="18.0" customHeight="1">
      <c r="A184" s="72" t="str">
        <f>IFERROR(IF(ISERROR(FIND("-P",Relaciones!A164)),"",IF(Relaciones!A164="","",Relaciones!A164)),"")</f>
        <v/>
      </c>
      <c r="B184" s="72" t="str">
        <f>IFERROR(IF(A184="","",IF(Relaciones!D164="","",Relaciones!D164)),"")</f>
        <v/>
      </c>
      <c r="C184" s="73" t="str">
        <f>IFERROR(IF(A184="","",IF(Relaciones!G164="","",Relaciones!G164)),"")</f>
        <v/>
      </c>
      <c r="D184" s="74" t="str">
        <f>IFERROR(IF(A184="","",IF(Relaciones!H164="","",Relaciones!H164)),"")</f>
        <v/>
      </c>
      <c r="E184" s="74" t="str">
        <f>IFERROR(IF(A184="","",IF(Relaciones!I164="","",Relaciones!I164)),"")</f>
        <v/>
      </c>
      <c r="F184" s="75"/>
    </row>
    <row r="185" ht="18.0" customHeight="1">
      <c r="A185" s="69" t="str">
        <f>IFERROR(IF(ISERROR(FIND("-P",Relaciones!A165)),"",IF(Relaciones!A165="","",Relaciones!A165)),"")</f>
        <v/>
      </c>
      <c r="B185" s="69" t="str">
        <f>IFERROR(IF(A185="","",IF(Relaciones!D165="","",Relaciones!D165)),"")</f>
        <v/>
      </c>
      <c r="C185" s="70" t="str">
        <f>IFERROR(IF(A185="","",IF(Relaciones!G165="","",Relaciones!G165)),"")</f>
        <v/>
      </c>
      <c r="D185" s="71" t="str">
        <f>IFERROR(IF(A185="","",IF(Relaciones!H165="","",Relaciones!H165)),"")</f>
        <v/>
      </c>
      <c r="E185" s="71" t="str">
        <f>IFERROR(IF(A185="","",IF(Relaciones!I165="","",Relaciones!I165)),"")</f>
        <v/>
      </c>
      <c r="F185" s="75"/>
    </row>
    <row r="186" ht="18.0" customHeight="1">
      <c r="A186" s="72" t="str">
        <f>IFERROR(IF(ISERROR(FIND("-P",Relaciones!A166)),"",IF(Relaciones!A166="","",Relaciones!A166)),"")</f>
        <v/>
      </c>
      <c r="B186" s="72" t="str">
        <f>IFERROR(IF(A186="","",IF(Relaciones!D166="","",Relaciones!D166)),"")</f>
        <v/>
      </c>
      <c r="C186" s="73" t="str">
        <f>IFERROR(IF(A186="","",IF(Relaciones!G166="","",Relaciones!G166)),"")</f>
        <v/>
      </c>
      <c r="D186" s="74" t="str">
        <f>IFERROR(IF(A186="","",IF(Relaciones!H166="","",Relaciones!H166)),"")</f>
        <v/>
      </c>
      <c r="E186" s="74" t="str">
        <f>IFERROR(IF(A186="","",IF(Relaciones!I166="","",Relaciones!I166)),"")</f>
        <v/>
      </c>
      <c r="F186" s="75"/>
    </row>
    <row r="187" ht="18.0" customHeight="1">
      <c r="A187" s="69" t="str">
        <f>IFERROR(IF(ISERROR(FIND("-P",Relaciones!A167)),"",IF(Relaciones!A167="","",Relaciones!A167)),"")</f>
        <v/>
      </c>
      <c r="B187" s="69" t="str">
        <f>IFERROR(IF(A187="","",IF(Relaciones!D167="","",Relaciones!D167)),"")</f>
        <v/>
      </c>
      <c r="C187" s="70" t="str">
        <f>IFERROR(IF(A187="","",IF(Relaciones!G167="","",Relaciones!G167)),"")</f>
        <v/>
      </c>
      <c r="D187" s="71" t="str">
        <f>IFERROR(IF(A187="","",IF(Relaciones!H167="","",Relaciones!H167)),"")</f>
        <v/>
      </c>
      <c r="E187" s="71" t="str">
        <f>IFERROR(IF(A187="","",IF(Relaciones!I167="","",Relaciones!I167)),"")</f>
        <v/>
      </c>
      <c r="F187" s="75"/>
    </row>
    <row r="188" ht="18.0" customHeight="1">
      <c r="A188" s="72" t="str">
        <f>IFERROR(IF(ISERROR(FIND("-P",Relaciones!A168)),"",IF(Relaciones!A168="","",Relaciones!A168)),"")</f>
        <v/>
      </c>
      <c r="B188" s="72" t="str">
        <f>IFERROR(IF(A188="","",IF(Relaciones!D168="","",Relaciones!D168)),"")</f>
        <v/>
      </c>
      <c r="C188" s="73" t="str">
        <f>IFERROR(IF(A188="","",IF(Relaciones!G168="","",Relaciones!G168)),"")</f>
        <v/>
      </c>
      <c r="D188" s="74" t="str">
        <f>IFERROR(IF(A188="","",IF(Relaciones!H168="","",Relaciones!H168)),"")</f>
        <v/>
      </c>
      <c r="E188" s="74" t="str">
        <f>IFERROR(IF(A188="","",IF(Relaciones!I168="","",Relaciones!I168)),"")</f>
        <v/>
      </c>
      <c r="F188" s="75"/>
    </row>
    <row r="189" ht="18.0" customHeight="1">
      <c r="A189" s="69" t="str">
        <f>IFERROR(IF(ISERROR(FIND("-P",Relaciones!A169)),"",IF(Relaciones!A169="","",Relaciones!A169)),"")</f>
        <v/>
      </c>
      <c r="B189" s="69" t="str">
        <f>IFERROR(IF(A189="","",IF(Relaciones!D169="","",Relaciones!D169)),"")</f>
        <v/>
      </c>
      <c r="C189" s="70" t="str">
        <f>IFERROR(IF(A189="","",IF(Relaciones!G169="","",Relaciones!G169)),"")</f>
        <v/>
      </c>
      <c r="D189" s="71" t="str">
        <f>IFERROR(IF(A189="","",IF(Relaciones!H169="","",Relaciones!H169)),"")</f>
        <v/>
      </c>
      <c r="E189" s="71" t="str">
        <f>IFERROR(IF(A189="","",IF(Relaciones!I169="","",Relaciones!I169)),"")</f>
        <v/>
      </c>
      <c r="F189" s="75"/>
    </row>
    <row r="190" ht="18.0" customHeight="1">
      <c r="A190" s="72" t="str">
        <f>IFERROR(IF(ISERROR(FIND("-P",Relaciones!A170)),"",IF(Relaciones!A170="","",Relaciones!A170)),"")</f>
        <v/>
      </c>
      <c r="B190" s="72" t="str">
        <f>IFERROR(IF(A190="","",IF(Relaciones!D170="","",Relaciones!D170)),"")</f>
        <v/>
      </c>
      <c r="C190" s="73" t="str">
        <f>IFERROR(IF(A190="","",IF(Relaciones!G170="","",Relaciones!G170)),"")</f>
        <v/>
      </c>
      <c r="D190" s="74" t="str">
        <f>IFERROR(IF(A190="","",IF(Relaciones!H170="","",Relaciones!H170)),"")</f>
        <v/>
      </c>
      <c r="E190" s="74" t="str">
        <f>IFERROR(IF(A190="","",IF(Relaciones!I170="","",Relaciones!I170)),"")</f>
        <v/>
      </c>
      <c r="F190" s="75"/>
    </row>
    <row r="191" ht="18.0" customHeight="1">
      <c r="A191" s="69" t="str">
        <f>IFERROR(IF(ISERROR(FIND("-P",Relaciones!A171)),"",IF(Relaciones!A171="","",Relaciones!A171)),"")</f>
        <v/>
      </c>
      <c r="B191" s="69" t="str">
        <f>IFERROR(IF(A191="","",IF(Relaciones!D171="","",Relaciones!D171)),"")</f>
        <v/>
      </c>
      <c r="C191" s="70" t="str">
        <f>IFERROR(IF(A191="","",IF(Relaciones!G171="","",Relaciones!G171)),"")</f>
        <v/>
      </c>
      <c r="D191" s="71" t="str">
        <f>IFERROR(IF(A191="","",IF(Relaciones!H171="","",Relaciones!H171)),"")</f>
        <v/>
      </c>
      <c r="E191" s="71" t="str">
        <f>IFERROR(IF(A191="","",IF(Relaciones!I171="","",Relaciones!I171)),"")</f>
        <v/>
      </c>
      <c r="F191" s="75"/>
    </row>
    <row r="192" ht="18.0" customHeight="1">
      <c r="A192" s="72" t="str">
        <f>IFERROR(IF(ISERROR(FIND("-P",Relaciones!A172)),"",IF(Relaciones!A172="","",Relaciones!A172)),"")</f>
        <v/>
      </c>
      <c r="B192" s="72" t="str">
        <f>IFERROR(IF(A192="","",IF(Relaciones!D172="","",Relaciones!D172)),"")</f>
        <v/>
      </c>
      <c r="C192" s="73" t="str">
        <f>IFERROR(IF(A192="","",IF(Relaciones!G172="","",Relaciones!G172)),"")</f>
        <v/>
      </c>
      <c r="D192" s="74" t="str">
        <f>IFERROR(IF(A192="","",IF(Relaciones!H172="","",Relaciones!H172)),"")</f>
        <v/>
      </c>
      <c r="E192" s="74" t="str">
        <f>IFERROR(IF(A192="","",IF(Relaciones!I172="","",Relaciones!I172)),"")</f>
        <v/>
      </c>
      <c r="F192" s="75"/>
    </row>
    <row r="193" ht="18.0" customHeight="1">
      <c r="A193" s="69" t="str">
        <f>IFERROR(IF(ISERROR(FIND("-P",Relaciones!A173)),"",IF(Relaciones!A173="","",Relaciones!A173)),"")</f>
        <v/>
      </c>
      <c r="B193" s="69" t="str">
        <f>IFERROR(IF(A193="","",IF(Relaciones!D173="","",Relaciones!D173)),"")</f>
        <v/>
      </c>
      <c r="C193" s="70" t="str">
        <f>IFERROR(IF(A193="","",IF(Relaciones!G173="","",Relaciones!G173)),"")</f>
        <v/>
      </c>
      <c r="D193" s="71" t="str">
        <f>IFERROR(IF(A193="","",IF(Relaciones!H173="","",Relaciones!H173)),"")</f>
        <v/>
      </c>
      <c r="E193" s="71" t="str">
        <f>IFERROR(IF(A193="","",IF(Relaciones!I173="","",Relaciones!I173)),"")</f>
        <v/>
      </c>
      <c r="F193" s="75"/>
    </row>
    <row r="194" ht="18.0" customHeight="1">
      <c r="A194" s="72" t="str">
        <f>IFERROR(IF(ISERROR(FIND("-P",Relaciones!A174)),"",IF(Relaciones!A174="","",Relaciones!A174)),"")</f>
        <v/>
      </c>
      <c r="B194" s="72" t="str">
        <f>IFERROR(IF(A194="","",IF(Relaciones!D174="","",Relaciones!D174)),"")</f>
        <v/>
      </c>
      <c r="C194" s="73" t="str">
        <f>IFERROR(IF(A194="","",IF(Relaciones!G174="","",Relaciones!G174)),"")</f>
        <v/>
      </c>
      <c r="D194" s="74" t="str">
        <f>IFERROR(IF(A194="","",IF(Relaciones!H174="","",Relaciones!H174)),"")</f>
        <v/>
      </c>
      <c r="E194" s="74" t="str">
        <f>IFERROR(IF(A194="","",IF(Relaciones!I174="","",Relaciones!I174)),"")</f>
        <v/>
      </c>
      <c r="F194" s="75"/>
    </row>
    <row r="195" ht="18.0" customHeight="1">
      <c r="A195" s="69" t="str">
        <f>IFERROR(IF(ISERROR(FIND("-P",Relaciones!A175)),"",IF(Relaciones!A175="","",Relaciones!A175)),"")</f>
        <v/>
      </c>
      <c r="B195" s="69" t="str">
        <f>IFERROR(IF(A195="","",IF(Relaciones!D175="","",Relaciones!D175)),"")</f>
        <v/>
      </c>
      <c r="C195" s="70" t="str">
        <f>IFERROR(IF(A195="","",IF(Relaciones!G175="","",Relaciones!G175)),"")</f>
        <v/>
      </c>
      <c r="D195" s="71" t="str">
        <f>IFERROR(IF(A195="","",IF(Relaciones!H175="","",Relaciones!H175)),"")</f>
        <v/>
      </c>
      <c r="E195" s="71" t="str">
        <f>IFERROR(IF(A195="","",IF(Relaciones!I175="","",Relaciones!I175)),"")</f>
        <v/>
      </c>
      <c r="F195" s="75"/>
    </row>
    <row r="196" ht="18.0" customHeight="1">
      <c r="A196" s="72" t="str">
        <f>IFERROR(IF(ISERROR(FIND("-P",Relaciones!A176)),"",IF(Relaciones!A176="","",Relaciones!A176)),"")</f>
        <v/>
      </c>
      <c r="B196" s="72" t="str">
        <f>IFERROR(IF(A196="","",IF(Relaciones!D176="","",Relaciones!D176)),"")</f>
        <v/>
      </c>
      <c r="C196" s="73" t="str">
        <f>IFERROR(IF(A196="","",IF(Relaciones!G176="","",Relaciones!G176)),"")</f>
        <v/>
      </c>
      <c r="D196" s="74" t="str">
        <f>IFERROR(IF(A196="","",IF(Relaciones!H176="","",Relaciones!H176)),"")</f>
        <v/>
      </c>
      <c r="E196" s="74" t="str">
        <f>IFERROR(IF(A196="","",IF(Relaciones!I176="","",Relaciones!I176)),"")</f>
        <v/>
      </c>
      <c r="F196" s="75"/>
    </row>
    <row r="197" ht="18.0" customHeight="1">
      <c r="A197" s="69" t="str">
        <f>IFERROR(IF(ISERROR(FIND("-P",Relaciones!A177)),"",IF(Relaciones!A177="","",Relaciones!A177)),"")</f>
        <v/>
      </c>
      <c r="B197" s="69" t="str">
        <f>IFERROR(IF(A197="","",IF(Relaciones!D177="","",Relaciones!D177)),"")</f>
        <v/>
      </c>
      <c r="C197" s="70" t="str">
        <f>IFERROR(IF(A197="","",IF(Relaciones!G177="","",Relaciones!G177)),"")</f>
        <v/>
      </c>
      <c r="D197" s="71" t="str">
        <f>IFERROR(IF(A197="","",IF(Relaciones!H177="","",Relaciones!H177)),"")</f>
        <v/>
      </c>
      <c r="E197" s="71" t="str">
        <f>IFERROR(IF(A197="","",IF(Relaciones!I177="","",Relaciones!I177)),"")</f>
        <v/>
      </c>
      <c r="F197" s="75"/>
    </row>
    <row r="198" ht="18.0" customHeight="1">
      <c r="A198" s="72" t="str">
        <f>IFERROR(IF(ISERROR(FIND("-P",Relaciones!A178)),"",IF(Relaciones!A178="","",Relaciones!A178)),"")</f>
        <v/>
      </c>
      <c r="B198" s="72" t="str">
        <f>IFERROR(IF(A198="","",IF(Relaciones!D178="","",Relaciones!D178)),"")</f>
        <v/>
      </c>
      <c r="C198" s="73" t="str">
        <f>IFERROR(IF(A198="","",IF(Relaciones!G178="","",Relaciones!G178)),"")</f>
        <v/>
      </c>
      <c r="D198" s="74" t="str">
        <f>IFERROR(IF(A198="","",IF(Relaciones!H178="","",Relaciones!H178)),"")</f>
        <v/>
      </c>
      <c r="E198" s="74" t="str">
        <f>IFERROR(IF(A198="","",IF(Relaciones!I178="","",Relaciones!I178)),"")</f>
        <v/>
      </c>
      <c r="F198" s="75"/>
    </row>
    <row r="199" ht="18.0" customHeight="1">
      <c r="A199" s="69" t="str">
        <f>IFERROR(IF(ISERROR(FIND("-P",Relaciones!A179)),"",IF(Relaciones!A179="","",Relaciones!A179)),"")</f>
        <v/>
      </c>
      <c r="B199" s="69" t="str">
        <f>IFERROR(IF(A199="","",IF(Relaciones!D179="","",Relaciones!D179)),"")</f>
        <v/>
      </c>
      <c r="C199" s="70" t="str">
        <f>IFERROR(IF(A199="","",IF(Relaciones!G179="","",Relaciones!G179)),"")</f>
        <v/>
      </c>
      <c r="D199" s="71" t="str">
        <f>IFERROR(IF(A199="","",IF(Relaciones!H179="","",Relaciones!H179)),"")</f>
        <v/>
      </c>
      <c r="E199" s="71" t="str">
        <f>IFERROR(IF(A199="","",IF(Relaciones!I179="","",Relaciones!I179)),"")</f>
        <v/>
      </c>
      <c r="F199" s="75"/>
    </row>
    <row r="200" ht="18.0" customHeight="1">
      <c r="A200" s="72" t="str">
        <f>IFERROR(IF(ISERROR(FIND("-P",Relaciones!A180)),"",IF(Relaciones!A180="","",Relaciones!A180)),"")</f>
        <v/>
      </c>
      <c r="B200" s="72" t="str">
        <f>IFERROR(IF(A200="","",IF(Relaciones!D180="","",Relaciones!D180)),"")</f>
        <v/>
      </c>
      <c r="C200" s="73" t="str">
        <f>IFERROR(IF(A200="","",IF(Relaciones!G180="","",Relaciones!G180)),"")</f>
        <v/>
      </c>
      <c r="D200" s="74" t="str">
        <f>IFERROR(IF(A200="","",IF(Relaciones!H180="","",Relaciones!H180)),"")</f>
        <v/>
      </c>
      <c r="E200" s="74" t="str">
        <f>IFERROR(IF(A200="","",IF(Relaciones!I180="","",Relaciones!I180)),"")</f>
        <v/>
      </c>
      <c r="F200" s="75"/>
    </row>
    <row r="201" ht="18.0" customHeight="1">
      <c r="A201" s="69" t="str">
        <f>IFERROR(IF(ISERROR(FIND("-P",Relaciones!A181)),"",IF(Relaciones!A181="","",Relaciones!A181)),"")</f>
        <v/>
      </c>
      <c r="B201" s="69" t="str">
        <f>IFERROR(IF(A201="","",IF(Relaciones!D181="","",Relaciones!D181)),"")</f>
        <v/>
      </c>
      <c r="C201" s="70" t="str">
        <f>IFERROR(IF(A201="","",IF(Relaciones!G181="","",Relaciones!G181)),"")</f>
        <v/>
      </c>
      <c r="D201" s="71" t="str">
        <f>IFERROR(IF(A201="","",IF(Relaciones!H181="","",Relaciones!H181)),"")</f>
        <v/>
      </c>
      <c r="E201" s="71" t="str">
        <f>IFERROR(IF(A201="","",IF(Relaciones!I181="","",Relaciones!I181)),"")</f>
        <v/>
      </c>
      <c r="F201" s="75"/>
    </row>
    <row r="202" ht="18.0" customHeight="1">
      <c r="A202" s="72" t="str">
        <f>IFERROR(IF(ISERROR(FIND("-P",Relaciones!A182)),"",IF(Relaciones!A182="","",Relaciones!A182)),"")</f>
        <v/>
      </c>
      <c r="B202" s="72" t="str">
        <f>IFERROR(IF(A202="","",IF(Relaciones!D182="","",Relaciones!D182)),"")</f>
        <v/>
      </c>
      <c r="C202" s="73" t="str">
        <f>IFERROR(IF(A202="","",IF(Relaciones!G182="","",Relaciones!G182)),"")</f>
        <v/>
      </c>
      <c r="D202" s="74" t="str">
        <f>IFERROR(IF(A202="","",IF(Relaciones!H182="","",Relaciones!H182)),"")</f>
        <v/>
      </c>
      <c r="E202" s="74" t="str">
        <f>IFERROR(IF(A202="","",IF(Relaciones!I182="","",Relaciones!I182)),"")</f>
        <v/>
      </c>
      <c r="F202" s="75"/>
    </row>
    <row r="203" ht="18.0" customHeight="1">
      <c r="A203" s="69" t="str">
        <f>IFERROR(IF(ISERROR(FIND("-P",Relaciones!A183)),"",IF(Relaciones!A183="","",Relaciones!A183)),"")</f>
        <v/>
      </c>
      <c r="B203" s="69" t="str">
        <f>IFERROR(IF(A203="","",IF(Relaciones!D183="","",Relaciones!D183)),"")</f>
        <v/>
      </c>
      <c r="C203" s="70" t="str">
        <f>IFERROR(IF(A203="","",IF(Relaciones!G183="","",Relaciones!G183)),"")</f>
        <v/>
      </c>
      <c r="D203" s="71" t="str">
        <f>IFERROR(IF(A203="","",IF(Relaciones!H183="","",Relaciones!H183)),"")</f>
        <v/>
      </c>
      <c r="E203" s="71" t="str">
        <f>IFERROR(IF(A203="","",IF(Relaciones!I183="","",Relaciones!I183)),"")</f>
        <v/>
      </c>
      <c r="F203" s="75"/>
    </row>
    <row r="204" ht="18.0" customHeight="1">
      <c r="A204" s="72" t="str">
        <f>IFERROR(IF(ISERROR(FIND("-P",Relaciones!A184)),"",IF(Relaciones!A184="","",Relaciones!A184)),"")</f>
        <v/>
      </c>
      <c r="B204" s="72" t="str">
        <f>IFERROR(IF(A204="","",IF(Relaciones!D184="","",Relaciones!D184)),"")</f>
        <v/>
      </c>
      <c r="C204" s="73" t="str">
        <f>IFERROR(IF(A204="","",IF(Relaciones!G184="","",Relaciones!G184)),"")</f>
        <v/>
      </c>
      <c r="D204" s="74" t="str">
        <f>IFERROR(IF(A204="","",IF(Relaciones!H184="","",Relaciones!H184)),"")</f>
        <v/>
      </c>
      <c r="E204" s="74" t="str">
        <f>IFERROR(IF(A204="","",IF(Relaciones!I184="","",Relaciones!I184)),"")</f>
        <v/>
      </c>
      <c r="F204" s="75"/>
    </row>
    <row r="205" ht="18.0" customHeight="1">
      <c r="A205" s="69" t="str">
        <f>IFERROR(IF(ISERROR(FIND("-P",Relaciones!A185)),"",IF(Relaciones!A185="","",Relaciones!A185)),"")</f>
        <v/>
      </c>
      <c r="B205" s="69" t="str">
        <f>IFERROR(IF(A205="","",IF(Relaciones!D185="","",Relaciones!D185)),"")</f>
        <v/>
      </c>
      <c r="C205" s="70" t="str">
        <f>IFERROR(IF(A205="","",IF(Relaciones!G185="","",Relaciones!G185)),"")</f>
        <v/>
      </c>
      <c r="D205" s="71" t="str">
        <f>IFERROR(IF(A205="","",IF(Relaciones!H185="","",Relaciones!H185)),"")</f>
        <v/>
      </c>
      <c r="E205" s="71" t="str">
        <f>IFERROR(IF(A205="","",IF(Relaciones!I185="","",Relaciones!I185)),"")</f>
        <v/>
      </c>
      <c r="F205" s="75"/>
    </row>
    <row r="206" ht="18.0" customHeight="1">
      <c r="A206" s="72" t="str">
        <f>IFERROR(IF(ISERROR(FIND("-P",Relaciones!A186)),"",IF(Relaciones!A186="","",Relaciones!A186)),"")</f>
        <v/>
      </c>
      <c r="B206" s="72" t="str">
        <f>IFERROR(IF(A206="","",IF(Relaciones!D186="","",Relaciones!D186)),"")</f>
        <v/>
      </c>
      <c r="C206" s="73" t="str">
        <f>IFERROR(IF(A206="","",IF(Relaciones!G186="","",Relaciones!G186)),"")</f>
        <v/>
      </c>
      <c r="D206" s="74" t="str">
        <f>IFERROR(IF(A206="","",IF(Relaciones!H186="","",Relaciones!H186)),"")</f>
        <v/>
      </c>
      <c r="E206" s="74" t="str">
        <f>IFERROR(IF(A206="","",IF(Relaciones!I186="","",Relaciones!I186)),"")</f>
        <v/>
      </c>
      <c r="F206" s="75"/>
    </row>
    <row r="207" ht="18.0" customHeight="1">
      <c r="A207" s="69" t="str">
        <f>IFERROR(IF(ISERROR(FIND("-P",Relaciones!A187)),"",IF(Relaciones!A187="","",Relaciones!A187)),"")</f>
        <v/>
      </c>
      <c r="B207" s="69" t="str">
        <f>IFERROR(IF(A207="","",IF(Relaciones!D187="","",Relaciones!D187)),"")</f>
        <v/>
      </c>
      <c r="C207" s="70" t="str">
        <f>IFERROR(IF(A207="","",IF(Relaciones!G187="","",Relaciones!G187)),"")</f>
        <v/>
      </c>
      <c r="D207" s="71" t="str">
        <f>IFERROR(IF(A207="","",IF(Relaciones!H187="","",Relaciones!H187)),"")</f>
        <v/>
      </c>
      <c r="E207" s="71" t="str">
        <f>IFERROR(IF(A207="","",IF(Relaciones!I187="","",Relaciones!I187)),"")</f>
        <v/>
      </c>
      <c r="F207" s="75"/>
    </row>
    <row r="208" ht="18.0" customHeight="1">
      <c r="A208" s="72" t="str">
        <f>IFERROR(IF(ISERROR(FIND("-P",Relaciones!A188)),"",IF(Relaciones!A188="","",Relaciones!A188)),"")</f>
        <v/>
      </c>
      <c r="B208" s="72" t="str">
        <f>IFERROR(IF(A208="","",IF(Relaciones!D188="","",Relaciones!D188)),"")</f>
        <v/>
      </c>
      <c r="C208" s="73" t="str">
        <f>IFERROR(IF(A208="","",IF(Relaciones!G188="","",Relaciones!G188)),"")</f>
        <v/>
      </c>
      <c r="D208" s="74" t="str">
        <f>IFERROR(IF(A208="","",IF(Relaciones!H188="","",Relaciones!H188)),"")</f>
        <v/>
      </c>
      <c r="E208" s="74" t="str">
        <f>IFERROR(IF(A208="","",IF(Relaciones!I188="","",Relaciones!I188)),"")</f>
        <v/>
      </c>
      <c r="F208" s="75"/>
    </row>
    <row r="209" ht="18.0" customHeight="1">
      <c r="A209" s="69" t="str">
        <f>IFERROR(IF(ISERROR(FIND("-P",Relaciones!A189)),"",IF(Relaciones!A189="","",Relaciones!A189)),"")</f>
        <v/>
      </c>
      <c r="B209" s="69" t="str">
        <f>IFERROR(IF(A209="","",IF(Relaciones!D189="","",Relaciones!D189)),"")</f>
        <v/>
      </c>
      <c r="C209" s="70" t="str">
        <f>IFERROR(IF(A209="","",IF(Relaciones!G189="","",Relaciones!G189)),"")</f>
        <v/>
      </c>
      <c r="D209" s="71" t="str">
        <f>IFERROR(IF(A209="","",IF(Relaciones!H189="","",Relaciones!H189)),"")</f>
        <v/>
      </c>
      <c r="E209" s="71" t="str">
        <f>IFERROR(IF(A209="","",IF(Relaciones!I189="","",Relaciones!I189)),"")</f>
        <v/>
      </c>
      <c r="F209" s="75"/>
    </row>
    <row r="210" ht="18.0" customHeight="1">
      <c r="A210" s="72" t="str">
        <f>IFERROR(IF(ISERROR(FIND("-P",Relaciones!A190)),"",IF(Relaciones!A190="","",Relaciones!A190)),"")</f>
        <v/>
      </c>
      <c r="B210" s="72" t="str">
        <f>IFERROR(IF(A210="","",IF(Relaciones!D190="","",Relaciones!D190)),"")</f>
        <v/>
      </c>
      <c r="C210" s="73" t="str">
        <f>IFERROR(IF(A210="","",IF(Relaciones!G190="","",Relaciones!G190)),"")</f>
        <v/>
      </c>
      <c r="D210" s="74" t="str">
        <f>IFERROR(IF(A210="","",IF(Relaciones!H190="","",Relaciones!H190)),"")</f>
        <v/>
      </c>
      <c r="E210" s="74" t="str">
        <f>IFERROR(IF(A210="","",IF(Relaciones!I190="","",Relaciones!I190)),"")</f>
        <v/>
      </c>
      <c r="F210" s="75"/>
    </row>
    <row r="211" ht="18.0" customHeight="1">
      <c r="A211" s="69" t="str">
        <f>IFERROR(IF(ISERROR(FIND("-P",Relaciones!A191)),"",IF(Relaciones!A191="","",Relaciones!A191)),"")</f>
        <v/>
      </c>
      <c r="B211" s="69" t="str">
        <f>IFERROR(IF(A211="","",IF(Relaciones!D191="","",Relaciones!D191)),"")</f>
        <v/>
      </c>
      <c r="C211" s="70" t="str">
        <f>IFERROR(IF(A211="","",IF(Relaciones!G191="","",Relaciones!G191)),"")</f>
        <v/>
      </c>
      <c r="D211" s="71" t="str">
        <f>IFERROR(IF(A211="","",IF(Relaciones!H191="","",Relaciones!H191)),"")</f>
        <v/>
      </c>
      <c r="E211" s="71" t="str">
        <f>IFERROR(IF(A211="","",IF(Relaciones!I191="","",Relaciones!I191)),"")</f>
        <v/>
      </c>
      <c r="F211" s="75"/>
    </row>
    <row r="212" ht="18.0" customHeight="1">
      <c r="A212" s="72" t="str">
        <f>IFERROR(IF(ISERROR(FIND("-P",Relaciones!A192)),"",IF(Relaciones!A192="","",Relaciones!A192)),"")</f>
        <v/>
      </c>
      <c r="B212" s="72" t="str">
        <f>IFERROR(IF(A212="","",IF(Relaciones!D192="","",Relaciones!D192)),"")</f>
        <v/>
      </c>
      <c r="C212" s="73" t="str">
        <f>IFERROR(IF(A212="","",IF(Relaciones!G192="","",Relaciones!G192)),"")</f>
        <v/>
      </c>
      <c r="D212" s="74" t="str">
        <f>IFERROR(IF(A212="","",IF(Relaciones!H192="","",Relaciones!H192)),"")</f>
        <v/>
      </c>
      <c r="E212" s="74" t="str">
        <f>IFERROR(IF(A212="","",IF(Relaciones!I192="","",Relaciones!I192)),"")</f>
        <v/>
      </c>
      <c r="F212" s="75"/>
    </row>
    <row r="213" ht="18.0" customHeight="1">
      <c r="A213" s="69" t="str">
        <f>IFERROR(IF(ISERROR(FIND("-P",Relaciones!A193)),"",IF(Relaciones!A193="","",Relaciones!A193)),"")</f>
        <v/>
      </c>
      <c r="B213" s="69" t="str">
        <f>IFERROR(IF(A213="","",IF(Relaciones!D193="","",Relaciones!D193)),"")</f>
        <v/>
      </c>
      <c r="C213" s="70" t="str">
        <f>IFERROR(IF(A213="","",IF(Relaciones!G193="","",Relaciones!G193)),"")</f>
        <v/>
      </c>
      <c r="D213" s="71" t="str">
        <f>IFERROR(IF(A213="","",IF(Relaciones!H193="","",Relaciones!H193)),"")</f>
        <v/>
      </c>
      <c r="E213" s="71" t="str">
        <f>IFERROR(IF(A213="","",IF(Relaciones!I193="","",Relaciones!I193)),"")</f>
        <v/>
      </c>
      <c r="F213" s="75"/>
    </row>
    <row r="214" ht="18.0" customHeight="1">
      <c r="A214" s="72" t="str">
        <f>IFERROR(IF(ISERROR(FIND("-P",Relaciones!A194)),"",IF(Relaciones!A194="","",Relaciones!A194)),"")</f>
        <v/>
      </c>
      <c r="B214" s="72" t="str">
        <f>IFERROR(IF(A214="","",IF(Relaciones!D194="","",Relaciones!D194)),"")</f>
        <v/>
      </c>
      <c r="C214" s="73" t="str">
        <f>IFERROR(IF(A214="","",IF(Relaciones!G194="","",Relaciones!G194)),"")</f>
        <v/>
      </c>
      <c r="D214" s="74" t="str">
        <f>IFERROR(IF(A214="","",IF(Relaciones!H194="","",Relaciones!H194)),"")</f>
        <v/>
      </c>
      <c r="E214" s="74" t="str">
        <f>IFERROR(IF(A214="","",IF(Relaciones!I194="","",Relaciones!I194)),"")</f>
        <v/>
      </c>
      <c r="F214" s="75"/>
    </row>
    <row r="215" ht="18.0" customHeight="1">
      <c r="A215" s="69" t="str">
        <f>IFERROR(IF(ISERROR(FIND("-P",Relaciones!A195)),"",IF(Relaciones!A195="","",Relaciones!A195)),"")</f>
        <v/>
      </c>
      <c r="B215" s="69" t="str">
        <f>IFERROR(IF(A215="","",IF(Relaciones!D195="","",Relaciones!D195)),"")</f>
        <v/>
      </c>
      <c r="C215" s="70" t="str">
        <f>IFERROR(IF(A215="","",IF(Relaciones!G195="","",Relaciones!G195)),"")</f>
        <v/>
      </c>
      <c r="D215" s="71" t="str">
        <f>IFERROR(IF(A215="","",IF(Relaciones!H195="","",Relaciones!H195)),"")</f>
        <v/>
      </c>
      <c r="E215" s="71" t="str">
        <f>IFERROR(IF(A215="","",IF(Relaciones!I195="","",Relaciones!I195)),"")</f>
        <v/>
      </c>
      <c r="F215" s="75"/>
    </row>
    <row r="216" ht="18.0" customHeight="1">
      <c r="A216" s="72" t="str">
        <f>IFERROR(IF(ISERROR(FIND("-P",Relaciones!A196)),"",IF(Relaciones!A196="","",Relaciones!A196)),"")</f>
        <v/>
      </c>
      <c r="B216" s="72" t="str">
        <f>IFERROR(IF(A216="","",IF(Relaciones!D196="","",Relaciones!D196)),"")</f>
        <v/>
      </c>
      <c r="C216" s="73" t="str">
        <f>IFERROR(IF(A216="","",IF(Relaciones!G196="","",Relaciones!G196)),"")</f>
        <v/>
      </c>
      <c r="D216" s="74" t="str">
        <f>IFERROR(IF(A216="","",IF(Relaciones!H196="","",Relaciones!H196)),"")</f>
        <v/>
      </c>
      <c r="E216" s="74" t="str">
        <f>IFERROR(IF(A216="","",IF(Relaciones!I196="","",Relaciones!I196)),"")</f>
        <v/>
      </c>
      <c r="F216" s="75"/>
    </row>
    <row r="217" ht="18.0" customHeight="1">
      <c r="A217" s="69" t="str">
        <f>IFERROR(IF(ISERROR(FIND("-P",Relaciones!A197)),"",IF(Relaciones!A197="","",Relaciones!A197)),"")</f>
        <v/>
      </c>
      <c r="B217" s="69" t="str">
        <f>IFERROR(IF(A217="","",IF(Relaciones!D197="","",Relaciones!D197)),"")</f>
        <v/>
      </c>
      <c r="C217" s="70" t="str">
        <f>IFERROR(IF(A217="","",IF(Relaciones!G197="","",Relaciones!G197)),"")</f>
        <v/>
      </c>
      <c r="D217" s="71" t="str">
        <f>IFERROR(IF(A217="","",IF(Relaciones!H197="","",Relaciones!H197)),"")</f>
        <v/>
      </c>
      <c r="E217" s="71" t="str">
        <f>IFERROR(IF(A217="","",IF(Relaciones!I197="","",Relaciones!I197)),"")</f>
        <v/>
      </c>
      <c r="F217" s="75"/>
    </row>
    <row r="218" ht="18.0" customHeight="1">
      <c r="A218" s="72" t="str">
        <f>IFERROR(IF(ISERROR(FIND("-P",Relaciones!A198)),"",IF(Relaciones!A198="","",Relaciones!A198)),"")</f>
        <v/>
      </c>
      <c r="B218" s="72" t="str">
        <f>IFERROR(IF(A218="","",IF(Relaciones!D198="","",Relaciones!D198)),"")</f>
        <v/>
      </c>
      <c r="C218" s="73" t="str">
        <f>IFERROR(IF(A218="","",IF(Relaciones!G198="","",Relaciones!G198)),"")</f>
        <v/>
      </c>
      <c r="D218" s="74" t="str">
        <f>IFERROR(IF(A218="","",IF(Relaciones!H198="","",Relaciones!H198)),"")</f>
        <v/>
      </c>
      <c r="E218" s="74" t="str">
        <f>IFERROR(IF(A218="","",IF(Relaciones!I198="","",Relaciones!I198)),"")</f>
        <v/>
      </c>
      <c r="F218" s="75"/>
    </row>
    <row r="219" ht="18.0" customHeight="1">
      <c r="A219" s="69" t="str">
        <f>IFERROR(IF(ISERROR(FIND("-P",Relaciones!A199)),"",IF(Relaciones!A199="","",Relaciones!A199)),"")</f>
        <v/>
      </c>
      <c r="B219" s="69" t="str">
        <f>IFERROR(IF(A219="","",IF(Relaciones!D199="","",Relaciones!D199)),"")</f>
        <v/>
      </c>
      <c r="C219" s="70" t="str">
        <f>IFERROR(IF(A219="","",IF(Relaciones!G199="","",Relaciones!G199)),"")</f>
        <v/>
      </c>
      <c r="D219" s="71" t="str">
        <f>IFERROR(IF(A219="","",IF(Relaciones!H199="","",Relaciones!H199)),"")</f>
        <v/>
      </c>
      <c r="E219" s="71" t="str">
        <f>IFERROR(IF(A219="","",IF(Relaciones!I199="","",Relaciones!I199)),"")</f>
        <v/>
      </c>
      <c r="F219" s="75"/>
    </row>
    <row r="220" ht="18.0" customHeight="1">
      <c r="A220" s="72" t="str">
        <f>IFERROR(IF(ISERROR(FIND("-P",Relaciones!A200)),"",IF(Relaciones!A200="","",Relaciones!A200)),"")</f>
        <v/>
      </c>
      <c r="B220" s="72" t="str">
        <f>IFERROR(IF(A220="","",IF(Relaciones!D200="","",Relaciones!D200)),"")</f>
        <v/>
      </c>
      <c r="C220" s="73" t="str">
        <f>IFERROR(IF(A220="","",IF(Relaciones!G200="","",Relaciones!G200)),"")</f>
        <v/>
      </c>
      <c r="D220" s="74" t="str">
        <f>IFERROR(IF(A220="","",IF(Relaciones!H200="","",Relaciones!H200)),"")</f>
        <v/>
      </c>
      <c r="E220" s="74" t="str">
        <f>IFERROR(IF(A220="","",IF(Relaciones!I200="","",Relaciones!I200)),"")</f>
        <v/>
      </c>
      <c r="F220" s="75"/>
    </row>
    <row r="221" ht="18.0" customHeight="1">
      <c r="A221" s="69" t="str">
        <f>IFERROR(IF(ISERROR(FIND("-P",Relaciones!A201)),"",IF(Relaciones!A201="","",Relaciones!A201)),"")</f>
        <v/>
      </c>
      <c r="B221" s="69" t="str">
        <f>IFERROR(IF(A221="","",IF(Relaciones!D201="","",Relaciones!D201)),"")</f>
        <v/>
      </c>
      <c r="C221" s="70" t="str">
        <f>IFERROR(IF(A221="","",IF(Relaciones!G201="","",Relaciones!G201)),"")</f>
        <v/>
      </c>
      <c r="D221" s="71" t="str">
        <f>IFERROR(IF(A221="","",IF(Relaciones!H201="","",Relaciones!H201)),"")</f>
        <v/>
      </c>
      <c r="E221" s="71" t="str">
        <f>IFERROR(IF(A221="","",IF(Relaciones!I201="","",Relaciones!I201)),"")</f>
        <v/>
      </c>
      <c r="F221" s="75"/>
    </row>
    <row r="222" ht="18.0" customHeight="1">
      <c r="A222" s="72" t="str">
        <f>IFERROR(IF(ISERROR(FIND("-P",Relaciones!A202)),"",IF(Relaciones!A202="","",Relaciones!A202)),"")</f>
        <v/>
      </c>
      <c r="B222" s="72" t="str">
        <f>IFERROR(IF(A222="","",IF(Relaciones!D202="","",Relaciones!D202)),"")</f>
        <v/>
      </c>
      <c r="C222" s="73" t="str">
        <f>IFERROR(IF(A222="","",IF(Relaciones!G202="","",Relaciones!G202)),"")</f>
        <v/>
      </c>
      <c r="D222" s="74" t="str">
        <f>IFERROR(IF(A222="","",IF(Relaciones!H202="","",Relaciones!H202)),"")</f>
        <v/>
      </c>
      <c r="E222" s="74" t="str">
        <f>IFERROR(IF(A222="","",IF(Relaciones!I202="","",Relaciones!I202)),"")</f>
        <v/>
      </c>
      <c r="F222" s="75"/>
    </row>
    <row r="223" ht="18.0" customHeight="1">
      <c r="A223" s="69" t="str">
        <f>IFERROR(IF(ISERROR(FIND("-P",Relaciones!A203)),"",IF(Relaciones!A203="","",Relaciones!A203)),"")</f>
        <v/>
      </c>
      <c r="B223" s="69" t="str">
        <f>IFERROR(IF(A223="","",IF(Relaciones!D203="","",Relaciones!D203)),"")</f>
        <v/>
      </c>
      <c r="C223" s="70" t="str">
        <f>IFERROR(IF(A223="","",IF(Relaciones!G203="","",Relaciones!G203)),"")</f>
        <v/>
      </c>
      <c r="D223" s="71" t="str">
        <f>IFERROR(IF(A223="","",IF(Relaciones!H203="","",Relaciones!H203)),"")</f>
        <v/>
      </c>
      <c r="E223" s="71" t="str">
        <f>IFERROR(IF(A223="","",IF(Relaciones!I203="","",Relaciones!I203)),"")</f>
        <v/>
      </c>
      <c r="F223" s="75"/>
    </row>
    <row r="224" ht="18.0" customHeight="1">
      <c r="A224" s="72" t="str">
        <f>IFERROR(IF(ISERROR(FIND("-P",Relaciones!A204)),"",IF(Relaciones!A204="","",Relaciones!A204)),"")</f>
        <v/>
      </c>
      <c r="B224" s="72" t="str">
        <f>IFERROR(IF(A224="","",IF(Relaciones!D204="","",Relaciones!D204)),"")</f>
        <v/>
      </c>
      <c r="C224" s="73" t="str">
        <f>IFERROR(IF(A224="","",IF(Relaciones!G204="","",Relaciones!G204)),"")</f>
        <v/>
      </c>
      <c r="D224" s="74" t="str">
        <f>IFERROR(IF(A224="","",IF(Relaciones!H204="","",Relaciones!H204)),"")</f>
        <v/>
      </c>
      <c r="E224" s="74" t="str">
        <f>IFERROR(IF(A224="","",IF(Relaciones!I204="","",Relaciones!I204)),"")</f>
        <v/>
      </c>
      <c r="F224" s="75"/>
    </row>
    <row r="225" ht="18.0" customHeight="1">
      <c r="A225" s="69" t="str">
        <f>IFERROR(IF(ISERROR(FIND("-P",Relaciones!A205)),"",IF(Relaciones!A205="","",Relaciones!A205)),"")</f>
        <v/>
      </c>
      <c r="B225" s="69" t="str">
        <f>IFERROR(IF(A225="","",IF(Relaciones!D205="","",Relaciones!D205)),"")</f>
        <v/>
      </c>
      <c r="C225" s="70" t="str">
        <f>IFERROR(IF(A225="","",IF(Relaciones!G205="","",Relaciones!G205)),"")</f>
        <v/>
      </c>
      <c r="D225" s="71" t="str">
        <f>IFERROR(IF(A225="","",IF(Relaciones!H205="","",Relaciones!H205)),"")</f>
        <v/>
      </c>
      <c r="E225" s="71" t="str">
        <f>IFERROR(IF(A225="","",IF(Relaciones!I205="","",Relaciones!I205)),"")</f>
        <v/>
      </c>
      <c r="F225" s="75"/>
    </row>
    <row r="226" ht="18.0" customHeight="1">
      <c r="A226" s="72" t="str">
        <f>IFERROR(IF(ISERROR(FIND("-P",Relaciones!A206)),"",IF(Relaciones!A206="","",Relaciones!A206)),"")</f>
        <v/>
      </c>
      <c r="B226" s="72" t="str">
        <f>IFERROR(IF(A226="","",IF(Relaciones!D206="","",Relaciones!D206)),"")</f>
        <v/>
      </c>
      <c r="C226" s="73" t="str">
        <f>IFERROR(IF(A226="","",IF(Relaciones!G206="","",Relaciones!G206)),"")</f>
        <v/>
      </c>
      <c r="D226" s="74" t="str">
        <f>IFERROR(IF(A226="","",IF(Relaciones!H206="","",Relaciones!H206)),"")</f>
        <v/>
      </c>
      <c r="E226" s="74" t="str">
        <f>IFERROR(IF(A226="","",IF(Relaciones!I206="","",Relaciones!I206)),"")</f>
        <v/>
      </c>
      <c r="F226" s="75"/>
    </row>
    <row r="227" ht="18.0" customHeight="1">
      <c r="A227" s="69" t="str">
        <f>IFERROR(IF(ISERROR(FIND("-P",Relaciones!A207)),"",IF(Relaciones!A207="","",Relaciones!A207)),"")</f>
        <v/>
      </c>
      <c r="B227" s="69" t="str">
        <f>IFERROR(IF(A227="","",IF(Relaciones!D207="","",Relaciones!D207)),"")</f>
        <v/>
      </c>
      <c r="C227" s="70" t="str">
        <f>IFERROR(IF(A227="","",IF(Relaciones!G207="","",Relaciones!G207)),"")</f>
        <v/>
      </c>
      <c r="D227" s="71" t="str">
        <f>IFERROR(IF(A227="","",IF(Relaciones!H207="","",Relaciones!H207)),"")</f>
        <v/>
      </c>
      <c r="E227" s="71" t="str">
        <f>IFERROR(IF(A227="","",IF(Relaciones!I207="","",Relaciones!I207)),"")</f>
        <v/>
      </c>
      <c r="F227" s="75"/>
    </row>
    <row r="228" ht="18.0" customHeight="1">
      <c r="A228" s="72" t="str">
        <f>IFERROR(IF(ISERROR(FIND("-P",Relaciones!A208)),"",IF(Relaciones!A208="","",Relaciones!A208)),"")</f>
        <v/>
      </c>
      <c r="B228" s="72" t="str">
        <f>IFERROR(IF(A228="","",IF(Relaciones!D208="","",Relaciones!D208)),"")</f>
        <v/>
      </c>
      <c r="C228" s="73" t="str">
        <f>IFERROR(IF(A228="","",IF(Relaciones!G208="","",Relaciones!G208)),"")</f>
        <v/>
      </c>
      <c r="D228" s="74" t="str">
        <f>IFERROR(IF(A228="","",IF(Relaciones!H208="","",Relaciones!H208)),"")</f>
        <v/>
      </c>
      <c r="E228" s="74" t="str">
        <f>IFERROR(IF(A228="","",IF(Relaciones!I208="","",Relaciones!I208)),"")</f>
        <v/>
      </c>
      <c r="F228" s="75"/>
    </row>
    <row r="229" ht="18.0" customHeight="1">
      <c r="A229" s="69" t="str">
        <f>IFERROR(IF(ISERROR(FIND("-P",Relaciones!A209)),"",IF(Relaciones!A209="","",Relaciones!A209)),"")</f>
        <v/>
      </c>
      <c r="B229" s="69" t="str">
        <f>IFERROR(IF(A229="","",IF(Relaciones!D209="","",Relaciones!D209)),"")</f>
        <v/>
      </c>
      <c r="C229" s="70" t="str">
        <f>IFERROR(IF(A229="","",IF(Relaciones!G209="","",Relaciones!G209)),"")</f>
        <v/>
      </c>
      <c r="D229" s="71" t="str">
        <f>IFERROR(IF(A229="","",IF(Relaciones!H209="","",Relaciones!H209)),"")</f>
        <v/>
      </c>
      <c r="E229" s="71" t="str">
        <f>IFERROR(IF(A229="","",IF(Relaciones!I209="","",Relaciones!I209)),"")</f>
        <v/>
      </c>
      <c r="F229" s="75"/>
    </row>
    <row r="230" ht="18.0" customHeight="1">
      <c r="A230" s="72" t="str">
        <f>IFERROR(IF(ISERROR(FIND("-P",Relaciones!A210)),"",IF(Relaciones!A210="","",Relaciones!A210)),"")</f>
        <v/>
      </c>
      <c r="B230" s="72" t="str">
        <f>IFERROR(IF(A230="","",IF(Relaciones!D210="","",Relaciones!D210)),"")</f>
        <v/>
      </c>
      <c r="C230" s="73" t="str">
        <f>IFERROR(IF(A230="","",IF(Relaciones!G210="","",Relaciones!G210)),"")</f>
        <v/>
      </c>
      <c r="D230" s="74" t="str">
        <f>IFERROR(IF(A230="","",IF(Relaciones!H210="","",Relaciones!H210)),"")</f>
        <v/>
      </c>
      <c r="E230" s="74" t="str">
        <f>IFERROR(IF(A230="","",IF(Relaciones!I210="","",Relaciones!I210)),"")</f>
        <v/>
      </c>
      <c r="F230" s="75"/>
    </row>
    <row r="231" ht="18.0" customHeight="1">
      <c r="A231" s="69" t="str">
        <f>IFERROR(IF(ISERROR(FIND("-P",Relaciones!A211)),"",IF(Relaciones!A211="","",Relaciones!A211)),"")</f>
        <v/>
      </c>
      <c r="B231" s="69" t="str">
        <f>IFERROR(IF(A231="","",IF(Relaciones!D211="","",Relaciones!D211)),"")</f>
        <v/>
      </c>
      <c r="C231" s="70" t="str">
        <f>IFERROR(IF(A231="","",IF(Relaciones!G211="","",Relaciones!G211)),"")</f>
        <v/>
      </c>
      <c r="D231" s="71" t="str">
        <f>IFERROR(IF(A231="","",IF(Relaciones!H211="","",Relaciones!H211)),"")</f>
        <v/>
      </c>
      <c r="E231" s="71" t="str">
        <f>IFERROR(IF(A231="","",IF(Relaciones!I211="","",Relaciones!I211)),"")</f>
        <v/>
      </c>
      <c r="F231" s="75"/>
    </row>
    <row r="232" ht="18.0" customHeight="1">
      <c r="A232" s="72" t="str">
        <f>IFERROR(IF(ISERROR(FIND("-P",Relaciones!A212)),"",IF(Relaciones!A212="","",Relaciones!A212)),"")</f>
        <v/>
      </c>
      <c r="B232" s="72" t="str">
        <f>IFERROR(IF(A232="","",IF(Relaciones!D212="","",Relaciones!D212)),"")</f>
        <v/>
      </c>
      <c r="C232" s="73" t="str">
        <f>IFERROR(IF(A232="","",IF(Relaciones!G212="","",Relaciones!G212)),"")</f>
        <v/>
      </c>
      <c r="D232" s="74" t="str">
        <f>IFERROR(IF(A232="","",IF(Relaciones!H212="","",Relaciones!H212)),"")</f>
        <v/>
      </c>
      <c r="E232" s="74" t="str">
        <f>IFERROR(IF(A232="","",IF(Relaciones!I212="","",Relaciones!I212)),"")</f>
        <v/>
      </c>
      <c r="F232" s="75"/>
    </row>
    <row r="233" ht="18.0" customHeight="1">
      <c r="A233" s="69" t="str">
        <f>IFERROR(IF(ISERROR(FIND("-P",Relaciones!A213)),"",IF(Relaciones!A213="","",Relaciones!A213)),"")</f>
        <v/>
      </c>
      <c r="B233" s="69" t="str">
        <f>IFERROR(IF(A233="","",IF(Relaciones!D213="","",Relaciones!D213)),"")</f>
        <v/>
      </c>
      <c r="C233" s="70" t="str">
        <f>IFERROR(IF(A233="","",IF(Relaciones!G213="","",Relaciones!G213)),"")</f>
        <v/>
      </c>
      <c r="D233" s="71" t="str">
        <f>IFERROR(IF(A233="","",IF(Relaciones!H213="","",Relaciones!H213)),"")</f>
        <v/>
      </c>
      <c r="E233" s="71" t="str">
        <f>IFERROR(IF(A233="","",IF(Relaciones!I213="","",Relaciones!I213)),"")</f>
        <v/>
      </c>
      <c r="F233" s="75"/>
    </row>
    <row r="234" ht="18.0" customHeight="1">
      <c r="A234" s="72" t="str">
        <f>IFERROR(IF(ISERROR(FIND("-P",Relaciones!A214)),"",IF(Relaciones!A214="","",Relaciones!A214)),"")</f>
        <v/>
      </c>
      <c r="B234" s="72" t="str">
        <f>IFERROR(IF(A234="","",IF(Relaciones!D214="","",Relaciones!D214)),"")</f>
        <v/>
      </c>
      <c r="C234" s="73" t="str">
        <f>IFERROR(IF(A234="","",IF(Relaciones!G214="","",Relaciones!G214)),"")</f>
        <v/>
      </c>
      <c r="D234" s="74" t="str">
        <f>IFERROR(IF(A234="","",IF(Relaciones!H214="","",Relaciones!H214)),"")</f>
        <v/>
      </c>
      <c r="E234" s="74" t="str">
        <f>IFERROR(IF(A234="","",IF(Relaciones!I214="","",Relaciones!I214)),"")</f>
        <v/>
      </c>
      <c r="F234" s="75"/>
    </row>
    <row r="235" ht="18.0" customHeight="1">
      <c r="A235" s="69" t="str">
        <f>IFERROR(IF(ISERROR(FIND("-P",Relaciones!A215)),"",IF(Relaciones!A215="","",Relaciones!A215)),"")</f>
        <v/>
      </c>
      <c r="B235" s="69" t="str">
        <f>IFERROR(IF(A235="","",IF(Relaciones!D215="","",Relaciones!D215)),"")</f>
        <v/>
      </c>
      <c r="C235" s="70" t="str">
        <f>IFERROR(IF(A235="","",IF(Relaciones!G215="","",Relaciones!G215)),"")</f>
        <v/>
      </c>
      <c r="D235" s="71" t="str">
        <f>IFERROR(IF(A235="","",IF(Relaciones!H215="","",Relaciones!H215)),"")</f>
        <v/>
      </c>
      <c r="E235" s="71" t="str">
        <f>IFERROR(IF(A235="","",IF(Relaciones!I215="","",Relaciones!I215)),"")</f>
        <v/>
      </c>
      <c r="F235" s="75"/>
    </row>
    <row r="236" ht="18.0" customHeight="1">
      <c r="A236" s="72" t="str">
        <f>IFERROR(IF(ISERROR(FIND("-P",Relaciones!A216)),"",IF(Relaciones!A216="","",Relaciones!A216)),"")</f>
        <v/>
      </c>
      <c r="B236" s="72" t="str">
        <f>IFERROR(IF(A236="","",IF(Relaciones!D216="","",Relaciones!D216)),"")</f>
        <v/>
      </c>
      <c r="C236" s="73" t="str">
        <f>IFERROR(IF(A236="","",IF(Relaciones!G216="","",Relaciones!G216)),"")</f>
        <v/>
      </c>
      <c r="D236" s="74" t="str">
        <f>IFERROR(IF(A236="","",IF(Relaciones!H216="","",Relaciones!H216)),"")</f>
        <v/>
      </c>
      <c r="E236" s="74" t="str">
        <f>IFERROR(IF(A236="","",IF(Relaciones!I216="","",Relaciones!I216)),"")</f>
        <v/>
      </c>
      <c r="F236" s="75"/>
    </row>
    <row r="237" ht="18.0" customHeight="1">
      <c r="A237" s="69" t="str">
        <f>IFERROR(IF(ISERROR(FIND("-P",Relaciones!A217)),"",IF(Relaciones!A217="","",Relaciones!A217)),"")</f>
        <v/>
      </c>
      <c r="B237" s="69" t="str">
        <f>IFERROR(IF(A237="","",IF(Relaciones!D217="","",Relaciones!D217)),"")</f>
        <v/>
      </c>
      <c r="C237" s="70" t="str">
        <f>IFERROR(IF(A237="","",IF(Relaciones!G217="","",Relaciones!G217)),"")</f>
        <v/>
      </c>
      <c r="D237" s="71" t="str">
        <f>IFERROR(IF(A237="","",IF(Relaciones!H217="","",Relaciones!H217)),"")</f>
        <v/>
      </c>
      <c r="E237" s="71" t="str">
        <f>IFERROR(IF(A237="","",IF(Relaciones!I217="","",Relaciones!I217)),"")</f>
        <v/>
      </c>
      <c r="F237" s="75"/>
    </row>
    <row r="238" ht="18.0" customHeight="1">
      <c r="A238" s="72" t="str">
        <f>IFERROR(IF(ISERROR(FIND("-P",Relaciones!A218)),"",IF(Relaciones!A218="","",Relaciones!A218)),"")</f>
        <v/>
      </c>
      <c r="B238" s="72" t="str">
        <f>IFERROR(IF(A238="","",IF(Relaciones!D218="","",Relaciones!D218)),"")</f>
        <v/>
      </c>
      <c r="C238" s="73" t="str">
        <f>IFERROR(IF(A238="","",IF(Relaciones!G218="","",Relaciones!G218)),"")</f>
        <v/>
      </c>
      <c r="D238" s="74" t="str">
        <f>IFERROR(IF(A238="","",IF(Relaciones!H218="","",Relaciones!H218)),"")</f>
        <v/>
      </c>
      <c r="E238" s="74" t="str">
        <f>IFERROR(IF(A238="","",IF(Relaciones!I218="","",Relaciones!I218)),"")</f>
        <v/>
      </c>
      <c r="F238" s="75"/>
    </row>
    <row r="239" ht="18.0" customHeight="1">
      <c r="A239" s="69" t="str">
        <f>IFERROR(IF(ISERROR(FIND("-P",Relaciones!A219)),"",IF(Relaciones!A219="","",Relaciones!A219)),"")</f>
        <v/>
      </c>
      <c r="B239" s="69" t="str">
        <f>IFERROR(IF(A239="","",IF(Relaciones!D219="","",Relaciones!D219)),"")</f>
        <v/>
      </c>
      <c r="C239" s="70" t="str">
        <f>IFERROR(IF(A239="","",IF(Relaciones!G219="","",Relaciones!G219)),"")</f>
        <v/>
      </c>
      <c r="D239" s="71" t="str">
        <f>IFERROR(IF(A239="","",IF(Relaciones!H219="","",Relaciones!H219)),"")</f>
        <v/>
      </c>
      <c r="E239" s="71" t="str">
        <f>IFERROR(IF(A239="","",IF(Relaciones!I219="","",Relaciones!I219)),"")</f>
        <v/>
      </c>
      <c r="F239" s="75"/>
    </row>
    <row r="240" ht="18.0" customHeight="1">
      <c r="A240" s="72" t="str">
        <f>IFERROR(IF(ISERROR(FIND("-P",Relaciones!A220)),"",IF(Relaciones!A220="","",Relaciones!A220)),"")</f>
        <v/>
      </c>
      <c r="B240" s="72" t="str">
        <f>IFERROR(IF(A240="","",IF(Relaciones!D220="","",Relaciones!D220)),"")</f>
        <v/>
      </c>
      <c r="C240" s="73" t="str">
        <f>IFERROR(IF(A240="","",IF(Relaciones!G220="","",Relaciones!G220)),"")</f>
        <v/>
      </c>
      <c r="D240" s="74" t="str">
        <f>IFERROR(IF(A240="","",IF(Relaciones!H220="","",Relaciones!H220)),"")</f>
        <v/>
      </c>
      <c r="E240" s="74" t="str">
        <f>IFERROR(IF(A240="","",IF(Relaciones!I220="","",Relaciones!I220)),"")</f>
        <v/>
      </c>
      <c r="F240" s="75"/>
    </row>
    <row r="241" ht="18.0" customHeight="1">
      <c r="A241" s="69" t="str">
        <f>IFERROR(IF(ISERROR(FIND("-P",Relaciones!A221)),"",IF(Relaciones!A221="","",Relaciones!A221)),"")</f>
        <v/>
      </c>
      <c r="B241" s="69" t="str">
        <f>IFERROR(IF(A241="","",IF(Relaciones!D221="","",Relaciones!D221)),"")</f>
        <v/>
      </c>
      <c r="C241" s="70" t="str">
        <f>IFERROR(IF(A241="","",IF(Relaciones!G221="","",Relaciones!G221)),"")</f>
        <v/>
      </c>
      <c r="D241" s="71" t="str">
        <f>IFERROR(IF(A241="","",IF(Relaciones!H221="","",Relaciones!H221)),"")</f>
        <v/>
      </c>
      <c r="E241" s="71" t="str">
        <f>IFERROR(IF(A241="","",IF(Relaciones!I221="","",Relaciones!I221)),"")</f>
        <v/>
      </c>
      <c r="F241" s="75"/>
    </row>
    <row r="242" ht="18.0" customHeight="1">
      <c r="A242" s="72" t="str">
        <f>IFERROR(IF(ISERROR(FIND("-P",Relaciones!A222)),"",IF(Relaciones!A222="","",Relaciones!A222)),"")</f>
        <v/>
      </c>
      <c r="B242" s="72" t="str">
        <f>IFERROR(IF(A242="","",IF(Relaciones!D222="","",Relaciones!D222)),"")</f>
        <v/>
      </c>
      <c r="C242" s="73" t="str">
        <f>IFERROR(IF(A242="","",IF(Relaciones!G222="","",Relaciones!G222)),"")</f>
        <v/>
      </c>
      <c r="D242" s="74" t="str">
        <f>IFERROR(IF(A242="","",IF(Relaciones!H222="","",Relaciones!H222)),"")</f>
        <v/>
      </c>
      <c r="E242" s="74" t="str">
        <f>IFERROR(IF(A242="","",IF(Relaciones!I222="","",Relaciones!I222)),"")</f>
        <v/>
      </c>
      <c r="F242" s="75"/>
    </row>
    <row r="243" ht="18.0" customHeight="1">
      <c r="A243" s="69" t="str">
        <f>IFERROR(IF(ISERROR(FIND("-P",Relaciones!A223)),"",IF(Relaciones!A223="","",Relaciones!A223)),"")</f>
        <v/>
      </c>
      <c r="B243" s="69" t="str">
        <f>IFERROR(IF(A243="","",IF(Relaciones!D223="","",Relaciones!D223)),"")</f>
        <v/>
      </c>
      <c r="C243" s="70" t="str">
        <f>IFERROR(IF(A243="","",IF(Relaciones!G223="","",Relaciones!G223)),"")</f>
        <v/>
      </c>
      <c r="D243" s="71" t="str">
        <f>IFERROR(IF(A243="","",IF(Relaciones!H223="","",Relaciones!H223)),"")</f>
        <v/>
      </c>
      <c r="E243" s="71" t="str">
        <f>IFERROR(IF(A243="","",IF(Relaciones!I223="","",Relaciones!I223)),"")</f>
        <v/>
      </c>
      <c r="F243" s="75"/>
    </row>
    <row r="244" ht="18.0" customHeight="1">
      <c r="A244" s="72" t="str">
        <f>IFERROR(IF(ISERROR(FIND("-P",Relaciones!A224)),"",IF(Relaciones!A224="","",Relaciones!A224)),"")</f>
        <v/>
      </c>
      <c r="B244" s="72" t="str">
        <f>IFERROR(IF(A244="","",IF(Relaciones!D224="","",Relaciones!D224)),"")</f>
        <v/>
      </c>
      <c r="C244" s="73" t="str">
        <f>IFERROR(IF(A244="","",IF(Relaciones!G224="","",Relaciones!G224)),"")</f>
        <v/>
      </c>
      <c r="D244" s="74" t="str">
        <f>IFERROR(IF(A244="","",IF(Relaciones!H224="","",Relaciones!H224)),"")</f>
        <v/>
      </c>
      <c r="E244" s="74" t="str">
        <f>IFERROR(IF(A244="","",IF(Relaciones!I224="","",Relaciones!I224)),"")</f>
        <v/>
      </c>
      <c r="F244" s="75"/>
    </row>
    <row r="245" ht="18.0" customHeight="1">
      <c r="A245" s="69" t="str">
        <f>IFERROR(IF(ISERROR(FIND("-P",Relaciones!A225)),"",IF(Relaciones!A225="","",Relaciones!A225)),"")</f>
        <v/>
      </c>
      <c r="B245" s="69" t="str">
        <f>IFERROR(IF(A245="","",IF(Relaciones!D225="","",Relaciones!D225)),"")</f>
        <v/>
      </c>
      <c r="C245" s="70" t="str">
        <f>IFERROR(IF(A245="","",IF(Relaciones!G225="","",Relaciones!G225)),"")</f>
        <v/>
      </c>
      <c r="D245" s="71" t="str">
        <f>IFERROR(IF(A245="","",IF(Relaciones!H225="","",Relaciones!H225)),"")</f>
        <v/>
      </c>
      <c r="E245" s="71" t="str">
        <f>IFERROR(IF(A245="","",IF(Relaciones!I225="","",Relaciones!I225)),"")</f>
        <v/>
      </c>
      <c r="F245" s="75"/>
    </row>
    <row r="246" ht="18.0" customHeight="1">
      <c r="A246" s="72" t="str">
        <f>IFERROR(IF(ISERROR(FIND("-P",Relaciones!A226)),"",IF(Relaciones!A226="","",Relaciones!A226)),"")</f>
        <v/>
      </c>
      <c r="B246" s="72" t="str">
        <f>IFERROR(IF(A246="","",IF(Relaciones!D226="","",Relaciones!D226)),"")</f>
        <v/>
      </c>
      <c r="C246" s="73" t="str">
        <f>IFERROR(IF(A246="","",IF(Relaciones!G226="","",Relaciones!G226)),"")</f>
        <v/>
      </c>
      <c r="D246" s="74" t="str">
        <f>IFERROR(IF(A246="","",IF(Relaciones!H226="","",Relaciones!H226)),"")</f>
        <v/>
      </c>
      <c r="E246" s="74" t="str">
        <f>IFERROR(IF(A246="","",IF(Relaciones!I226="","",Relaciones!I226)),"")</f>
        <v/>
      </c>
      <c r="F246" s="75"/>
    </row>
    <row r="247" ht="18.0" customHeight="1">
      <c r="A247" s="69" t="str">
        <f>IFERROR(IF(ISERROR(FIND("-P",Relaciones!A227)),"",IF(Relaciones!A227="","",Relaciones!A227)),"")</f>
        <v/>
      </c>
      <c r="B247" s="69" t="str">
        <f>IFERROR(IF(A247="","",IF(Relaciones!D227="","",Relaciones!D227)),"")</f>
        <v/>
      </c>
      <c r="C247" s="70" t="str">
        <f>IFERROR(IF(A247="","",IF(Relaciones!G227="","",Relaciones!G227)),"")</f>
        <v/>
      </c>
      <c r="D247" s="71" t="str">
        <f>IFERROR(IF(A247="","",IF(Relaciones!H227="","",Relaciones!H227)),"")</f>
        <v/>
      </c>
      <c r="E247" s="71" t="str">
        <f>IFERROR(IF(A247="","",IF(Relaciones!I227="","",Relaciones!I227)),"")</f>
        <v/>
      </c>
      <c r="F247" s="75"/>
    </row>
    <row r="248" ht="18.0" customHeight="1">
      <c r="A248" s="72" t="str">
        <f>IFERROR(IF(ISERROR(FIND("-P",Relaciones!A228)),"",IF(Relaciones!A228="","",Relaciones!A228)),"")</f>
        <v/>
      </c>
      <c r="B248" s="72" t="str">
        <f>IFERROR(IF(A248="","",IF(Relaciones!D228="","",Relaciones!D228)),"")</f>
        <v/>
      </c>
      <c r="C248" s="73" t="str">
        <f>IFERROR(IF(A248="","",IF(Relaciones!G228="","",Relaciones!G228)),"")</f>
        <v/>
      </c>
      <c r="D248" s="74" t="str">
        <f>IFERROR(IF(A248="","",IF(Relaciones!H228="","",Relaciones!H228)),"")</f>
        <v/>
      </c>
      <c r="E248" s="74" t="str">
        <f>IFERROR(IF(A248="","",IF(Relaciones!I228="","",Relaciones!I228)),"")</f>
        <v/>
      </c>
      <c r="F248" s="75"/>
    </row>
    <row r="249" ht="18.0" customHeight="1">
      <c r="A249" s="69" t="str">
        <f>IFERROR(IF(ISERROR(FIND("-P",Relaciones!A229)),"",IF(Relaciones!A229="","",Relaciones!A229)),"")</f>
        <v/>
      </c>
      <c r="B249" s="69" t="str">
        <f>IFERROR(IF(A249="","",IF(Relaciones!D229="","",Relaciones!D229)),"")</f>
        <v/>
      </c>
      <c r="C249" s="70" t="str">
        <f>IFERROR(IF(A249="","",IF(Relaciones!G229="","",Relaciones!G229)),"")</f>
        <v/>
      </c>
      <c r="D249" s="71" t="str">
        <f>IFERROR(IF(A249="","",IF(Relaciones!H229="","",Relaciones!H229)),"")</f>
        <v/>
      </c>
      <c r="E249" s="71" t="str">
        <f>IFERROR(IF(A249="","",IF(Relaciones!I229="","",Relaciones!I229)),"")</f>
        <v/>
      </c>
      <c r="F249" s="75"/>
    </row>
    <row r="250" ht="18.0" customHeight="1">
      <c r="A250" s="72" t="str">
        <f>IFERROR(IF(ISERROR(FIND("-P",Relaciones!A230)),"",IF(Relaciones!A230="","",Relaciones!A230)),"")</f>
        <v/>
      </c>
      <c r="B250" s="72" t="str">
        <f>IFERROR(IF(A250="","",IF(Relaciones!D230="","",Relaciones!D230)),"")</f>
        <v/>
      </c>
      <c r="C250" s="73" t="str">
        <f>IFERROR(IF(A250="","",IF(Relaciones!G230="","",Relaciones!G230)),"")</f>
        <v/>
      </c>
      <c r="D250" s="74" t="str">
        <f>IFERROR(IF(A250="","",IF(Relaciones!H230="","",Relaciones!H230)),"")</f>
        <v/>
      </c>
      <c r="E250" s="74" t="str">
        <f>IFERROR(IF(A250="","",IF(Relaciones!I230="","",Relaciones!I230)),"")</f>
        <v/>
      </c>
      <c r="F250" s="75"/>
    </row>
    <row r="251" ht="18.0" customHeight="1">
      <c r="A251" s="69" t="str">
        <f>IFERROR(IF(ISERROR(FIND("-P",Relaciones!A231)),"",IF(Relaciones!A231="","",Relaciones!A231)),"")</f>
        <v/>
      </c>
      <c r="B251" s="69" t="str">
        <f>IFERROR(IF(A251="","",IF(Relaciones!D231="","",Relaciones!D231)),"")</f>
        <v/>
      </c>
      <c r="C251" s="70" t="str">
        <f>IFERROR(IF(A251="","",IF(Relaciones!G231="","",Relaciones!G231)),"")</f>
        <v/>
      </c>
      <c r="D251" s="71" t="str">
        <f>IFERROR(IF(A251="","",IF(Relaciones!H231="","",Relaciones!H231)),"")</f>
        <v/>
      </c>
      <c r="E251" s="71" t="str">
        <f>IFERROR(IF(A251="","",IF(Relaciones!I231="","",Relaciones!I231)),"")</f>
        <v/>
      </c>
      <c r="F251" s="75"/>
    </row>
    <row r="252" ht="18.0" customHeight="1">
      <c r="A252" s="72" t="str">
        <f>IFERROR(IF(ISERROR(FIND("-P",Relaciones!A232)),"",IF(Relaciones!A232="","",Relaciones!A232)),"")</f>
        <v/>
      </c>
      <c r="B252" s="72" t="str">
        <f>IFERROR(IF(A252="","",IF(Relaciones!D232="","",Relaciones!D232)),"")</f>
        <v/>
      </c>
      <c r="C252" s="73" t="str">
        <f>IFERROR(IF(A252="","",IF(Relaciones!G232="","",Relaciones!G232)),"")</f>
        <v/>
      </c>
      <c r="D252" s="74" t="str">
        <f>IFERROR(IF(A252="","",IF(Relaciones!H232="","",Relaciones!H232)),"")</f>
        <v/>
      </c>
      <c r="E252" s="74" t="str">
        <f>IFERROR(IF(A252="","",IF(Relaciones!I232="","",Relaciones!I232)),"")</f>
        <v/>
      </c>
      <c r="F252" s="75"/>
    </row>
    <row r="253" ht="18.0" customHeight="1">
      <c r="A253" s="69" t="str">
        <f>IFERROR(IF(ISERROR(FIND("-P",Relaciones!A233)),"",IF(Relaciones!A233="","",Relaciones!A233)),"")</f>
        <v/>
      </c>
      <c r="B253" s="69" t="str">
        <f>IFERROR(IF(A253="","",IF(Relaciones!D233="","",Relaciones!D233)),"")</f>
        <v/>
      </c>
      <c r="C253" s="70" t="str">
        <f>IFERROR(IF(A253="","",IF(Relaciones!G233="","",Relaciones!G233)),"")</f>
        <v/>
      </c>
      <c r="D253" s="71" t="str">
        <f>IFERROR(IF(A253="","",IF(Relaciones!H233="","",Relaciones!H233)),"")</f>
        <v/>
      </c>
      <c r="E253" s="71" t="str">
        <f>IFERROR(IF(A253="","",IF(Relaciones!I233="","",Relaciones!I233)),"")</f>
        <v/>
      </c>
      <c r="F253" s="75"/>
    </row>
    <row r="254" ht="18.0" customHeight="1">
      <c r="A254" s="72" t="str">
        <f>IFERROR(IF(ISERROR(FIND("-P",Relaciones!A234)),"",IF(Relaciones!A234="","",Relaciones!A234)),"")</f>
        <v/>
      </c>
      <c r="B254" s="72" t="str">
        <f>IFERROR(IF(A254="","",IF(Relaciones!D234="","",Relaciones!D234)),"")</f>
        <v/>
      </c>
      <c r="C254" s="73" t="str">
        <f>IFERROR(IF(A254="","",IF(Relaciones!G234="","",Relaciones!G234)),"")</f>
        <v/>
      </c>
      <c r="D254" s="74" t="str">
        <f>IFERROR(IF(A254="","",IF(Relaciones!H234="","",Relaciones!H234)),"")</f>
        <v/>
      </c>
      <c r="E254" s="74" t="str">
        <f>IFERROR(IF(A254="","",IF(Relaciones!I234="","",Relaciones!I234)),"")</f>
        <v/>
      </c>
      <c r="F254" s="75"/>
    </row>
    <row r="255" ht="18.0" customHeight="1">
      <c r="A255" s="69" t="str">
        <f>IFERROR(IF(ISERROR(FIND("-P",Relaciones!A235)),"",IF(Relaciones!A235="","",Relaciones!A235)),"")</f>
        <v/>
      </c>
      <c r="B255" s="69" t="str">
        <f>IFERROR(IF(A255="","",IF(Relaciones!D235="","",Relaciones!D235)),"")</f>
        <v/>
      </c>
      <c r="C255" s="70" t="str">
        <f>IFERROR(IF(A255="","",IF(Relaciones!G235="","",Relaciones!G235)),"")</f>
        <v/>
      </c>
      <c r="D255" s="71" t="str">
        <f>IFERROR(IF(A255="","",IF(Relaciones!H235="","",Relaciones!H235)),"")</f>
        <v/>
      </c>
      <c r="E255" s="71" t="str">
        <f>IFERROR(IF(A255="","",IF(Relaciones!I235="","",Relaciones!I235)),"")</f>
        <v/>
      </c>
      <c r="F255" s="75"/>
    </row>
    <row r="256" ht="18.0" customHeight="1">
      <c r="A256" s="72" t="str">
        <f>IFERROR(IF(ISERROR(FIND("-P",Relaciones!A236)),"",IF(Relaciones!A236="","",Relaciones!A236)),"")</f>
        <v/>
      </c>
      <c r="B256" s="72" t="str">
        <f>IFERROR(IF(A256="","",IF(Relaciones!D236="","",Relaciones!D236)),"")</f>
        <v/>
      </c>
      <c r="C256" s="73" t="str">
        <f>IFERROR(IF(A256="","",IF(Relaciones!G236="","",Relaciones!G236)),"")</f>
        <v/>
      </c>
      <c r="D256" s="74" t="str">
        <f>IFERROR(IF(A256="","",IF(Relaciones!H236="","",Relaciones!H236)),"")</f>
        <v/>
      </c>
      <c r="E256" s="74" t="str">
        <f>IFERROR(IF(A256="","",IF(Relaciones!I236="","",Relaciones!I236)),"")</f>
        <v/>
      </c>
      <c r="F256" s="75"/>
    </row>
    <row r="257" ht="18.0" customHeight="1">
      <c r="A257" s="69" t="str">
        <f>IFERROR(IF(ISERROR(FIND("-P",Relaciones!A237)),"",IF(Relaciones!A237="","",Relaciones!A237)),"")</f>
        <v/>
      </c>
      <c r="B257" s="69" t="str">
        <f>IFERROR(IF(A257="","",IF(Relaciones!D237="","",Relaciones!D237)),"")</f>
        <v/>
      </c>
      <c r="C257" s="70" t="str">
        <f>IFERROR(IF(A257="","",IF(Relaciones!G237="","",Relaciones!G237)),"")</f>
        <v/>
      </c>
      <c r="D257" s="71" t="str">
        <f>IFERROR(IF(A257="","",IF(Relaciones!H237="","",Relaciones!H237)),"")</f>
        <v/>
      </c>
      <c r="E257" s="71" t="str">
        <f>IFERROR(IF(A257="","",IF(Relaciones!I237="","",Relaciones!I237)),"")</f>
        <v/>
      </c>
      <c r="F257" s="75"/>
    </row>
    <row r="258" ht="18.0" customHeight="1">
      <c r="A258" s="72" t="str">
        <f>IFERROR(IF(ISERROR(FIND("-P",Relaciones!A238)),"",IF(Relaciones!A238="","",Relaciones!A238)),"")</f>
        <v/>
      </c>
      <c r="B258" s="72" t="str">
        <f>IFERROR(IF(A258="","",IF(Relaciones!D238="","",Relaciones!D238)),"")</f>
        <v/>
      </c>
      <c r="C258" s="73" t="str">
        <f>IFERROR(IF(A258="","",IF(Relaciones!G238="","",Relaciones!G238)),"")</f>
        <v/>
      </c>
      <c r="D258" s="74" t="str">
        <f>IFERROR(IF(A258="","",IF(Relaciones!H238="","",Relaciones!H238)),"")</f>
        <v/>
      </c>
      <c r="E258" s="74" t="str">
        <f>IFERROR(IF(A258="","",IF(Relaciones!I238="","",Relaciones!I238)),"")</f>
        <v/>
      </c>
      <c r="F258" s="75"/>
    </row>
    <row r="259" ht="18.0" customHeight="1">
      <c r="A259" s="69" t="str">
        <f>IFERROR(IF(ISERROR(FIND("-P",Relaciones!A239)),"",IF(Relaciones!A239="","",Relaciones!A239)),"")</f>
        <v/>
      </c>
      <c r="B259" s="69" t="str">
        <f>IFERROR(IF(A259="","",IF(Relaciones!D239="","",Relaciones!D239)),"")</f>
        <v/>
      </c>
      <c r="C259" s="70" t="str">
        <f>IFERROR(IF(A259="","",IF(Relaciones!G239="","",Relaciones!G239)),"")</f>
        <v/>
      </c>
      <c r="D259" s="71" t="str">
        <f>IFERROR(IF(A259="","",IF(Relaciones!H239="","",Relaciones!H239)),"")</f>
        <v/>
      </c>
      <c r="E259" s="71" t="str">
        <f>IFERROR(IF(A259="","",IF(Relaciones!I239="","",Relaciones!I239)),"")</f>
        <v/>
      </c>
      <c r="F259" s="75"/>
    </row>
    <row r="260" ht="18.0" customHeight="1">
      <c r="A260" s="72" t="str">
        <f>IFERROR(IF(ISERROR(FIND("-P",Relaciones!A240)),"",IF(Relaciones!A240="","",Relaciones!A240)),"")</f>
        <v/>
      </c>
      <c r="B260" s="72" t="str">
        <f>IFERROR(IF(A260="","",IF(Relaciones!D240="","",Relaciones!D240)),"")</f>
        <v/>
      </c>
      <c r="C260" s="73" t="str">
        <f>IFERROR(IF(A260="","",IF(Relaciones!G240="","",Relaciones!G240)),"")</f>
        <v/>
      </c>
      <c r="D260" s="74" t="str">
        <f>IFERROR(IF(A260="","",IF(Relaciones!H240="","",Relaciones!H240)),"")</f>
        <v/>
      </c>
      <c r="E260" s="74" t="str">
        <f>IFERROR(IF(A260="","",IF(Relaciones!I240="","",Relaciones!I240)),"")</f>
        <v/>
      </c>
      <c r="F260" s="75"/>
    </row>
    <row r="261" ht="18.0" customHeight="1">
      <c r="A261" s="69" t="str">
        <f>IFERROR(IF(ISERROR(FIND("-P",Relaciones!A241)),"",IF(Relaciones!A241="","",Relaciones!A241)),"")</f>
        <v/>
      </c>
      <c r="B261" s="69" t="str">
        <f>IFERROR(IF(A261="","",IF(Relaciones!D241="","",Relaciones!D241)),"")</f>
        <v/>
      </c>
      <c r="C261" s="70" t="str">
        <f>IFERROR(IF(A261="","",IF(Relaciones!G241="","",Relaciones!G241)),"")</f>
        <v/>
      </c>
      <c r="D261" s="71" t="str">
        <f>IFERROR(IF(A261="","",IF(Relaciones!H241="","",Relaciones!H241)),"")</f>
        <v/>
      </c>
      <c r="E261" s="71" t="str">
        <f>IFERROR(IF(A261="","",IF(Relaciones!I241="","",Relaciones!I241)),"")</f>
        <v/>
      </c>
      <c r="F261" s="75"/>
    </row>
    <row r="262" ht="18.0" customHeight="1">
      <c r="A262" s="72" t="str">
        <f>IFERROR(IF(ISERROR(FIND("-P",Relaciones!A242)),"",IF(Relaciones!A242="","",Relaciones!A242)),"")</f>
        <v/>
      </c>
      <c r="B262" s="72" t="str">
        <f>IFERROR(IF(A262="","",IF(Relaciones!D242="","",Relaciones!D242)),"")</f>
        <v/>
      </c>
      <c r="C262" s="73" t="str">
        <f>IFERROR(IF(A262="","",IF(Relaciones!G242="","",Relaciones!G242)),"")</f>
        <v/>
      </c>
      <c r="D262" s="74" t="str">
        <f>IFERROR(IF(A262="","",IF(Relaciones!H242="","",Relaciones!H242)),"")</f>
        <v/>
      </c>
      <c r="E262" s="74" t="str">
        <f>IFERROR(IF(A262="","",IF(Relaciones!I242="","",Relaciones!I242)),"")</f>
        <v/>
      </c>
      <c r="F262" s="75"/>
    </row>
    <row r="263" ht="18.0" customHeight="1">
      <c r="A263" s="69" t="str">
        <f>IFERROR(IF(ISERROR(FIND("-P",Relaciones!A243)),"",IF(Relaciones!A243="","",Relaciones!A243)),"")</f>
        <v/>
      </c>
      <c r="B263" s="69" t="str">
        <f>IFERROR(IF(A263="","",IF(Relaciones!D243="","",Relaciones!D243)),"")</f>
        <v/>
      </c>
      <c r="C263" s="70" t="str">
        <f>IFERROR(IF(A263="","",IF(Relaciones!G243="","",Relaciones!G243)),"")</f>
        <v/>
      </c>
      <c r="D263" s="71" t="str">
        <f>IFERROR(IF(A263="","",IF(Relaciones!H243="","",Relaciones!H243)),"")</f>
        <v/>
      </c>
      <c r="E263" s="71" t="str">
        <f>IFERROR(IF(A263="","",IF(Relaciones!I243="","",Relaciones!I243)),"")</f>
        <v/>
      </c>
      <c r="F263" s="75"/>
    </row>
    <row r="264" ht="18.0" customHeight="1">
      <c r="A264" s="72" t="str">
        <f>IFERROR(IF(ISERROR(FIND("-P",Relaciones!A244)),"",IF(Relaciones!A244="","",Relaciones!A244)),"")</f>
        <v/>
      </c>
      <c r="B264" s="72" t="str">
        <f>IFERROR(IF(A264="","",IF(Relaciones!D244="","",Relaciones!D244)),"")</f>
        <v/>
      </c>
      <c r="C264" s="73" t="str">
        <f>IFERROR(IF(A264="","",IF(Relaciones!G244="","",Relaciones!G244)),"")</f>
        <v/>
      </c>
      <c r="D264" s="74" t="str">
        <f>IFERROR(IF(A264="","",IF(Relaciones!H244="","",Relaciones!H244)),"")</f>
        <v/>
      </c>
      <c r="E264" s="74" t="str">
        <f>IFERROR(IF(A264="","",IF(Relaciones!I244="","",Relaciones!I244)),"")</f>
        <v/>
      </c>
      <c r="F264" s="75"/>
    </row>
    <row r="265" ht="18.0" customHeight="1">
      <c r="A265" s="69" t="str">
        <f>IFERROR(IF(ISERROR(FIND("-P",Relaciones!A245)),"",IF(Relaciones!A245="","",Relaciones!A245)),"")</f>
        <v/>
      </c>
      <c r="B265" s="69" t="str">
        <f>IFERROR(IF(A265="","",IF(Relaciones!D245="","",Relaciones!D245)),"")</f>
        <v/>
      </c>
      <c r="C265" s="70" t="str">
        <f>IFERROR(IF(A265="","",IF(Relaciones!G245="","",Relaciones!G245)),"")</f>
        <v/>
      </c>
      <c r="D265" s="71" t="str">
        <f>IFERROR(IF(A265="","",IF(Relaciones!H245="","",Relaciones!H245)),"")</f>
        <v/>
      </c>
      <c r="E265" s="71" t="str">
        <f>IFERROR(IF(A265="","",IF(Relaciones!I245="","",Relaciones!I245)),"")</f>
        <v/>
      </c>
      <c r="F265" s="75"/>
    </row>
    <row r="266" ht="18.0" customHeight="1">
      <c r="A266" s="72" t="str">
        <f>IFERROR(IF(ISERROR(FIND("-P",Relaciones!A246)),"",IF(Relaciones!A246="","",Relaciones!A246)),"")</f>
        <v/>
      </c>
      <c r="B266" s="72" t="str">
        <f>IFERROR(IF(A266="","",IF(Relaciones!D246="","",Relaciones!D246)),"")</f>
        <v/>
      </c>
      <c r="C266" s="73" t="str">
        <f>IFERROR(IF(A266="","",IF(Relaciones!G246="","",Relaciones!G246)),"")</f>
        <v/>
      </c>
      <c r="D266" s="74" t="str">
        <f>IFERROR(IF(A266="","",IF(Relaciones!H246="","",Relaciones!H246)),"")</f>
        <v/>
      </c>
      <c r="E266" s="74" t="str">
        <f>IFERROR(IF(A266="","",IF(Relaciones!I246="","",Relaciones!I246)),"")</f>
        <v/>
      </c>
      <c r="F266" s="75"/>
    </row>
    <row r="267" ht="18.0" customHeight="1">
      <c r="A267" s="69" t="str">
        <f>IFERROR(IF(ISERROR(FIND("-P",Relaciones!A247)),"",IF(Relaciones!A247="","",Relaciones!A247)),"")</f>
        <v/>
      </c>
      <c r="B267" s="69" t="str">
        <f>IFERROR(IF(A267="","",IF(Relaciones!D247="","",Relaciones!D247)),"")</f>
        <v/>
      </c>
      <c r="C267" s="70" t="str">
        <f>IFERROR(IF(A267="","",IF(Relaciones!G247="","",Relaciones!G247)),"")</f>
        <v/>
      </c>
      <c r="D267" s="71" t="str">
        <f>IFERROR(IF(A267="","",IF(Relaciones!H247="","",Relaciones!H247)),"")</f>
        <v/>
      </c>
      <c r="E267" s="71" t="str">
        <f>IFERROR(IF(A267="","",IF(Relaciones!I247="","",Relaciones!I247)),"")</f>
        <v/>
      </c>
      <c r="F267" s="75"/>
    </row>
    <row r="268" ht="18.0" customHeight="1">
      <c r="A268" s="72" t="str">
        <f>IFERROR(IF(ISERROR(FIND("-P",Relaciones!A248)),"",IF(Relaciones!A248="","",Relaciones!A248)),"")</f>
        <v/>
      </c>
      <c r="B268" s="72" t="str">
        <f>IFERROR(IF(A268="","",IF(Relaciones!D248="","",Relaciones!D248)),"")</f>
        <v/>
      </c>
      <c r="C268" s="73" t="str">
        <f>IFERROR(IF(A268="","",IF(Relaciones!G248="","",Relaciones!G248)),"")</f>
        <v/>
      </c>
      <c r="D268" s="74" t="str">
        <f>IFERROR(IF(A268="","",IF(Relaciones!H248="","",Relaciones!H248)),"")</f>
        <v/>
      </c>
      <c r="E268" s="74" t="str">
        <f>IFERROR(IF(A268="","",IF(Relaciones!I248="","",Relaciones!I248)),"")</f>
        <v/>
      </c>
      <c r="F268" s="75"/>
    </row>
    <row r="269" ht="18.0" customHeight="1">
      <c r="A269" s="69" t="str">
        <f>IFERROR(IF(ISERROR(FIND("-P",Relaciones!A249)),"",IF(Relaciones!A249="","",Relaciones!A249)),"")</f>
        <v/>
      </c>
      <c r="B269" s="69" t="str">
        <f>IFERROR(IF(A269="","",IF(Relaciones!D249="","",Relaciones!D249)),"")</f>
        <v/>
      </c>
      <c r="C269" s="70" t="str">
        <f>IFERROR(IF(A269="","",IF(Relaciones!G249="","",Relaciones!G249)),"")</f>
        <v/>
      </c>
      <c r="D269" s="71" t="str">
        <f>IFERROR(IF(A269="","",IF(Relaciones!H249="","",Relaciones!H249)),"")</f>
        <v/>
      </c>
      <c r="E269" s="71" t="str">
        <f>IFERROR(IF(A269="","",IF(Relaciones!I249="","",Relaciones!I249)),"")</f>
        <v/>
      </c>
      <c r="F269" s="75"/>
    </row>
    <row r="270" ht="18.0" customHeight="1">
      <c r="A270" s="72" t="str">
        <f>IFERROR(IF(ISERROR(FIND("-P",Relaciones!A250)),"",IF(Relaciones!A250="","",Relaciones!A250)),"")</f>
        <v/>
      </c>
      <c r="B270" s="72" t="str">
        <f>IFERROR(IF(A270="","",IF(Relaciones!D250="","",Relaciones!D250)),"")</f>
        <v/>
      </c>
      <c r="C270" s="73" t="str">
        <f>IFERROR(IF(A270="","",IF(Relaciones!G250="","",Relaciones!G250)),"")</f>
        <v/>
      </c>
      <c r="D270" s="74" t="str">
        <f>IFERROR(IF(A270="","",IF(Relaciones!H250="","",Relaciones!H250)),"")</f>
        <v/>
      </c>
      <c r="E270" s="74" t="str">
        <f>IFERROR(IF(A270="","",IF(Relaciones!I250="","",Relaciones!I250)),"")</f>
        <v/>
      </c>
      <c r="F270" s="75"/>
    </row>
    <row r="271" ht="18.0" customHeight="1">
      <c r="A271" s="69" t="str">
        <f>IFERROR(IF(ISERROR(FIND("-P",Relaciones!A251)),"",IF(Relaciones!A251="","",Relaciones!A251)),"")</f>
        <v/>
      </c>
      <c r="B271" s="69" t="str">
        <f>IFERROR(IF(A271="","",IF(Relaciones!D251="","",Relaciones!D251)),"")</f>
        <v/>
      </c>
      <c r="C271" s="70" t="str">
        <f>IFERROR(IF(A271="","",IF(Relaciones!G251="","",Relaciones!G251)),"")</f>
        <v/>
      </c>
      <c r="D271" s="71" t="str">
        <f>IFERROR(IF(A271="","",IF(Relaciones!H251="","",Relaciones!H251)),"")</f>
        <v/>
      </c>
      <c r="E271" s="71" t="str">
        <f>IFERROR(IF(A271="","",IF(Relaciones!I251="","",Relaciones!I251)),"")</f>
        <v/>
      </c>
      <c r="F271" s="75"/>
    </row>
    <row r="272" ht="18.0" customHeight="1">
      <c r="A272" s="72" t="str">
        <f>IFERROR(IF(ISERROR(FIND("-P",Relaciones!A252)),"",IF(Relaciones!A252="","",Relaciones!A252)),"")</f>
        <v/>
      </c>
      <c r="B272" s="72" t="str">
        <f>IFERROR(IF(A272="","",IF(Relaciones!D252="","",Relaciones!D252)),"")</f>
        <v/>
      </c>
      <c r="C272" s="73" t="str">
        <f>IFERROR(IF(A272="","",IF(Relaciones!G252="","",Relaciones!G252)),"")</f>
        <v/>
      </c>
      <c r="D272" s="74" t="str">
        <f>IFERROR(IF(A272="","",IF(Relaciones!H252="","",Relaciones!H252)),"")</f>
        <v/>
      </c>
      <c r="E272" s="74" t="str">
        <f>IFERROR(IF(A272="","",IF(Relaciones!I252="","",Relaciones!I252)),"")</f>
        <v/>
      </c>
      <c r="F272" s="75"/>
    </row>
    <row r="273" ht="18.0" customHeight="1">
      <c r="A273" s="69" t="str">
        <f>IFERROR(IF(ISERROR(FIND("-P",Relaciones!A253)),"",IF(Relaciones!A253="","",Relaciones!A253)),"")</f>
        <v/>
      </c>
      <c r="B273" s="69" t="str">
        <f>IFERROR(IF(A273="","",IF(Relaciones!D253="","",Relaciones!D253)),"")</f>
        <v/>
      </c>
      <c r="C273" s="70" t="str">
        <f>IFERROR(IF(A273="","",IF(Relaciones!G253="","",Relaciones!G253)),"")</f>
        <v/>
      </c>
      <c r="D273" s="71" t="str">
        <f>IFERROR(IF(A273="","",IF(Relaciones!H253="","",Relaciones!H253)),"")</f>
        <v/>
      </c>
      <c r="E273" s="71" t="str">
        <f>IFERROR(IF(A273="","",IF(Relaciones!I253="","",Relaciones!I253)),"")</f>
        <v/>
      </c>
      <c r="F273" s="75"/>
    </row>
    <row r="274" ht="18.0" customHeight="1">
      <c r="A274" s="72" t="str">
        <f>IFERROR(IF(ISERROR(FIND("-P",Relaciones!A254)),"",IF(Relaciones!A254="","",Relaciones!A254)),"")</f>
        <v/>
      </c>
      <c r="B274" s="72" t="str">
        <f>IFERROR(IF(A274="","",IF(Relaciones!D254="","",Relaciones!D254)),"")</f>
        <v/>
      </c>
      <c r="C274" s="73" t="str">
        <f>IFERROR(IF(A274="","",IF(Relaciones!G254="","",Relaciones!G254)),"")</f>
        <v/>
      </c>
      <c r="D274" s="74" t="str">
        <f>IFERROR(IF(A274="","",IF(Relaciones!H254="","",Relaciones!H254)),"")</f>
        <v/>
      </c>
      <c r="E274" s="74" t="str">
        <f>IFERROR(IF(A274="","",IF(Relaciones!I254="","",Relaciones!I254)),"")</f>
        <v/>
      </c>
      <c r="F274" s="75"/>
    </row>
    <row r="275" ht="18.0" customHeight="1">
      <c r="A275" s="69" t="str">
        <f>IFERROR(IF(ISERROR(FIND("-P",Relaciones!A255)),"",IF(Relaciones!A255="","",Relaciones!A255)),"")</f>
        <v/>
      </c>
      <c r="B275" s="69" t="str">
        <f>IFERROR(IF(A275="","",IF(Relaciones!D255="","",Relaciones!D255)),"")</f>
        <v/>
      </c>
      <c r="C275" s="70" t="str">
        <f>IFERROR(IF(A275="","",IF(Relaciones!G255="","",Relaciones!G255)),"")</f>
        <v/>
      </c>
      <c r="D275" s="71" t="str">
        <f>IFERROR(IF(A275="","",IF(Relaciones!H255="","",Relaciones!H255)),"")</f>
        <v/>
      </c>
      <c r="E275" s="71" t="str">
        <f>IFERROR(IF(A275="","",IF(Relaciones!I255="","",Relaciones!I255)),"")</f>
        <v/>
      </c>
      <c r="F275" s="75"/>
    </row>
    <row r="276" ht="18.0" customHeight="1">
      <c r="A276" s="72" t="str">
        <f>IFERROR(IF(ISERROR(FIND("-P",Relaciones!A256)),"",IF(Relaciones!A256="","",Relaciones!A256)),"")</f>
        <v/>
      </c>
      <c r="B276" s="72" t="str">
        <f>IFERROR(IF(A276="","",IF(Relaciones!D256="","",Relaciones!D256)),"")</f>
        <v/>
      </c>
      <c r="C276" s="73" t="str">
        <f>IFERROR(IF(A276="","",IF(Relaciones!G256="","",Relaciones!G256)),"")</f>
        <v/>
      </c>
      <c r="D276" s="74" t="str">
        <f>IFERROR(IF(A276="","",IF(Relaciones!H256="","",Relaciones!H256)),"")</f>
        <v/>
      </c>
      <c r="E276" s="74" t="str">
        <f>IFERROR(IF(A276="","",IF(Relaciones!I256="","",Relaciones!I256)),"")</f>
        <v/>
      </c>
      <c r="F276" s="75"/>
    </row>
    <row r="277" ht="18.0" customHeight="1">
      <c r="A277" s="69" t="str">
        <f>IFERROR(IF(ISERROR(FIND("-P",Relaciones!A257)),"",IF(Relaciones!A257="","",Relaciones!A257)),"")</f>
        <v/>
      </c>
      <c r="B277" s="69" t="str">
        <f>IFERROR(IF(A277="","",IF(Relaciones!D257="","",Relaciones!D257)),"")</f>
        <v/>
      </c>
      <c r="C277" s="70" t="str">
        <f>IFERROR(IF(A277="","",IF(Relaciones!G257="","",Relaciones!G257)),"")</f>
        <v/>
      </c>
      <c r="D277" s="71" t="str">
        <f>IFERROR(IF(A277="","",IF(Relaciones!H257="","",Relaciones!H257)),"")</f>
        <v/>
      </c>
      <c r="E277" s="71" t="str">
        <f>IFERROR(IF(A277="","",IF(Relaciones!I257="","",Relaciones!I257)),"")</f>
        <v/>
      </c>
      <c r="F277" s="75"/>
    </row>
    <row r="278" ht="18.0" customHeight="1">
      <c r="A278" s="72" t="str">
        <f>IFERROR(IF(ISERROR(FIND("-P",Relaciones!A258)),"",IF(Relaciones!A258="","",Relaciones!A258)),"")</f>
        <v/>
      </c>
      <c r="B278" s="72" t="str">
        <f>IFERROR(IF(A278="","",IF(Relaciones!D258="","",Relaciones!D258)),"")</f>
        <v/>
      </c>
      <c r="C278" s="73" t="str">
        <f>IFERROR(IF(A278="","",IF(Relaciones!G258="","",Relaciones!G258)),"")</f>
        <v/>
      </c>
      <c r="D278" s="74" t="str">
        <f>IFERROR(IF(A278="","",IF(Relaciones!H258="","",Relaciones!H258)),"")</f>
        <v/>
      </c>
      <c r="E278" s="74" t="str">
        <f>IFERROR(IF(A278="","",IF(Relaciones!I258="","",Relaciones!I258)),"")</f>
        <v/>
      </c>
      <c r="F278" s="75"/>
    </row>
    <row r="279" ht="18.0" customHeight="1">
      <c r="A279" s="69" t="str">
        <f>IFERROR(IF(ISERROR(FIND("-P",Relaciones!A259)),"",IF(Relaciones!A259="","",Relaciones!A259)),"")</f>
        <v/>
      </c>
      <c r="B279" s="69" t="str">
        <f>IFERROR(IF(A279="","",IF(Relaciones!D259="","",Relaciones!D259)),"")</f>
        <v/>
      </c>
      <c r="C279" s="70" t="str">
        <f>IFERROR(IF(A279="","",IF(Relaciones!G259="","",Relaciones!G259)),"")</f>
        <v/>
      </c>
      <c r="D279" s="71" t="str">
        <f>IFERROR(IF(A279="","",IF(Relaciones!H259="","",Relaciones!H259)),"")</f>
        <v/>
      </c>
      <c r="E279" s="71" t="str">
        <f>IFERROR(IF(A279="","",IF(Relaciones!I259="","",Relaciones!I259)),"")</f>
        <v/>
      </c>
      <c r="F279" s="75"/>
    </row>
    <row r="280" ht="18.0" customHeight="1">
      <c r="A280" s="72" t="str">
        <f>IFERROR(IF(ISERROR(FIND("-P",Relaciones!A260)),"",IF(Relaciones!A260="","",Relaciones!A260)),"")</f>
        <v/>
      </c>
      <c r="B280" s="72" t="str">
        <f>IFERROR(IF(A280="","",IF(Relaciones!D260="","",Relaciones!D260)),"")</f>
        <v/>
      </c>
      <c r="C280" s="73" t="str">
        <f>IFERROR(IF(A280="","",IF(Relaciones!G260="","",Relaciones!G260)),"")</f>
        <v/>
      </c>
      <c r="D280" s="74" t="str">
        <f>IFERROR(IF(A280="","",IF(Relaciones!H260="","",Relaciones!H260)),"")</f>
        <v/>
      </c>
      <c r="E280" s="74" t="str">
        <f>IFERROR(IF(A280="","",IF(Relaciones!I260="","",Relaciones!I260)),"")</f>
        <v/>
      </c>
      <c r="F280" s="75"/>
    </row>
    <row r="281" ht="18.0" customHeight="1">
      <c r="A281" s="69" t="str">
        <f>IFERROR(IF(ISERROR(FIND("-P",Relaciones!A261)),"",IF(Relaciones!A261="","",Relaciones!A261)),"")</f>
        <v/>
      </c>
      <c r="B281" s="69" t="str">
        <f>IFERROR(IF(A281="","",IF(Relaciones!D261="","",Relaciones!D261)),"")</f>
        <v/>
      </c>
      <c r="C281" s="70" t="str">
        <f>IFERROR(IF(A281="","",IF(Relaciones!G261="","",Relaciones!G261)),"")</f>
        <v/>
      </c>
      <c r="D281" s="71" t="str">
        <f>IFERROR(IF(A281="","",IF(Relaciones!H261="","",Relaciones!H261)),"")</f>
        <v/>
      </c>
      <c r="E281" s="71" t="str">
        <f>IFERROR(IF(A281="","",IF(Relaciones!I261="","",Relaciones!I261)),"")</f>
        <v/>
      </c>
      <c r="F281" s="75"/>
    </row>
    <row r="282" ht="18.0" customHeight="1">
      <c r="A282" s="72" t="str">
        <f>IFERROR(IF(ISERROR(FIND("-P",Relaciones!A262)),"",IF(Relaciones!A262="","",Relaciones!A262)),"")</f>
        <v/>
      </c>
      <c r="B282" s="72" t="str">
        <f>IFERROR(IF(A282="","",IF(Relaciones!D262="","",Relaciones!D262)),"")</f>
        <v/>
      </c>
      <c r="C282" s="73" t="str">
        <f>IFERROR(IF(A282="","",IF(Relaciones!G262="","",Relaciones!G262)),"")</f>
        <v/>
      </c>
      <c r="D282" s="74" t="str">
        <f>IFERROR(IF(A282="","",IF(Relaciones!H262="","",Relaciones!H262)),"")</f>
        <v/>
      </c>
      <c r="E282" s="74" t="str">
        <f>IFERROR(IF(A282="","",IF(Relaciones!I262="","",Relaciones!I262)),"")</f>
        <v/>
      </c>
      <c r="F282" s="75"/>
    </row>
    <row r="283" ht="18.0" customHeight="1">
      <c r="A283" s="69" t="str">
        <f>IFERROR(IF(ISERROR(FIND("-P",Relaciones!A263)),"",IF(Relaciones!A263="","",Relaciones!A263)),"")</f>
        <v/>
      </c>
      <c r="B283" s="69" t="str">
        <f>IFERROR(IF(A283="","",IF(Relaciones!D263="","",Relaciones!D263)),"")</f>
        <v/>
      </c>
      <c r="C283" s="70" t="str">
        <f>IFERROR(IF(A283="","",IF(Relaciones!G263="","",Relaciones!G263)),"")</f>
        <v/>
      </c>
      <c r="D283" s="71" t="str">
        <f>IFERROR(IF(A283="","",IF(Relaciones!H263="","",Relaciones!H263)),"")</f>
        <v/>
      </c>
      <c r="E283" s="71" t="str">
        <f>IFERROR(IF(A283="","",IF(Relaciones!I263="","",Relaciones!I263)),"")</f>
        <v/>
      </c>
      <c r="F283" s="75"/>
    </row>
    <row r="284" ht="18.0" customHeight="1">
      <c r="A284" s="72" t="str">
        <f>IFERROR(IF(ISERROR(FIND("-P",Relaciones!A264)),"",IF(Relaciones!A264="","",Relaciones!A264)),"")</f>
        <v/>
      </c>
      <c r="B284" s="72" t="str">
        <f>IFERROR(IF(A284="","",IF(Relaciones!D264="","",Relaciones!D264)),"")</f>
        <v/>
      </c>
      <c r="C284" s="73" t="str">
        <f>IFERROR(IF(A284="","",IF(Relaciones!G264="","",Relaciones!G264)),"")</f>
        <v/>
      </c>
      <c r="D284" s="74" t="str">
        <f>IFERROR(IF(A284="","",IF(Relaciones!H264="","",Relaciones!H264)),"")</f>
        <v/>
      </c>
      <c r="E284" s="74" t="str">
        <f>IFERROR(IF(A284="","",IF(Relaciones!I264="","",Relaciones!I264)),"")</f>
        <v/>
      </c>
      <c r="F284" s="75"/>
    </row>
    <row r="285" ht="18.0" customHeight="1">
      <c r="A285" s="69" t="str">
        <f>IFERROR(IF(ISERROR(FIND("-P",Relaciones!A265)),"",IF(Relaciones!A265="","",Relaciones!A265)),"")</f>
        <v/>
      </c>
      <c r="B285" s="69" t="str">
        <f>IFERROR(IF(A285="","",IF(Relaciones!D265="","",Relaciones!D265)),"")</f>
        <v/>
      </c>
      <c r="C285" s="70" t="str">
        <f>IFERROR(IF(A285="","",IF(Relaciones!G265="","",Relaciones!G265)),"")</f>
        <v/>
      </c>
      <c r="D285" s="71" t="str">
        <f>IFERROR(IF(A285="","",IF(Relaciones!H265="","",Relaciones!H265)),"")</f>
        <v/>
      </c>
      <c r="E285" s="71" t="str">
        <f>IFERROR(IF(A285="","",IF(Relaciones!I265="","",Relaciones!I265)),"")</f>
        <v/>
      </c>
      <c r="F285" s="75"/>
    </row>
    <row r="286" ht="18.0" customHeight="1">
      <c r="A286" s="72" t="str">
        <f>IFERROR(IF(ISERROR(FIND("-P",Relaciones!A266)),"",IF(Relaciones!A266="","",Relaciones!A266)),"")</f>
        <v/>
      </c>
      <c r="B286" s="72" t="str">
        <f>IFERROR(IF(A286="","",IF(Relaciones!D266="","",Relaciones!D266)),"")</f>
        <v/>
      </c>
      <c r="C286" s="73" t="str">
        <f>IFERROR(IF(A286="","",IF(Relaciones!G266="","",Relaciones!G266)),"")</f>
        <v/>
      </c>
      <c r="D286" s="74" t="str">
        <f>IFERROR(IF(A286="","",IF(Relaciones!H266="","",Relaciones!H266)),"")</f>
        <v/>
      </c>
      <c r="E286" s="74" t="str">
        <f>IFERROR(IF(A286="","",IF(Relaciones!I266="","",Relaciones!I266)),"")</f>
        <v/>
      </c>
      <c r="F286" s="75"/>
    </row>
    <row r="287" ht="18.0" customHeight="1">
      <c r="A287" s="69" t="str">
        <f>IFERROR(IF(ISERROR(FIND("-P",Relaciones!A267)),"",IF(Relaciones!A267="","",Relaciones!A267)),"")</f>
        <v/>
      </c>
      <c r="B287" s="69" t="str">
        <f>IFERROR(IF(A287="","",IF(Relaciones!D267="","",Relaciones!D267)),"")</f>
        <v/>
      </c>
      <c r="C287" s="70" t="str">
        <f>IFERROR(IF(A287="","",IF(Relaciones!G267="","",Relaciones!G267)),"")</f>
        <v/>
      </c>
      <c r="D287" s="71" t="str">
        <f>IFERROR(IF(A287="","",IF(Relaciones!H267="","",Relaciones!H267)),"")</f>
        <v/>
      </c>
      <c r="E287" s="71" t="str">
        <f>IFERROR(IF(A287="","",IF(Relaciones!I267="","",Relaciones!I267)),"")</f>
        <v/>
      </c>
      <c r="F287" s="75"/>
    </row>
    <row r="288" ht="18.0" customHeight="1">
      <c r="A288" s="72" t="str">
        <f>IFERROR(IF(ISERROR(FIND("-P",Relaciones!A268)),"",IF(Relaciones!A268="","",Relaciones!A268)),"")</f>
        <v/>
      </c>
      <c r="B288" s="72" t="str">
        <f>IFERROR(IF(A288="","",IF(Relaciones!D268="","",Relaciones!D268)),"")</f>
        <v/>
      </c>
      <c r="C288" s="73" t="str">
        <f>IFERROR(IF(A288="","",IF(Relaciones!G268="","",Relaciones!G268)),"")</f>
        <v/>
      </c>
      <c r="D288" s="74" t="str">
        <f>IFERROR(IF(A288="","",IF(Relaciones!H268="","",Relaciones!H268)),"")</f>
        <v/>
      </c>
      <c r="E288" s="74" t="str">
        <f>IFERROR(IF(A288="","",IF(Relaciones!I268="","",Relaciones!I268)),"")</f>
        <v/>
      </c>
      <c r="F288" s="75"/>
    </row>
    <row r="289" ht="18.0" customHeight="1">
      <c r="A289" s="69" t="str">
        <f>IFERROR(IF(ISERROR(FIND("-P",Relaciones!A269)),"",IF(Relaciones!A269="","",Relaciones!A269)),"")</f>
        <v/>
      </c>
      <c r="B289" s="69" t="str">
        <f>IFERROR(IF(A289="","",IF(Relaciones!D269="","",Relaciones!D269)),"")</f>
        <v/>
      </c>
      <c r="C289" s="70" t="str">
        <f>IFERROR(IF(A289="","",IF(Relaciones!G269="","",Relaciones!G269)),"")</f>
        <v/>
      </c>
      <c r="D289" s="71" t="str">
        <f>IFERROR(IF(A289="","",IF(Relaciones!H269="","",Relaciones!H269)),"")</f>
        <v/>
      </c>
      <c r="E289" s="71" t="str">
        <f>IFERROR(IF(A289="","",IF(Relaciones!I269="","",Relaciones!I269)),"")</f>
        <v/>
      </c>
      <c r="F289" s="75"/>
    </row>
    <row r="290" ht="18.0" customHeight="1">
      <c r="A290" s="72" t="str">
        <f>IFERROR(IF(ISERROR(FIND("-P",Relaciones!A270)),"",IF(Relaciones!A270="","",Relaciones!A270)),"")</f>
        <v/>
      </c>
      <c r="B290" s="72" t="str">
        <f>IFERROR(IF(A290="","",IF(Relaciones!D270="","",Relaciones!D270)),"")</f>
        <v/>
      </c>
      <c r="C290" s="73" t="str">
        <f>IFERROR(IF(A290="","",IF(Relaciones!G270="","",Relaciones!G270)),"")</f>
        <v/>
      </c>
      <c r="D290" s="74" t="str">
        <f>IFERROR(IF(A290="","",IF(Relaciones!H270="","",Relaciones!H270)),"")</f>
        <v/>
      </c>
      <c r="E290" s="74" t="str">
        <f>IFERROR(IF(A290="","",IF(Relaciones!I270="","",Relaciones!I270)),"")</f>
        <v/>
      </c>
      <c r="F290" s="75"/>
    </row>
    <row r="291" ht="18.0" customHeight="1">
      <c r="A291" s="69" t="str">
        <f>IFERROR(IF(ISERROR(FIND("-P",Relaciones!A271)),"",IF(Relaciones!A271="","",Relaciones!A271)),"")</f>
        <v/>
      </c>
      <c r="B291" s="69" t="str">
        <f>IFERROR(IF(A291="","",IF(Relaciones!D271="","",Relaciones!D271)),"")</f>
        <v/>
      </c>
      <c r="C291" s="70" t="str">
        <f>IFERROR(IF(A291="","",IF(Relaciones!G271="","",Relaciones!G271)),"")</f>
        <v/>
      </c>
      <c r="D291" s="71" t="str">
        <f>IFERROR(IF(A291="","",IF(Relaciones!H271="","",Relaciones!H271)),"")</f>
        <v/>
      </c>
      <c r="E291" s="71" t="str">
        <f>IFERROR(IF(A291="","",IF(Relaciones!I271="","",Relaciones!I271)),"")</f>
        <v/>
      </c>
      <c r="F291" s="75"/>
    </row>
    <row r="292" ht="18.0" customHeight="1">
      <c r="A292" s="72" t="str">
        <f>IFERROR(IF(ISERROR(FIND("-P",Relaciones!A272)),"",IF(Relaciones!A272="","",Relaciones!A272)),"")</f>
        <v/>
      </c>
      <c r="B292" s="72" t="str">
        <f>IFERROR(IF(A292="","",IF(Relaciones!D272="","",Relaciones!D272)),"")</f>
        <v/>
      </c>
      <c r="C292" s="73" t="str">
        <f>IFERROR(IF(A292="","",IF(Relaciones!G272="","",Relaciones!G272)),"")</f>
        <v/>
      </c>
      <c r="D292" s="74" t="str">
        <f>IFERROR(IF(A292="","",IF(Relaciones!H272="","",Relaciones!H272)),"")</f>
        <v/>
      </c>
      <c r="E292" s="74" t="str">
        <f>IFERROR(IF(A292="","",IF(Relaciones!I272="","",Relaciones!I272)),"")</f>
        <v/>
      </c>
      <c r="F292" s="75"/>
    </row>
    <row r="293" ht="18.0" customHeight="1">
      <c r="A293" s="69" t="str">
        <f>IFERROR(IF(ISERROR(FIND("-P",Relaciones!A273)),"",IF(Relaciones!A273="","",Relaciones!A273)),"")</f>
        <v/>
      </c>
      <c r="B293" s="69" t="str">
        <f>IFERROR(IF(A293="","",IF(Relaciones!D273="","",Relaciones!D273)),"")</f>
        <v/>
      </c>
      <c r="C293" s="70" t="str">
        <f>IFERROR(IF(A293="","",IF(Relaciones!G273="","",Relaciones!G273)),"")</f>
        <v/>
      </c>
      <c r="D293" s="71" t="str">
        <f>IFERROR(IF(A293="","",IF(Relaciones!H273="","",Relaciones!H273)),"")</f>
        <v/>
      </c>
      <c r="E293" s="71" t="str">
        <f>IFERROR(IF(A293="","",IF(Relaciones!I273="","",Relaciones!I273)),"")</f>
        <v/>
      </c>
      <c r="F293" s="75"/>
    </row>
    <row r="294" ht="18.0" customHeight="1">
      <c r="A294" s="72" t="str">
        <f>IFERROR(IF(ISERROR(FIND("-P",Relaciones!A274)),"",IF(Relaciones!A274="","",Relaciones!A274)),"")</f>
        <v/>
      </c>
      <c r="B294" s="72" t="str">
        <f>IFERROR(IF(A294="","",IF(Relaciones!D274="","",Relaciones!D274)),"")</f>
        <v/>
      </c>
      <c r="C294" s="73" t="str">
        <f>IFERROR(IF(A294="","",IF(Relaciones!G274="","",Relaciones!G274)),"")</f>
        <v/>
      </c>
      <c r="D294" s="74" t="str">
        <f>IFERROR(IF(A294="","",IF(Relaciones!H274="","",Relaciones!H274)),"")</f>
        <v/>
      </c>
      <c r="E294" s="74" t="str">
        <f>IFERROR(IF(A294="","",IF(Relaciones!I274="","",Relaciones!I274)),"")</f>
        <v/>
      </c>
      <c r="F294" s="75"/>
    </row>
    <row r="295" ht="18.0" customHeight="1">
      <c r="A295" s="69" t="str">
        <f>IFERROR(IF(ISERROR(FIND("-P",Relaciones!A275)),"",IF(Relaciones!A275="","",Relaciones!A275)),"")</f>
        <v/>
      </c>
      <c r="B295" s="69" t="str">
        <f>IFERROR(IF(A295="","",IF(Relaciones!D275="","",Relaciones!D275)),"")</f>
        <v/>
      </c>
      <c r="C295" s="70" t="str">
        <f>IFERROR(IF(A295="","",IF(Relaciones!G275="","",Relaciones!G275)),"")</f>
        <v/>
      </c>
      <c r="D295" s="71" t="str">
        <f>IFERROR(IF(A295="","",IF(Relaciones!H275="","",Relaciones!H275)),"")</f>
        <v/>
      </c>
      <c r="E295" s="71" t="str">
        <f>IFERROR(IF(A295="","",IF(Relaciones!I275="","",Relaciones!I275)),"")</f>
        <v/>
      </c>
      <c r="F295" s="75"/>
    </row>
    <row r="296" ht="18.0" customHeight="1">
      <c r="A296" s="72" t="str">
        <f>IFERROR(IF(ISERROR(FIND("-P",Relaciones!A276)),"",IF(Relaciones!A276="","",Relaciones!A276)),"")</f>
        <v/>
      </c>
      <c r="B296" s="72" t="str">
        <f>IFERROR(IF(A296="","",IF(Relaciones!D276="","",Relaciones!D276)),"")</f>
        <v/>
      </c>
      <c r="C296" s="73" t="str">
        <f>IFERROR(IF(A296="","",IF(Relaciones!G276="","",Relaciones!G276)),"")</f>
        <v/>
      </c>
      <c r="D296" s="74" t="str">
        <f>IFERROR(IF(A296="","",IF(Relaciones!H276="","",Relaciones!H276)),"")</f>
        <v/>
      </c>
      <c r="E296" s="74" t="str">
        <f>IFERROR(IF(A296="","",IF(Relaciones!I276="","",Relaciones!I276)),"")</f>
        <v/>
      </c>
      <c r="F296" s="75"/>
    </row>
    <row r="297" ht="18.0" customHeight="1">
      <c r="A297" s="69" t="str">
        <f>IFERROR(IF(ISERROR(FIND("-P",Relaciones!A277)),"",IF(Relaciones!A277="","",Relaciones!A277)),"")</f>
        <v/>
      </c>
      <c r="B297" s="69" t="str">
        <f>IFERROR(IF(A297="","",IF(Relaciones!D277="","",Relaciones!D277)),"")</f>
        <v/>
      </c>
      <c r="C297" s="70" t="str">
        <f>IFERROR(IF(A297="","",IF(Relaciones!G277="","",Relaciones!G277)),"")</f>
        <v/>
      </c>
      <c r="D297" s="71" t="str">
        <f>IFERROR(IF(A297="","",IF(Relaciones!H277="","",Relaciones!H277)),"")</f>
        <v/>
      </c>
      <c r="E297" s="71" t="str">
        <f>IFERROR(IF(A297="","",IF(Relaciones!I277="","",Relaciones!I277)),"")</f>
        <v/>
      </c>
      <c r="F297" s="75"/>
    </row>
    <row r="298" ht="18.0" customHeight="1">
      <c r="A298" s="72" t="str">
        <f>IFERROR(IF(ISERROR(FIND("-P",Relaciones!A278)),"",IF(Relaciones!A278="","",Relaciones!A278)),"")</f>
        <v/>
      </c>
      <c r="B298" s="72" t="str">
        <f>IFERROR(IF(A298="","",IF(Relaciones!D278="","",Relaciones!D278)),"")</f>
        <v/>
      </c>
      <c r="C298" s="73" t="str">
        <f>IFERROR(IF(A298="","",IF(Relaciones!G278="","",Relaciones!G278)),"")</f>
        <v/>
      </c>
      <c r="D298" s="74" t="str">
        <f>IFERROR(IF(A298="","",IF(Relaciones!H278="","",Relaciones!H278)),"")</f>
        <v/>
      </c>
      <c r="E298" s="74" t="str">
        <f>IFERROR(IF(A298="","",IF(Relaciones!I278="","",Relaciones!I278)),"")</f>
        <v/>
      </c>
      <c r="F298" s="75"/>
    </row>
    <row r="299" ht="18.0" customHeight="1">
      <c r="A299" s="69" t="str">
        <f>IFERROR(IF(ISERROR(FIND("-P",Relaciones!A279)),"",IF(Relaciones!A279="","",Relaciones!A279)),"")</f>
        <v/>
      </c>
      <c r="B299" s="69" t="str">
        <f>IFERROR(IF(A299="","",IF(Relaciones!D279="","",Relaciones!D279)),"")</f>
        <v/>
      </c>
      <c r="C299" s="70" t="str">
        <f>IFERROR(IF(A299="","",IF(Relaciones!G279="","",Relaciones!G279)),"")</f>
        <v/>
      </c>
      <c r="D299" s="71" t="str">
        <f>IFERROR(IF(A299="","",IF(Relaciones!H279="","",Relaciones!H279)),"")</f>
        <v/>
      </c>
      <c r="E299" s="71" t="str">
        <f>IFERROR(IF(A299="","",IF(Relaciones!I279="","",Relaciones!I279)),"")</f>
        <v/>
      </c>
      <c r="F299" s="75"/>
    </row>
    <row r="300" ht="18.0" customHeight="1">
      <c r="A300" s="72" t="str">
        <f>IFERROR(IF(ISERROR(FIND("-P",Relaciones!A280)),"",IF(Relaciones!A280="","",Relaciones!A280)),"")</f>
        <v/>
      </c>
      <c r="B300" s="72" t="str">
        <f>IFERROR(IF(A300="","",IF(Relaciones!D280="","",Relaciones!D280)),"")</f>
        <v/>
      </c>
      <c r="C300" s="73" t="str">
        <f>IFERROR(IF(A300="","",IF(Relaciones!G280="","",Relaciones!G280)),"")</f>
        <v/>
      </c>
      <c r="D300" s="74" t="str">
        <f>IFERROR(IF(A300="","",IF(Relaciones!H280="","",Relaciones!H280)),"")</f>
        <v/>
      </c>
      <c r="E300" s="74" t="str">
        <f>IFERROR(IF(A300="","",IF(Relaciones!I280="","",Relaciones!I280)),"")</f>
        <v/>
      </c>
      <c r="F300" s="75"/>
    </row>
    <row r="301" ht="18.0" customHeight="1">
      <c r="A301" s="69" t="str">
        <f>IFERROR(IF(ISERROR(FIND("-P",Relaciones!A281)),"",IF(Relaciones!A281="","",Relaciones!A281)),"")</f>
        <v/>
      </c>
      <c r="B301" s="69" t="str">
        <f>IFERROR(IF(A301="","",IF(Relaciones!D281="","",Relaciones!D281)),"")</f>
        <v/>
      </c>
      <c r="C301" s="70" t="str">
        <f>IFERROR(IF(A301="","",IF(Relaciones!G281="","",Relaciones!G281)),"")</f>
        <v/>
      </c>
      <c r="D301" s="71" t="str">
        <f>IFERROR(IF(A301="","",IF(Relaciones!H281="","",Relaciones!H281)),"")</f>
        <v/>
      </c>
      <c r="E301" s="71" t="str">
        <f>IFERROR(IF(A301="","",IF(Relaciones!I281="","",Relaciones!I281)),"")</f>
        <v/>
      </c>
      <c r="F301" s="75"/>
    </row>
    <row r="302" ht="18.0" customHeight="1">
      <c r="A302" s="72" t="str">
        <f>IFERROR(IF(ISERROR(FIND("-P",Relaciones!A282)),"",IF(Relaciones!A282="","",Relaciones!A282)),"")</f>
        <v/>
      </c>
      <c r="B302" s="72" t="str">
        <f>IFERROR(IF(A302="","",IF(Relaciones!D282="","",Relaciones!D282)),"")</f>
        <v/>
      </c>
      <c r="C302" s="73" t="str">
        <f>IFERROR(IF(A302="","",IF(Relaciones!G282="","",Relaciones!G282)),"")</f>
        <v/>
      </c>
      <c r="D302" s="74" t="str">
        <f>IFERROR(IF(A302="","",IF(Relaciones!H282="","",Relaciones!H282)),"")</f>
        <v/>
      </c>
      <c r="E302" s="74" t="str">
        <f>IFERROR(IF(A302="","",IF(Relaciones!I282="","",Relaciones!I282)),"")</f>
        <v/>
      </c>
      <c r="F302" s="75"/>
    </row>
    <row r="303" ht="18.0" customHeight="1">
      <c r="A303" s="69" t="str">
        <f>IFERROR(IF(ISERROR(FIND("-P",Relaciones!A283)),"",IF(Relaciones!A283="","",Relaciones!A283)),"")</f>
        <v/>
      </c>
      <c r="B303" s="69" t="str">
        <f>IFERROR(IF(A303="","",IF(Relaciones!D283="","",Relaciones!D283)),"")</f>
        <v/>
      </c>
      <c r="C303" s="70" t="str">
        <f>IFERROR(IF(A303="","",IF(Relaciones!G283="","",Relaciones!G283)),"")</f>
        <v/>
      </c>
      <c r="D303" s="71" t="str">
        <f>IFERROR(IF(A303="","",IF(Relaciones!H283="","",Relaciones!H283)),"")</f>
        <v/>
      </c>
      <c r="E303" s="71" t="str">
        <f>IFERROR(IF(A303="","",IF(Relaciones!I283="","",Relaciones!I283)),"")</f>
        <v/>
      </c>
      <c r="F303" s="75"/>
    </row>
    <row r="304" ht="18.0" customHeight="1">
      <c r="A304" s="72" t="str">
        <f>IFERROR(IF(ISERROR(FIND("-P",Relaciones!A284)),"",IF(Relaciones!A284="","",Relaciones!A284)),"")</f>
        <v/>
      </c>
      <c r="B304" s="72" t="str">
        <f>IFERROR(IF(A304="","",IF(Relaciones!D284="","",Relaciones!D284)),"")</f>
        <v/>
      </c>
      <c r="C304" s="73" t="str">
        <f>IFERROR(IF(A304="","",IF(Relaciones!G284="","",Relaciones!G284)),"")</f>
        <v/>
      </c>
      <c r="D304" s="74" t="str">
        <f>IFERROR(IF(A304="","",IF(Relaciones!H284="","",Relaciones!H284)),"")</f>
        <v/>
      </c>
      <c r="E304" s="74" t="str">
        <f>IFERROR(IF(A304="","",IF(Relaciones!I284="","",Relaciones!I284)),"")</f>
        <v/>
      </c>
      <c r="F304" s="75"/>
    </row>
    <row r="305" ht="18.0" customHeight="1">
      <c r="A305" s="69" t="str">
        <f>IFERROR(IF(ISERROR(FIND("-P",Relaciones!A285)),"",IF(Relaciones!A285="","",Relaciones!A285)),"")</f>
        <v/>
      </c>
      <c r="B305" s="69" t="str">
        <f>IFERROR(IF(A305="","",IF(Relaciones!D285="","",Relaciones!D285)),"")</f>
        <v/>
      </c>
      <c r="C305" s="70" t="str">
        <f>IFERROR(IF(A305="","",IF(Relaciones!G285="","",Relaciones!G285)),"")</f>
        <v/>
      </c>
      <c r="D305" s="71" t="str">
        <f>IFERROR(IF(A305="","",IF(Relaciones!H285="","",Relaciones!H285)),"")</f>
        <v/>
      </c>
      <c r="E305" s="71" t="str">
        <f>IFERROR(IF(A305="","",IF(Relaciones!I285="","",Relaciones!I285)),"")</f>
        <v/>
      </c>
      <c r="F305" s="75"/>
    </row>
    <row r="306" ht="18.0" customHeight="1">
      <c r="A306" s="72" t="str">
        <f>IFERROR(IF(ISERROR(FIND("-P",Relaciones!A286)),"",IF(Relaciones!A286="","",Relaciones!A286)),"")</f>
        <v/>
      </c>
      <c r="B306" s="72" t="str">
        <f>IFERROR(IF(A306="","",IF(Relaciones!D286="","",Relaciones!D286)),"")</f>
        <v/>
      </c>
      <c r="C306" s="73" t="str">
        <f>IFERROR(IF(A306="","",IF(Relaciones!G286="","",Relaciones!G286)),"")</f>
        <v/>
      </c>
      <c r="D306" s="74" t="str">
        <f>IFERROR(IF(A306="","",IF(Relaciones!H286="","",Relaciones!H286)),"")</f>
        <v/>
      </c>
      <c r="E306" s="74" t="str">
        <f>IFERROR(IF(A306="","",IF(Relaciones!I286="","",Relaciones!I286)),"")</f>
        <v/>
      </c>
      <c r="F306" s="75"/>
    </row>
    <row r="307" ht="18.0" customHeight="1">
      <c r="A307" s="69" t="str">
        <f>IFERROR(IF(ISERROR(FIND("-P",Relaciones!A287)),"",IF(Relaciones!A287="","",Relaciones!A287)),"")</f>
        <v/>
      </c>
      <c r="B307" s="69" t="str">
        <f>IFERROR(IF(A307="","",IF(Relaciones!D287="","",Relaciones!D287)),"")</f>
        <v/>
      </c>
      <c r="C307" s="70" t="str">
        <f>IFERROR(IF(A307="","",IF(Relaciones!G287="","",Relaciones!G287)),"")</f>
        <v/>
      </c>
      <c r="D307" s="71" t="str">
        <f>IFERROR(IF(A307="","",IF(Relaciones!H287="","",Relaciones!H287)),"")</f>
        <v/>
      </c>
      <c r="E307" s="71" t="str">
        <f>IFERROR(IF(A307="","",IF(Relaciones!I287="","",Relaciones!I287)),"")</f>
        <v/>
      </c>
      <c r="F307" s="75"/>
    </row>
    <row r="308" ht="18.0" customHeight="1">
      <c r="A308" s="72" t="str">
        <f>IFERROR(IF(ISERROR(FIND("-P",Relaciones!A288)),"",IF(Relaciones!A288="","",Relaciones!A288)),"")</f>
        <v/>
      </c>
      <c r="B308" s="72" t="str">
        <f>IFERROR(IF(A308="","",IF(Relaciones!D288="","",Relaciones!D288)),"")</f>
        <v/>
      </c>
      <c r="C308" s="73" t="str">
        <f>IFERROR(IF(A308="","",IF(Relaciones!G288="","",Relaciones!G288)),"")</f>
        <v/>
      </c>
      <c r="D308" s="74" t="str">
        <f>IFERROR(IF(A308="","",IF(Relaciones!H288="","",Relaciones!H288)),"")</f>
        <v/>
      </c>
      <c r="E308" s="74" t="str">
        <f>IFERROR(IF(A308="","",IF(Relaciones!I288="","",Relaciones!I288)),"")</f>
        <v/>
      </c>
      <c r="F308" s="75"/>
    </row>
    <row r="309" ht="18.0" customHeight="1">
      <c r="A309" s="69" t="str">
        <f>IFERROR(IF(ISERROR(FIND("-P",Relaciones!A289)),"",IF(Relaciones!A289="","",Relaciones!A289)),"")</f>
        <v/>
      </c>
      <c r="B309" s="69" t="str">
        <f>IFERROR(IF(A309="","",IF(Relaciones!D289="","",Relaciones!D289)),"")</f>
        <v/>
      </c>
      <c r="C309" s="70" t="str">
        <f>IFERROR(IF(A309="","",IF(Relaciones!G289="","",Relaciones!G289)),"")</f>
        <v/>
      </c>
      <c r="D309" s="71" t="str">
        <f>IFERROR(IF(A309="","",IF(Relaciones!H289="","",Relaciones!H289)),"")</f>
        <v/>
      </c>
      <c r="E309" s="71" t="str">
        <f>IFERROR(IF(A309="","",IF(Relaciones!I289="","",Relaciones!I289)),"")</f>
        <v/>
      </c>
      <c r="F309" s="75"/>
    </row>
    <row r="310" ht="18.0" customHeight="1">
      <c r="A310" s="72" t="str">
        <f>IFERROR(IF(ISERROR(FIND("-P",Relaciones!A290)),"",IF(Relaciones!A290="","",Relaciones!A290)),"")</f>
        <v/>
      </c>
      <c r="B310" s="72" t="str">
        <f>IFERROR(IF(A310="","",IF(Relaciones!D290="","",Relaciones!D290)),"")</f>
        <v/>
      </c>
      <c r="C310" s="73" t="str">
        <f>IFERROR(IF(A310="","",IF(Relaciones!G290="","",Relaciones!G290)),"")</f>
        <v/>
      </c>
      <c r="D310" s="74" t="str">
        <f>IFERROR(IF(A310="","",IF(Relaciones!H290="","",Relaciones!H290)),"")</f>
        <v/>
      </c>
      <c r="E310" s="74" t="str">
        <f>IFERROR(IF(A310="","",IF(Relaciones!I290="","",Relaciones!I290)),"")</f>
        <v/>
      </c>
      <c r="F310" s="75"/>
    </row>
    <row r="311" ht="18.0" customHeight="1">
      <c r="A311" s="69" t="str">
        <f>IFERROR(IF(ISERROR(FIND("-P",Relaciones!A291)),"",IF(Relaciones!A291="","",Relaciones!A291)),"")</f>
        <v/>
      </c>
      <c r="B311" s="69" t="str">
        <f>IFERROR(IF(A311="","",IF(Relaciones!D291="","",Relaciones!D291)),"")</f>
        <v/>
      </c>
      <c r="C311" s="70" t="str">
        <f>IFERROR(IF(A311="","",IF(Relaciones!G291="","",Relaciones!G291)),"")</f>
        <v/>
      </c>
      <c r="D311" s="71" t="str">
        <f>IFERROR(IF(A311="","",IF(Relaciones!H291="","",Relaciones!H291)),"")</f>
        <v/>
      </c>
      <c r="E311" s="71" t="str">
        <f>IFERROR(IF(A311="","",IF(Relaciones!I291="","",Relaciones!I291)),"")</f>
        <v/>
      </c>
      <c r="F311" s="75"/>
    </row>
    <row r="312" ht="18.0" customHeight="1">
      <c r="A312" s="72" t="str">
        <f>IFERROR(IF(ISERROR(FIND("-P",Relaciones!A292)),"",IF(Relaciones!A292="","",Relaciones!A292)),"")</f>
        <v/>
      </c>
      <c r="B312" s="72" t="str">
        <f>IFERROR(IF(A312="","",IF(Relaciones!D292="","",Relaciones!D292)),"")</f>
        <v/>
      </c>
      <c r="C312" s="73" t="str">
        <f>IFERROR(IF(A312="","",IF(Relaciones!G292="","",Relaciones!G292)),"")</f>
        <v/>
      </c>
      <c r="D312" s="74" t="str">
        <f>IFERROR(IF(A312="","",IF(Relaciones!H292="","",Relaciones!H292)),"")</f>
        <v/>
      </c>
      <c r="E312" s="74" t="str">
        <f>IFERROR(IF(A312="","",IF(Relaciones!I292="","",Relaciones!I292)),"")</f>
        <v/>
      </c>
      <c r="F312" s="75"/>
    </row>
    <row r="313" ht="18.0" customHeight="1">
      <c r="A313" s="69" t="str">
        <f>IFERROR(IF(ISERROR(FIND("-P",Relaciones!A293)),"",IF(Relaciones!A293="","",Relaciones!A293)),"")</f>
        <v/>
      </c>
      <c r="B313" s="69" t="str">
        <f>IFERROR(IF(A313="","",IF(Relaciones!D293="","",Relaciones!D293)),"")</f>
        <v/>
      </c>
      <c r="C313" s="70" t="str">
        <f>IFERROR(IF(A313="","",IF(Relaciones!G293="","",Relaciones!G293)),"")</f>
        <v/>
      </c>
      <c r="D313" s="71" t="str">
        <f>IFERROR(IF(A313="","",IF(Relaciones!H293="","",Relaciones!H293)),"")</f>
        <v/>
      </c>
      <c r="E313" s="71" t="str">
        <f>IFERROR(IF(A313="","",IF(Relaciones!I293="","",Relaciones!I293)),"")</f>
        <v/>
      </c>
      <c r="F313" s="75"/>
    </row>
    <row r="314" ht="18.0" customHeight="1">
      <c r="A314" s="72" t="str">
        <f>IFERROR(IF(ISERROR(FIND("-P",Relaciones!A294)),"",IF(Relaciones!A294="","",Relaciones!A294)),"")</f>
        <v/>
      </c>
      <c r="B314" s="72" t="str">
        <f>IFERROR(IF(A314="","",IF(Relaciones!D294="","",Relaciones!D294)),"")</f>
        <v/>
      </c>
      <c r="C314" s="73" t="str">
        <f>IFERROR(IF(A314="","",IF(Relaciones!G294="","",Relaciones!G294)),"")</f>
        <v/>
      </c>
      <c r="D314" s="74" t="str">
        <f>IFERROR(IF(A314="","",IF(Relaciones!H294="","",Relaciones!H294)),"")</f>
        <v/>
      </c>
      <c r="E314" s="74" t="str">
        <f>IFERROR(IF(A314="","",IF(Relaciones!I294="","",Relaciones!I294)),"")</f>
        <v/>
      </c>
      <c r="F314" s="75"/>
    </row>
    <row r="315" ht="18.0" customHeight="1">
      <c r="A315" s="69" t="str">
        <f>IFERROR(IF(ISERROR(FIND("-P",Relaciones!A295)),"",IF(Relaciones!A295="","",Relaciones!A295)),"")</f>
        <v/>
      </c>
      <c r="B315" s="69" t="str">
        <f>IFERROR(IF(A315="","",IF(Relaciones!D295="","",Relaciones!D295)),"")</f>
        <v/>
      </c>
      <c r="C315" s="70" t="str">
        <f>IFERROR(IF(A315="","",IF(Relaciones!G295="","",Relaciones!G295)),"")</f>
        <v/>
      </c>
      <c r="D315" s="71" t="str">
        <f>IFERROR(IF(A315="","",IF(Relaciones!H295="","",Relaciones!H295)),"")</f>
        <v/>
      </c>
      <c r="E315" s="71" t="str">
        <f>IFERROR(IF(A315="","",IF(Relaciones!I295="","",Relaciones!I295)),"")</f>
        <v/>
      </c>
      <c r="F315" s="75"/>
    </row>
    <row r="316" ht="18.0" customHeight="1">
      <c r="A316" s="72" t="str">
        <f>IFERROR(IF(ISERROR(FIND("-P",Relaciones!A296)),"",IF(Relaciones!A296="","",Relaciones!A296)),"")</f>
        <v/>
      </c>
      <c r="B316" s="72" t="str">
        <f>IFERROR(IF(A316="","",IF(Relaciones!D296="","",Relaciones!D296)),"")</f>
        <v/>
      </c>
      <c r="C316" s="73" t="str">
        <f>IFERROR(IF(A316="","",IF(Relaciones!G296="","",Relaciones!G296)),"")</f>
        <v/>
      </c>
      <c r="D316" s="74" t="str">
        <f>IFERROR(IF(A316="","",IF(Relaciones!H296="","",Relaciones!H296)),"")</f>
        <v/>
      </c>
      <c r="E316" s="74" t="str">
        <f>IFERROR(IF(A316="","",IF(Relaciones!I296="","",Relaciones!I296)),"")</f>
        <v/>
      </c>
      <c r="F316" s="75"/>
    </row>
    <row r="317" ht="18.0" customHeight="1">
      <c r="A317" s="69" t="str">
        <f>IFERROR(IF(ISERROR(FIND("-P",Relaciones!A297)),"",IF(Relaciones!A297="","",Relaciones!A297)),"")</f>
        <v/>
      </c>
      <c r="B317" s="69" t="str">
        <f>IFERROR(IF(A317="","",IF(Relaciones!D297="","",Relaciones!D297)),"")</f>
        <v/>
      </c>
      <c r="C317" s="70" t="str">
        <f>IFERROR(IF(A317="","",IF(Relaciones!G297="","",Relaciones!G297)),"")</f>
        <v/>
      </c>
      <c r="D317" s="71" t="str">
        <f>IFERROR(IF(A317="","",IF(Relaciones!H297="","",Relaciones!H297)),"")</f>
        <v/>
      </c>
      <c r="E317" s="71" t="str">
        <f>IFERROR(IF(A317="","",IF(Relaciones!I297="","",Relaciones!I297)),"")</f>
        <v/>
      </c>
      <c r="F317" s="75"/>
    </row>
    <row r="318" ht="18.0" customHeight="1">
      <c r="A318" s="72" t="str">
        <f>IFERROR(IF(ISERROR(FIND("-P",Relaciones!A298)),"",IF(Relaciones!A298="","",Relaciones!A298)),"")</f>
        <v/>
      </c>
      <c r="B318" s="72" t="str">
        <f>IFERROR(IF(A318="","",IF(Relaciones!D298="","",Relaciones!D298)),"")</f>
        <v/>
      </c>
      <c r="C318" s="73" t="str">
        <f>IFERROR(IF(A318="","",IF(Relaciones!G298="","",Relaciones!G298)),"")</f>
        <v/>
      </c>
      <c r="D318" s="74" t="str">
        <f>IFERROR(IF(A318="","",IF(Relaciones!H298="","",Relaciones!H298)),"")</f>
        <v/>
      </c>
      <c r="E318" s="74" t="str">
        <f>IFERROR(IF(A318="","",IF(Relaciones!I298="","",Relaciones!I298)),"")</f>
        <v/>
      </c>
      <c r="F318" s="75"/>
    </row>
    <row r="319" ht="18.0" customHeight="1">
      <c r="A319" s="69" t="str">
        <f>IFERROR(IF(ISERROR(FIND("-P",Relaciones!A299)),"",IF(Relaciones!A299="","",Relaciones!A299)),"")</f>
        <v/>
      </c>
      <c r="B319" s="69" t="str">
        <f>IFERROR(IF(A319="","",IF(Relaciones!D299="","",Relaciones!D299)),"")</f>
        <v/>
      </c>
      <c r="C319" s="70" t="str">
        <f>IFERROR(IF(A319="","",IF(Relaciones!G299="","",Relaciones!G299)),"")</f>
        <v/>
      </c>
      <c r="D319" s="71" t="str">
        <f>IFERROR(IF(A319="","",IF(Relaciones!H299="","",Relaciones!H299)),"")</f>
        <v/>
      </c>
      <c r="E319" s="71" t="str">
        <f>IFERROR(IF(A319="","",IF(Relaciones!I299="","",Relaciones!I299)),"")</f>
        <v/>
      </c>
      <c r="F319" s="75"/>
    </row>
    <row r="320" ht="18.0" customHeight="1">
      <c r="A320" s="72" t="str">
        <f>IFERROR(IF(ISERROR(FIND("-P",Relaciones!A300)),"",IF(Relaciones!A300="","",Relaciones!A300)),"")</f>
        <v/>
      </c>
      <c r="B320" s="72" t="str">
        <f>IFERROR(IF(A320="","",IF(Relaciones!D300="","",Relaciones!D300)),"")</f>
        <v/>
      </c>
      <c r="C320" s="73" t="str">
        <f>IFERROR(IF(A320="","",IF(Relaciones!G300="","",Relaciones!G300)),"")</f>
        <v/>
      </c>
      <c r="D320" s="74" t="str">
        <f>IFERROR(IF(A320="","",IF(Relaciones!H300="","",Relaciones!H300)),"")</f>
        <v/>
      </c>
      <c r="E320" s="74" t="str">
        <f>IFERROR(IF(A320="","",IF(Relaciones!I300="","",Relaciones!I300)),"")</f>
        <v/>
      </c>
      <c r="F320" s="75"/>
    </row>
    <row r="321" ht="18.0" customHeight="1">
      <c r="A321" s="69" t="str">
        <f>IFERROR(IF(ISERROR(FIND("-P",Relaciones!A301)),"",IF(Relaciones!A301="","",Relaciones!A301)),"")</f>
        <v/>
      </c>
      <c r="B321" s="69" t="str">
        <f>IFERROR(IF(A321="","",IF(Relaciones!D301="","",Relaciones!D301)),"")</f>
        <v/>
      </c>
      <c r="C321" s="70" t="str">
        <f>IFERROR(IF(A321="","",IF(Relaciones!G301="","",Relaciones!G301)),"")</f>
        <v/>
      </c>
      <c r="D321" s="71" t="str">
        <f>IFERROR(IF(A321="","",IF(Relaciones!H301="","",Relaciones!H301)),"")</f>
        <v/>
      </c>
      <c r="E321" s="71" t="str">
        <f>IFERROR(IF(A321="","",IF(Relaciones!I301="","",Relaciones!I301)),"")</f>
        <v/>
      </c>
      <c r="F321" s="75"/>
    </row>
    <row r="322" ht="18.0" customHeight="1">
      <c r="A322" s="72" t="str">
        <f>IFERROR(IF(ISERROR(FIND("-P",Relaciones!A302)),"",IF(Relaciones!A302="","",Relaciones!A302)),"")</f>
        <v/>
      </c>
      <c r="B322" s="72" t="str">
        <f>IFERROR(IF(A322="","",IF(Relaciones!D302="","",Relaciones!D302)),"")</f>
        <v/>
      </c>
      <c r="C322" s="73" t="str">
        <f>IFERROR(IF(A322="","",IF(Relaciones!G302="","",Relaciones!G302)),"")</f>
        <v/>
      </c>
      <c r="D322" s="74" t="str">
        <f>IFERROR(IF(A322="","",IF(Relaciones!H302="","",Relaciones!H302)),"")</f>
        <v/>
      </c>
      <c r="E322" s="74" t="str">
        <f>IFERROR(IF(A322="","",IF(Relaciones!I302="","",Relaciones!I302)),"")</f>
        <v/>
      </c>
      <c r="F322" s="75"/>
    </row>
    <row r="323" ht="15.0" customHeight="1">
      <c r="A323" s="75"/>
      <c r="B323" s="75"/>
      <c r="C323" s="75"/>
      <c r="D323" s="75"/>
      <c r="E323" s="75"/>
      <c r="F323" s="75"/>
    </row>
    <row r="324" ht="15.0" customHeight="1">
      <c r="A324" s="75"/>
      <c r="B324" s="75"/>
      <c r="C324" s="75"/>
      <c r="D324" s="75"/>
      <c r="E324" s="75"/>
      <c r="F324" s="75"/>
    </row>
    <row r="325" ht="15.0" customHeight="1">
      <c r="A325" s="75"/>
      <c r="B325" s="75"/>
      <c r="C325" s="75"/>
      <c r="D325" s="75"/>
      <c r="E325" s="75"/>
      <c r="F325" s="75"/>
    </row>
    <row r="326" ht="15.0" customHeight="1">
      <c r="A326" s="75"/>
      <c r="B326" s="75"/>
      <c r="C326" s="75"/>
      <c r="D326" s="75"/>
      <c r="E326" s="75"/>
      <c r="F326" s="75"/>
    </row>
    <row r="327" ht="15.0" customHeight="1">
      <c r="A327" s="75"/>
      <c r="B327" s="75"/>
      <c r="C327" s="75"/>
      <c r="D327" s="75"/>
      <c r="E327" s="75"/>
      <c r="F327" s="75"/>
    </row>
    <row r="328" ht="15.0" customHeight="1">
      <c r="A328" s="75"/>
      <c r="B328" s="75"/>
      <c r="C328" s="75"/>
      <c r="D328" s="75"/>
      <c r="E328" s="75"/>
      <c r="F328" s="75"/>
    </row>
    <row r="329" ht="15.0" customHeight="1">
      <c r="A329" s="75"/>
      <c r="B329" s="75"/>
      <c r="C329" s="75"/>
      <c r="D329" s="75"/>
      <c r="E329" s="75"/>
      <c r="F329" s="75"/>
    </row>
    <row r="330" ht="15.0" customHeight="1">
      <c r="A330" s="75"/>
      <c r="B330" s="75"/>
      <c r="C330" s="75"/>
      <c r="D330" s="75"/>
      <c r="E330" s="75"/>
      <c r="F330" s="75"/>
    </row>
    <row r="331" ht="15.0" customHeight="1">
      <c r="A331" s="75"/>
      <c r="B331" s="75"/>
      <c r="C331" s="75"/>
      <c r="D331" s="75"/>
      <c r="E331" s="75"/>
      <c r="F331" s="75"/>
    </row>
    <row r="332" ht="15.0" customHeight="1">
      <c r="A332" s="75"/>
      <c r="B332" s="75"/>
      <c r="C332" s="75"/>
      <c r="D332" s="75"/>
      <c r="E332" s="75"/>
      <c r="F332" s="75"/>
    </row>
    <row r="333" ht="18.0" customHeight="1">
      <c r="A333" s="48" t="str">
        <f>IFERROR(IF((ISERROR(FIND("-P",Relaciones!A312))),"",IF(Relaciones!A312="","",Relaciones!A312)),"")</f>
        <v/>
      </c>
      <c r="B333" s="48" t="str">
        <f>IFERROR(IF((ISERROR(FIND("-P",Relaciones!A312))),"",IF(Relaciones!D312="","",Relaciones!D312)),"")</f>
        <v/>
      </c>
      <c r="C333" s="76" t="str">
        <f>IFERROR(IF((ISERROR(FIND("-P",Relaciones!A312))),"",IF(Relaciones!G312="","",Relaciones!G312)),"")</f>
        <v/>
      </c>
      <c r="D333" s="47" t="str">
        <f>IFERROR(IF((ISERROR(FIND("-P",Relaciones!A312))),"",IF(Relaciones!H312="","",Relaciones!H312)),"")</f>
        <v/>
      </c>
      <c r="E333" s="47" t="str">
        <f>IFERROR(IF((ISERROR(FIND("-P",Relaciones!A312))),"",IF(Relaciones!I312="","",Relaciones!I312)),"")</f>
        <v/>
      </c>
      <c r="F333" s="75"/>
    </row>
    <row r="334" ht="18.0" customHeight="1">
      <c r="A334" s="45" t="str">
        <f>IFERROR(IF((ISERROR(FIND("-P",Relaciones!A313))),"",IF(Relaciones!A313="","",Relaciones!A313)),"")</f>
        <v/>
      </c>
      <c r="B334" s="45" t="str">
        <f>IFERROR(IF((ISERROR(FIND("-P",Relaciones!A313))),"",IF(Relaciones!D313="","",Relaciones!D313)),"")</f>
        <v/>
      </c>
      <c r="C334" s="77" t="str">
        <f>IFERROR(IF((ISERROR(FIND("-P",Relaciones!A313))),"",IF(Relaciones!G313="","",Relaciones!G313)),"")</f>
        <v/>
      </c>
      <c r="D334" s="44" t="str">
        <f>IFERROR(IF((ISERROR(FIND("-P",Relaciones!A313))),"",IF(Relaciones!H313="","",Relaciones!H313)),"")</f>
        <v/>
      </c>
      <c r="E334" s="44" t="str">
        <f>IFERROR(IF((ISERROR(FIND("-P",Relaciones!A313))),"",IF(Relaciones!I313="","",Relaciones!I313)),"")</f>
        <v/>
      </c>
      <c r="F334" s="75"/>
    </row>
    <row r="335" ht="18.0" customHeight="1">
      <c r="A335" s="48" t="str">
        <f>IFERROR(IF((ISERROR(FIND("-P",Relaciones!A314))),"",IF(Relaciones!A314="","",Relaciones!A314)),"")</f>
        <v/>
      </c>
      <c r="B335" s="48" t="str">
        <f>IFERROR(IF((ISERROR(FIND("-P",Relaciones!A314))),"",IF(Relaciones!D314="","",Relaciones!D314)),"")</f>
        <v/>
      </c>
      <c r="C335" s="76" t="str">
        <f>IFERROR(IF((ISERROR(FIND("-P",Relaciones!A314))),"",IF(Relaciones!G314="","",Relaciones!G314)),"")</f>
        <v/>
      </c>
      <c r="D335" s="47" t="str">
        <f>IFERROR(IF((ISERROR(FIND("-P",Relaciones!A314))),"",IF(Relaciones!H314="","",Relaciones!H314)),"")</f>
        <v/>
      </c>
      <c r="E335" s="47" t="str">
        <f>IFERROR(IF((ISERROR(FIND("-P",Relaciones!A314))),"",IF(Relaciones!I314="","",Relaciones!I314)),"")</f>
        <v/>
      </c>
      <c r="F335" s="75"/>
    </row>
    <row r="336" ht="18.0" customHeight="1">
      <c r="A336" s="45" t="str">
        <f>IFERROR(IF((ISERROR(FIND("-P",Relaciones!A315))),"",IF(Relaciones!A315="","",Relaciones!A315)),"")</f>
        <v/>
      </c>
      <c r="B336" s="45" t="str">
        <f>IFERROR(IF((ISERROR(FIND("-P",Relaciones!A315))),"",IF(Relaciones!D315="","",Relaciones!D315)),"")</f>
        <v/>
      </c>
      <c r="C336" s="77" t="str">
        <f>IFERROR(IF((ISERROR(FIND("-P",Relaciones!A315))),"",IF(Relaciones!G315="","",Relaciones!G315)),"")</f>
        <v/>
      </c>
      <c r="D336" s="44" t="str">
        <f>IFERROR(IF((ISERROR(FIND("-P",Relaciones!A315))),"",IF(Relaciones!H315="","",Relaciones!H315)),"")</f>
        <v/>
      </c>
      <c r="E336" s="44" t="str">
        <f>IFERROR(IF((ISERROR(FIND("-P",Relaciones!A315))),"",IF(Relaciones!I315="","",Relaciones!I315)),"")</f>
        <v/>
      </c>
      <c r="F336" s="75"/>
    </row>
    <row r="337" ht="18.0" customHeight="1">
      <c r="A337" s="48" t="str">
        <f>IFERROR(IF((ISERROR(FIND("-P",Relaciones!A316))),"",IF(Relaciones!A316="","",Relaciones!A316)),"")</f>
        <v/>
      </c>
      <c r="B337" s="48" t="str">
        <f>IFERROR(IF((ISERROR(FIND("-P",Relaciones!A316))),"",IF(Relaciones!D316="","",Relaciones!D316)),"")</f>
        <v/>
      </c>
      <c r="C337" s="76" t="str">
        <f>IFERROR(IF((ISERROR(FIND("-P",Relaciones!A316))),"",IF(Relaciones!G316="","",Relaciones!G316)),"")</f>
        <v/>
      </c>
      <c r="D337" s="47" t="str">
        <f>IFERROR(IF((ISERROR(FIND("-P",Relaciones!A316))),"",IF(Relaciones!H316="","",Relaciones!H316)),"")</f>
        <v/>
      </c>
      <c r="E337" s="47" t="str">
        <f>IFERROR(IF((ISERROR(FIND("-P",Relaciones!A316))),"",IF(Relaciones!I316="","",Relaciones!I316)),"")</f>
        <v/>
      </c>
      <c r="F337" s="75"/>
    </row>
    <row r="338" ht="18.0" customHeight="1">
      <c r="A338" s="45" t="str">
        <f>IFERROR(IF((ISERROR(FIND("-P",Relaciones!A317))),"",IF(Relaciones!A317="","",Relaciones!A317)),"")</f>
        <v/>
      </c>
      <c r="B338" s="45" t="str">
        <f>IFERROR(IF((ISERROR(FIND("-P",Relaciones!A317))),"",IF(Relaciones!D317="","",Relaciones!D317)),"")</f>
        <v/>
      </c>
      <c r="C338" s="77" t="str">
        <f>IFERROR(IF((ISERROR(FIND("-P",Relaciones!A317))),"",IF(Relaciones!G317="","",Relaciones!G317)),"")</f>
        <v/>
      </c>
      <c r="D338" s="44" t="str">
        <f>IFERROR(IF((ISERROR(FIND("-P",Relaciones!A317))),"",IF(Relaciones!H317="","",Relaciones!H317)),"")</f>
        <v/>
      </c>
      <c r="E338" s="44" t="str">
        <f>IFERROR(IF((ISERROR(FIND("-P",Relaciones!A317))),"",IF(Relaciones!I317="","",Relaciones!I317)),"")</f>
        <v/>
      </c>
      <c r="F338" s="75"/>
    </row>
    <row r="339" ht="18.0" customHeight="1">
      <c r="A339" s="48" t="str">
        <f>IFERROR(IF((ISERROR(FIND("-P",Relaciones!A318))),"",IF(Relaciones!A318="","",Relaciones!A318)),"")</f>
        <v/>
      </c>
      <c r="B339" s="48" t="str">
        <f>IFERROR(IF((ISERROR(FIND("-P",Relaciones!A318))),"",IF(Relaciones!D318="","",Relaciones!D318)),"")</f>
        <v/>
      </c>
      <c r="C339" s="76" t="str">
        <f>IFERROR(IF((ISERROR(FIND("-P",Relaciones!A318))),"",IF(Relaciones!G318="","",Relaciones!G318)),"")</f>
        <v/>
      </c>
      <c r="D339" s="47" t="str">
        <f>IFERROR(IF((ISERROR(FIND("-P",Relaciones!A318))),"",IF(Relaciones!H318="","",Relaciones!H318)),"")</f>
        <v/>
      </c>
      <c r="E339" s="47" t="str">
        <f>IFERROR(IF((ISERROR(FIND("-P",Relaciones!A318))),"",IF(Relaciones!I318="","",Relaciones!I318)),"")</f>
        <v/>
      </c>
      <c r="F339" s="75"/>
    </row>
    <row r="340" ht="18.0" customHeight="1">
      <c r="A340" s="45" t="str">
        <f>IFERROR(IF((ISERROR(FIND("-P",Relaciones!A319))),"",IF(Relaciones!A319="","",Relaciones!A319)),"")</f>
        <v/>
      </c>
      <c r="B340" s="45" t="str">
        <f>IFERROR(IF((ISERROR(FIND("-P",Relaciones!A319))),"",IF(Relaciones!D319="","",Relaciones!D319)),"")</f>
        <v/>
      </c>
      <c r="C340" s="77" t="str">
        <f>IFERROR(IF((ISERROR(FIND("-P",Relaciones!A319))),"",IF(Relaciones!G319="","",Relaciones!G319)),"")</f>
        <v/>
      </c>
      <c r="D340" s="44" t="str">
        <f>IFERROR(IF((ISERROR(FIND("-P",Relaciones!A319))),"",IF(Relaciones!H319="","",Relaciones!H319)),"")</f>
        <v/>
      </c>
      <c r="E340" s="44" t="str">
        <f>IFERROR(IF((ISERROR(FIND("-P",Relaciones!A319))),"",IF(Relaciones!I319="","",Relaciones!I319)),"")</f>
        <v/>
      </c>
      <c r="F340" s="75"/>
    </row>
    <row r="341" ht="18.0" customHeight="1">
      <c r="A341" s="48" t="str">
        <f>IFERROR(IF((ISERROR(FIND("-P",Relaciones!A320))),"",IF(Relaciones!A320="","",Relaciones!A320)),"")</f>
        <v/>
      </c>
      <c r="B341" s="48" t="str">
        <f>IFERROR(IF((ISERROR(FIND("-P",Relaciones!A320))),"",IF(Relaciones!D320="","",Relaciones!D320)),"")</f>
        <v/>
      </c>
      <c r="C341" s="76" t="str">
        <f>IFERROR(IF((ISERROR(FIND("-P",Relaciones!A320))),"",IF(Relaciones!G320="","",Relaciones!G320)),"")</f>
        <v/>
      </c>
      <c r="D341" s="47" t="str">
        <f>IFERROR(IF((ISERROR(FIND("-P",Relaciones!A320))),"",IF(Relaciones!H320="","",Relaciones!H320)),"")</f>
        <v/>
      </c>
      <c r="E341" s="47" t="str">
        <f>IFERROR(IF((ISERROR(FIND("-P",Relaciones!A320))),"",IF(Relaciones!I320="","",Relaciones!I320)),"")</f>
        <v/>
      </c>
      <c r="F341" s="75"/>
    </row>
    <row r="342" ht="18.0" customHeight="1">
      <c r="A342" s="45" t="str">
        <f>IFERROR(IF((ISERROR(FIND("-P",Relaciones!A321))),"",IF(Relaciones!A321="","",Relaciones!A321)),"")</f>
        <v/>
      </c>
      <c r="B342" s="45" t="str">
        <f>IFERROR(IF((ISERROR(FIND("-P",Relaciones!A321))),"",IF(Relaciones!D321="","",Relaciones!D321)),"")</f>
        <v/>
      </c>
      <c r="C342" s="77" t="str">
        <f>IFERROR(IF((ISERROR(FIND("-P",Relaciones!A321))),"",IF(Relaciones!G321="","",Relaciones!G321)),"")</f>
        <v/>
      </c>
      <c r="D342" s="44" t="str">
        <f>IFERROR(IF((ISERROR(FIND("-P",Relaciones!A321))),"",IF(Relaciones!H321="","",Relaciones!H321)),"")</f>
        <v/>
      </c>
      <c r="E342" s="44" t="str">
        <f>IFERROR(IF((ISERROR(FIND("-P",Relaciones!A321))),"",IF(Relaciones!I321="","",Relaciones!I321)),"")</f>
        <v/>
      </c>
      <c r="F342" s="75"/>
    </row>
    <row r="343" ht="18.0" customHeight="1">
      <c r="A343" s="48" t="str">
        <f>IFERROR(IF((ISERROR(FIND("-P",Relaciones!A322))),"",IF(Relaciones!A322="","",Relaciones!A322)),"")</f>
        <v/>
      </c>
      <c r="B343" s="48" t="str">
        <f>IFERROR(IF((ISERROR(FIND("-P",Relaciones!A322))),"",IF(Relaciones!D322="","",Relaciones!D322)),"")</f>
        <v/>
      </c>
      <c r="C343" s="76" t="str">
        <f>IFERROR(IF((ISERROR(FIND("-P",Relaciones!A322))),"",IF(Relaciones!G322="","",Relaciones!G322)),"")</f>
        <v/>
      </c>
      <c r="D343" s="47" t="str">
        <f>IFERROR(IF((ISERROR(FIND("-P",Relaciones!A322))),"",IF(Relaciones!H322="","",Relaciones!H322)),"")</f>
        <v/>
      </c>
      <c r="E343" s="47" t="str">
        <f>IFERROR(IF((ISERROR(FIND("-P",Relaciones!A322))),"",IF(Relaciones!I322="","",Relaciones!I322)),"")</f>
        <v/>
      </c>
      <c r="F343" s="75"/>
    </row>
    <row r="344" ht="18.0" customHeight="1">
      <c r="A344" s="45" t="str">
        <f>IFERROR(IF((ISERROR(FIND("-P",Relaciones!A323))),"",IF(Relaciones!A323="","",Relaciones!A323)),"")</f>
        <v/>
      </c>
      <c r="B344" s="45" t="str">
        <f>IFERROR(IF((ISERROR(FIND("-P",Relaciones!A323))),"",IF(Relaciones!D323="","",Relaciones!D323)),"")</f>
        <v/>
      </c>
      <c r="C344" s="77" t="str">
        <f>IFERROR(IF((ISERROR(FIND("-P",Relaciones!A323))),"",IF(Relaciones!G323="","",Relaciones!G323)),"")</f>
        <v/>
      </c>
      <c r="D344" s="44" t="str">
        <f>IFERROR(IF((ISERROR(FIND("-P",Relaciones!A323))),"",IF(Relaciones!H323="","",Relaciones!H323)),"")</f>
        <v/>
      </c>
      <c r="E344" s="44" t="str">
        <f>IFERROR(IF((ISERROR(FIND("-P",Relaciones!A323))),"",IF(Relaciones!I323="","",Relaciones!I323)),"")</f>
        <v/>
      </c>
      <c r="F344" s="75"/>
    </row>
    <row r="345" ht="18.0" customHeight="1">
      <c r="A345" s="48" t="str">
        <f>IFERROR(IF((ISERROR(FIND("-P",Relaciones!A324))),"",IF(Relaciones!A324="","",Relaciones!A324)),"")</f>
        <v/>
      </c>
      <c r="B345" s="48" t="str">
        <f>IFERROR(IF((ISERROR(FIND("-P",Relaciones!A324))),"",IF(Relaciones!D324="","",Relaciones!D324)),"")</f>
        <v/>
      </c>
      <c r="C345" s="76" t="str">
        <f>IFERROR(IF((ISERROR(FIND("-P",Relaciones!A324))),"",IF(Relaciones!G324="","",Relaciones!G324)),"")</f>
        <v/>
      </c>
      <c r="D345" s="47" t="str">
        <f>IFERROR(IF((ISERROR(FIND("-P",Relaciones!A324))),"",IF(Relaciones!H324="","",Relaciones!H324)),"")</f>
        <v/>
      </c>
      <c r="E345" s="47" t="str">
        <f>IFERROR(IF((ISERROR(FIND("-P",Relaciones!A324))),"",IF(Relaciones!I324="","",Relaciones!I324)),"")</f>
        <v/>
      </c>
      <c r="F345" s="75"/>
    </row>
    <row r="346" ht="18.0" customHeight="1">
      <c r="A346" s="45" t="str">
        <f>IFERROR(IF((ISERROR(FIND("-P",Relaciones!A325))),"",IF(Relaciones!A325="","",Relaciones!A325)),"")</f>
        <v/>
      </c>
      <c r="B346" s="45" t="str">
        <f>IFERROR(IF((ISERROR(FIND("-P",Relaciones!A325))),"",IF(Relaciones!D325="","",Relaciones!D325)),"")</f>
        <v/>
      </c>
      <c r="C346" s="77" t="str">
        <f>IFERROR(IF((ISERROR(FIND("-P",Relaciones!A325))),"",IF(Relaciones!G325="","",Relaciones!G325)),"")</f>
        <v/>
      </c>
      <c r="D346" s="44" t="str">
        <f>IFERROR(IF((ISERROR(FIND("-P",Relaciones!A325))),"",IF(Relaciones!H325="","",Relaciones!H325)),"")</f>
        <v/>
      </c>
      <c r="E346" s="44" t="str">
        <f>IFERROR(IF((ISERROR(FIND("-P",Relaciones!A325))),"",IF(Relaciones!I325="","",Relaciones!I325)),"")</f>
        <v/>
      </c>
      <c r="F346" s="75"/>
    </row>
    <row r="347" ht="18.0" customHeight="1">
      <c r="A347" s="48" t="str">
        <f>IFERROR(IF((ISERROR(FIND("-P",Relaciones!A326))),"",IF(Relaciones!A326="","",Relaciones!A326)),"")</f>
        <v/>
      </c>
      <c r="B347" s="48" t="str">
        <f>IFERROR(IF((ISERROR(FIND("-P",Relaciones!A326))),"",IF(Relaciones!D326="","",Relaciones!D326)),"")</f>
        <v/>
      </c>
      <c r="C347" s="76" t="str">
        <f>IFERROR(IF((ISERROR(FIND("-P",Relaciones!A326))),"",IF(Relaciones!G326="","",Relaciones!G326)),"")</f>
        <v/>
      </c>
      <c r="D347" s="47" t="str">
        <f>IFERROR(IF((ISERROR(FIND("-P",Relaciones!A326))),"",IF(Relaciones!H326="","",Relaciones!H326)),"")</f>
        <v/>
      </c>
      <c r="E347" s="47" t="str">
        <f>IFERROR(IF((ISERROR(FIND("-P",Relaciones!A326))),"",IF(Relaciones!I326="","",Relaciones!I326)),"")</f>
        <v/>
      </c>
      <c r="F347" s="75"/>
    </row>
    <row r="348" ht="18.0" customHeight="1">
      <c r="A348" s="45" t="str">
        <f>IFERROR(IF((ISERROR(FIND("-P",Relaciones!A327))),"",IF(Relaciones!A327="","",Relaciones!A327)),"")</f>
        <v/>
      </c>
      <c r="B348" s="45" t="str">
        <f>IFERROR(IF((ISERROR(FIND("-P",Relaciones!A327))),"",IF(Relaciones!D327="","",Relaciones!D327)),"")</f>
        <v/>
      </c>
      <c r="C348" s="77" t="str">
        <f>IFERROR(IF((ISERROR(FIND("-P",Relaciones!A327))),"",IF(Relaciones!G327="","",Relaciones!G327)),"")</f>
        <v/>
      </c>
      <c r="D348" s="44" t="str">
        <f>IFERROR(IF((ISERROR(FIND("-P",Relaciones!A327))),"",IF(Relaciones!H327="","",Relaciones!H327)),"")</f>
        <v/>
      </c>
      <c r="E348" s="44" t="str">
        <f>IFERROR(IF((ISERROR(FIND("-P",Relaciones!A327))),"",IF(Relaciones!I327="","",Relaciones!I327)),"")</f>
        <v/>
      </c>
      <c r="F348" s="75"/>
    </row>
    <row r="349" ht="18.0" customHeight="1">
      <c r="A349" s="48" t="str">
        <f>IFERROR(IF((ISERROR(FIND("-P",Relaciones!A328))),"",IF(Relaciones!A328="","",Relaciones!A328)),"")</f>
        <v/>
      </c>
      <c r="B349" s="48" t="str">
        <f>IFERROR(IF((ISERROR(FIND("-P",Relaciones!A328))),"",IF(Relaciones!D328="","",Relaciones!D328)),"")</f>
        <v/>
      </c>
      <c r="C349" s="76" t="str">
        <f>IFERROR(IF((ISERROR(FIND("-P",Relaciones!A328))),"",IF(Relaciones!G328="","",Relaciones!G328)),"")</f>
        <v/>
      </c>
      <c r="D349" s="47" t="str">
        <f>IFERROR(IF((ISERROR(FIND("-P",Relaciones!A328))),"",IF(Relaciones!H328="","",Relaciones!H328)),"")</f>
        <v/>
      </c>
      <c r="E349" s="47" t="str">
        <f>IFERROR(IF((ISERROR(FIND("-P",Relaciones!A328))),"",IF(Relaciones!I328="","",Relaciones!I328)),"")</f>
        <v/>
      </c>
      <c r="F349" s="75"/>
    </row>
    <row r="350" ht="18.0" customHeight="1">
      <c r="A350" s="45" t="str">
        <f>IFERROR(IF((ISERROR(FIND("-P",Relaciones!A329))),"",IF(Relaciones!A329="","",Relaciones!A329)),"")</f>
        <v/>
      </c>
      <c r="B350" s="45" t="str">
        <f>IFERROR(IF((ISERROR(FIND("-P",Relaciones!A329))),"",IF(Relaciones!D329="","",Relaciones!D329)),"")</f>
        <v/>
      </c>
      <c r="C350" s="77" t="str">
        <f>IFERROR(IF((ISERROR(FIND("-P",Relaciones!A329))),"",IF(Relaciones!G329="","",Relaciones!G329)),"")</f>
        <v/>
      </c>
      <c r="D350" s="44" t="str">
        <f>IFERROR(IF((ISERROR(FIND("-P",Relaciones!A329))),"",IF(Relaciones!H329="","",Relaciones!H329)),"")</f>
        <v/>
      </c>
      <c r="E350" s="44" t="str">
        <f>IFERROR(IF((ISERROR(FIND("-P",Relaciones!A329))),"",IF(Relaciones!I329="","",Relaciones!I329)),"")</f>
        <v/>
      </c>
      <c r="F350" s="75"/>
    </row>
    <row r="351" ht="18.0" customHeight="1">
      <c r="A351" s="48" t="str">
        <f>IFERROR(IF((ISERROR(FIND("-P",Relaciones!A330))),"",IF(Relaciones!A330="","",Relaciones!A330)),"")</f>
        <v/>
      </c>
      <c r="B351" s="48" t="str">
        <f>IFERROR(IF((ISERROR(FIND("-P",Relaciones!A330))),"",IF(Relaciones!D330="","",Relaciones!D330)),"")</f>
        <v/>
      </c>
      <c r="C351" s="76" t="str">
        <f>IFERROR(IF((ISERROR(FIND("-P",Relaciones!A330))),"",IF(Relaciones!G330="","",Relaciones!G330)),"")</f>
        <v/>
      </c>
      <c r="D351" s="47" t="str">
        <f>IFERROR(IF((ISERROR(FIND("-P",Relaciones!A330))),"",IF(Relaciones!H330="","",Relaciones!H330)),"")</f>
        <v/>
      </c>
      <c r="E351" s="47" t="str">
        <f>IFERROR(IF((ISERROR(FIND("-P",Relaciones!A330))),"",IF(Relaciones!I330="","",Relaciones!I330)),"")</f>
        <v/>
      </c>
      <c r="F351" s="75"/>
    </row>
    <row r="352" ht="18.0" customHeight="1">
      <c r="A352" s="45" t="str">
        <f>IFERROR(IF((ISERROR(FIND("-P",Relaciones!A331))),"",IF(Relaciones!A331="","",Relaciones!A331)),"")</f>
        <v/>
      </c>
      <c r="B352" s="45" t="str">
        <f>IFERROR(IF((ISERROR(FIND("-P",Relaciones!A331))),"",IF(Relaciones!D331="","",Relaciones!D331)),"")</f>
        <v/>
      </c>
      <c r="C352" s="77" t="str">
        <f>IFERROR(IF((ISERROR(FIND("-P",Relaciones!A331))),"",IF(Relaciones!G331="","",Relaciones!G331)),"")</f>
        <v/>
      </c>
      <c r="D352" s="44" t="str">
        <f>IFERROR(IF((ISERROR(FIND("-P",Relaciones!A331))),"",IF(Relaciones!H331="","",Relaciones!H331)),"")</f>
        <v/>
      </c>
      <c r="E352" s="44" t="str">
        <f>IFERROR(IF((ISERROR(FIND("-P",Relaciones!A331))),"",IF(Relaciones!I331="","",Relaciones!I331)),"")</f>
        <v/>
      </c>
      <c r="F352" s="75"/>
    </row>
    <row r="353" ht="18.0" customHeight="1">
      <c r="A353" s="48" t="str">
        <f>IFERROR(IF((ISERROR(FIND("-P",Relaciones!A332))),"",IF(Relaciones!A332="","",Relaciones!A332)),"")</f>
        <v/>
      </c>
      <c r="B353" s="48" t="str">
        <f>IFERROR(IF((ISERROR(FIND("-P",Relaciones!A332))),"",IF(Relaciones!D332="","",Relaciones!D332)),"")</f>
        <v/>
      </c>
      <c r="C353" s="76" t="str">
        <f>IFERROR(IF((ISERROR(FIND("-P",Relaciones!A332))),"",IF(Relaciones!G332="","",Relaciones!G332)),"")</f>
        <v/>
      </c>
      <c r="D353" s="47" t="str">
        <f>IFERROR(IF((ISERROR(FIND("-P",Relaciones!A332))),"",IF(Relaciones!H332="","",Relaciones!H332)),"")</f>
        <v/>
      </c>
      <c r="E353" s="47" t="str">
        <f>IFERROR(IF((ISERROR(FIND("-P",Relaciones!A332))),"",IF(Relaciones!I332="","",Relaciones!I332)),"")</f>
        <v/>
      </c>
      <c r="F353" s="75"/>
    </row>
    <row r="354" ht="18.0" customHeight="1">
      <c r="A354" s="45" t="str">
        <f>IFERROR(IF((ISERROR(FIND("-P",Relaciones!A333))),"",IF(Relaciones!A333="","",Relaciones!A333)),"")</f>
        <v/>
      </c>
      <c r="B354" s="45" t="str">
        <f>IFERROR(IF((ISERROR(FIND("-P",Relaciones!A333))),"",IF(Relaciones!D333="","",Relaciones!D333)),"")</f>
        <v/>
      </c>
      <c r="C354" s="77" t="str">
        <f>IFERROR(IF((ISERROR(FIND("-P",Relaciones!A333))),"",IF(Relaciones!G333="","",Relaciones!G333)),"")</f>
        <v/>
      </c>
      <c r="D354" s="44" t="str">
        <f>IFERROR(IF((ISERROR(FIND("-P",Relaciones!A333))),"",IF(Relaciones!H333="","",Relaciones!H333)),"")</f>
        <v/>
      </c>
      <c r="E354" s="44" t="str">
        <f>IFERROR(IF((ISERROR(FIND("-P",Relaciones!A333))),"",IF(Relaciones!I333="","",Relaciones!I333)),"")</f>
        <v/>
      </c>
      <c r="F354" s="75"/>
    </row>
    <row r="355" ht="18.0" customHeight="1">
      <c r="A355" s="48" t="str">
        <f>IFERROR(IF((ISERROR(FIND("-P",Relaciones!A334))),"",IF(Relaciones!A334="","",Relaciones!A334)),"")</f>
        <v/>
      </c>
      <c r="B355" s="48" t="str">
        <f>IFERROR(IF((ISERROR(FIND("-P",Relaciones!A334))),"",IF(Relaciones!D334="","",Relaciones!D334)),"")</f>
        <v/>
      </c>
      <c r="C355" s="76" t="str">
        <f>IFERROR(IF((ISERROR(FIND("-P",Relaciones!A334))),"",IF(Relaciones!G334="","",Relaciones!G334)),"")</f>
        <v/>
      </c>
      <c r="D355" s="47" t="str">
        <f>IFERROR(IF((ISERROR(FIND("-P",Relaciones!A334))),"",IF(Relaciones!H334="","",Relaciones!H334)),"")</f>
        <v/>
      </c>
      <c r="E355" s="47" t="str">
        <f>IFERROR(IF((ISERROR(FIND("-P",Relaciones!A334))),"",IF(Relaciones!I334="","",Relaciones!I334)),"")</f>
        <v/>
      </c>
      <c r="F355" s="75"/>
    </row>
    <row r="356" ht="18.0" customHeight="1">
      <c r="A356" s="45" t="str">
        <f>IFERROR(IF((ISERROR(FIND("-P",Relaciones!A335))),"",IF(Relaciones!A335="","",Relaciones!A335)),"")</f>
        <v/>
      </c>
      <c r="B356" s="45" t="str">
        <f>IFERROR(IF((ISERROR(FIND("-P",Relaciones!A335))),"",IF(Relaciones!D335="","",Relaciones!D335)),"")</f>
        <v/>
      </c>
      <c r="C356" s="77" t="str">
        <f>IFERROR(IF((ISERROR(FIND("-P",Relaciones!A335))),"",IF(Relaciones!G335="","",Relaciones!G335)),"")</f>
        <v/>
      </c>
      <c r="D356" s="44" t="str">
        <f>IFERROR(IF((ISERROR(FIND("-P",Relaciones!A335))),"",IF(Relaciones!H335="","",Relaciones!H335)),"")</f>
        <v/>
      </c>
      <c r="E356" s="44" t="str">
        <f>IFERROR(IF((ISERROR(FIND("-P",Relaciones!A335))),"",IF(Relaciones!I335="","",Relaciones!I335)),"")</f>
        <v/>
      </c>
      <c r="F356" s="75"/>
    </row>
    <row r="357" ht="18.0" customHeight="1">
      <c r="A357" s="48" t="str">
        <f>IFERROR(IF((ISERROR(FIND("-P",Relaciones!A336))),"",IF(Relaciones!A336="","",Relaciones!A336)),"")</f>
        <v/>
      </c>
      <c r="B357" s="48" t="str">
        <f>IFERROR(IF((ISERROR(FIND("-P",Relaciones!A336))),"",IF(Relaciones!D336="","",Relaciones!D336)),"")</f>
        <v/>
      </c>
      <c r="C357" s="76" t="str">
        <f>IFERROR(IF((ISERROR(FIND("-P",Relaciones!A336))),"",IF(Relaciones!G336="","",Relaciones!G336)),"")</f>
        <v/>
      </c>
      <c r="D357" s="47" t="str">
        <f>IFERROR(IF((ISERROR(FIND("-P",Relaciones!A336))),"",IF(Relaciones!H336="","",Relaciones!H336)),"")</f>
        <v/>
      </c>
      <c r="E357" s="47" t="str">
        <f>IFERROR(IF((ISERROR(FIND("-P",Relaciones!A336))),"",IF(Relaciones!I336="","",Relaciones!I336)),"")</f>
        <v/>
      </c>
      <c r="F357" s="75"/>
    </row>
    <row r="358" ht="18.0" customHeight="1">
      <c r="A358" s="45" t="str">
        <f>IFERROR(IF((ISERROR(FIND("-P",Relaciones!A337))),"",IF(Relaciones!A337="","",Relaciones!A337)),"")</f>
        <v/>
      </c>
      <c r="B358" s="45" t="str">
        <f>IFERROR(IF((ISERROR(FIND("-P",Relaciones!A337))),"",IF(Relaciones!D337="","",Relaciones!D337)),"")</f>
        <v/>
      </c>
      <c r="C358" s="77" t="str">
        <f>IFERROR(IF((ISERROR(FIND("-P",Relaciones!A337))),"",IF(Relaciones!G337="","",Relaciones!G337)),"")</f>
        <v/>
      </c>
      <c r="D358" s="44" t="str">
        <f>IFERROR(IF((ISERROR(FIND("-P",Relaciones!A337))),"",IF(Relaciones!H337="","",Relaciones!H337)),"")</f>
        <v/>
      </c>
      <c r="E358" s="44" t="str">
        <f>IFERROR(IF((ISERROR(FIND("-P",Relaciones!A337))),"",IF(Relaciones!I337="","",Relaciones!I337)),"")</f>
        <v/>
      </c>
      <c r="F358" s="75"/>
    </row>
    <row r="359" ht="18.0" customHeight="1">
      <c r="A359" s="48" t="str">
        <f>IFERROR(IF((ISERROR(FIND("-P",Relaciones!A338))),"",IF(Relaciones!A338="","",Relaciones!A338)),"")</f>
        <v/>
      </c>
      <c r="B359" s="48" t="str">
        <f>IFERROR(IF((ISERROR(FIND("-P",Relaciones!A338))),"",IF(Relaciones!D338="","",Relaciones!D338)),"")</f>
        <v/>
      </c>
      <c r="C359" s="76" t="str">
        <f>IFERROR(IF((ISERROR(FIND("-P",Relaciones!A338))),"",IF(Relaciones!G338="","",Relaciones!G338)),"")</f>
        <v/>
      </c>
      <c r="D359" s="47" t="str">
        <f>IFERROR(IF((ISERROR(FIND("-P",Relaciones!A338))),"",IF(Relaciones!H338="","",Relaciones!H338)),"")</f>
        <v/>
      </c>
      <c r="E359" s="47" t="str">
        <f>IFERROR(IF((ISERROR(FIND("-P",Relaciones!A338))),"",IF(Relaciones!I338="","",Relaciones!I338)),"")</f>
        <v/>
      </c>
      <c r="F359" s="75"/>
    </row>
    <row r="360" ht="18.0" customHeight="1">
      <c r="A360" s="45" t="str">
        <f>IFERROR(IF((ISERROR(FIND("-P",Relaciones!A339))),"",IF(Relaciones!A339="","",Relaciones!A339)),"")</f>
        <v/>
      </c>
      <c r="B360" s="45" t="str">
        <f>IFERROR(IF((ISERROR(FIND("-P",Relaciones!A339))),"",IF(Relaciones!D339="","",Relaciones!D339)),"")</f>
        <v/>
      </c>
      <c r="C360" s="77" t="str">
        <f>IFERROR(IF((ISERROR(FIND("-P",Relaciones!A339))),"",IF(Relaciones!G339="","",Relaciones!G339)),"")</f>
        <v/>
      </c>
      <c r="D360" s="44" t="str">
        <f>IFERROR(IF((ISERROR(FIND("-P",Relaciones!A339))),"",IF(Relaciones!H339="","",Relaciones!H339)),"")</f>
        <v/>
      </c>
      <c r="E360" s="44" t="str">
        <f>IFERROR(IF((ISERROR(FIND("-P",Relaciones!A339))),"",IF(Relaciones!I339="","",Relaciones!I339)),"")</f>
        <v/>
      </c>
      <c r="F360" s="75"/>
    </row>
    <row r="361" ht="18.0" customHeight="1">
      <c r="A361" s="48" t="str">
        <f>IFERROR(IF((ISERROR(FIND("-P",Relaciones!A340))),"",IF(Relaciones!A340="","",Relaciones!A340)),"")</f>
        <v/>
      </c>
      <c r="B361" s="48" t="str">
        <f>IFERROR(IF((ISERROR(FIND("-P",Relaciones!A340))),"",IF(Relaciones!D340="","",Relaciones!D340)),"")</f>
        <v/>
      </c>
      <c r="C361" s="76" t="str">
        <f>IFERROR(IF((ISERROR(FIND("-P",Relaciones!A340))),"",IF(Relaciones!G340="","",Relaciones!G340)),"")</f>
        <v/>
      </c>
      <c r="D361" s="47" t="str">
        <f>IFERROR(IF((ISERROR(FIND("-P",Relaciones!A340))),"",IF(Relaciones!H340="","",Relaciones!H340)),"")</f>
        <v/>
      </c>
      <c r="E361" s="47" t="str">
        <f>IFERROR(IF((ISERROR(FIND("-P",Relaciones!A340))),"",IF(Relaciones!I340="","",Relaciones!I340)),"")</f>
        <v/>
      </c>
      <c r="F361" s="75"/>
    </row>
    <row r="362" ht="18.0" customHeight="1">
      <c r="A362" s="45" t="str">
        <f>IFERROR(IF((ISERROR(FIND("-P",Relaciones!A341))),"",IF(Relaciones!A341="","",Relaciones!A341)),"")</f>
        <v/>
      </c>
      <c r="B362" s="45" t="str">
        <f>IFERROR(IF((ISERROR(FIND("-P",Relaciones!A341))),"",IF(Relaciones!D341="","",Relaciones!D341)),"")</f>
        <v/>
      </c>
      <c r="C362" s="77" t="str">
        <f>IFERROR(IF((ISERROR(FIND("-P",Relaciones!A341))),"",IF(Relaciones!G341="","",Relaciones!G341)),"")</f>
        <v/>
      </c>
      <c r="D362" s="44" t="str">
        <f>IFERROR(IF((ISERROR(FIND("-P",Relaciones!A341))),"",IF(Relaciones!H341="","",Relaciones!H341)),"")</f>
        <v/>
      </c>
      <c r="E362" s="44" t="str">
        <f>IFERROR(IF((ISERROR(FIND("-P",Relaciones!A341))),"",IF(Relaciones!I341="","",Relaciones!I341)),"")</f>
        <v/>
      </c>
      <c r="F362" s="75"/>
    </row>
    <row r="363" ht="18.0" customHeight="1">
      <c r="A363" s="48" t="str">
        <f>IFERROR(IF((ISERROR(FIND("-P",Relaciones!A342))),"",IF(Relaciones!A342="","",Relaciones!A342)),"")</f>
        <v/>
      </c>
      <c r="B363" s="48" t="str">
        <f>IFERROR(IF((ISERROR(FIND("-P",Relaciones!A342))),"",IF(Relaciones!D342="","",Relaciones!D342)),"")</f>
        <v/>
      </c>
      <c r="C363" s="76" t="str">
        <f>IFERROR(IF((ISERROR(FIND("-P",Relaciones!A342))),"",IF(Relaciones!G342="","",Relaciones!G342)),"")</f>
        <v/>
      </c>
      <c r="D363" s="47" t="str">
        <f>IFERROR(IF((ISERROR(FIND("-P",Relaciones!A342))),"",IF(Relaciones!H342="","",Relaciones!H342)),"")</f>
        <v/>
      </c>
      <c r="E363" s="47" t="str">
        <f>IFERROR(IF((ISERROR(FIND("-P",Relaciones!A342))),"",IF(Relaciones!I342="","",Relaciones!I342)),"")</f>
        <v/>
      </c>
      <c r="F363" s="75"/>
    </row>
    <row r="364" ht="18.0" customHeight="1">
      <c r="A364" s="45" t="str">
        <f>IFERROR(IF((ISERROR(FIND("-P",Relaciones!A343))),"",IF(Relaciones!A343="","",Relaciones!A343)),"")</f>
        <v/>
      </c>
      <c r="B364" s="45" t="str">
        <f>IFERROR(IF((ISERROR(FIND("-P",Relaciones!A343))),"",IF(Relaciones!D343="","",Relaciones!D343)),"")</f>
        <v/>
      </c>
      <c r="C364" s="77" t="str">
        <f>IFERROR(IF((ISERROR(FIND("-P",Relaciones!A343))),"",IF(Relaciones!G343="","",Relaciones!G343)),"")</f>
        <v/>
      </c>
      <c r="D364" s="44" t="str">
        <f>IFERROR(IF((ISERROR(FIND("-P",Relaciones!A343))),"",IF(Relaciones!H343="","",Relaciones!H343)),"")</f>
        <v/>
      </c>
      <c r="E364" s="44" t="str">
        <f>IFERROR(IF((ISERROR(FIND("-P",Relaciones!A343))),"",IF(Relaciones!I343="","",Relaciones!I343)),"")</f>
        <v/>
      </c>
      <c r="F364" s="75"/>
    </row>
    <row r="365" ht="18.0" customHeight="1">
      <c r="A365" s="48" t="str">
        <f>IFERROR(IF((ISERROR(FIND("-P",Relaciones!A344))),"",IF(Relaciones!A344="","",Relaciones!A344)),"")</f>
        <v/>
      </c>
      <c r="B365" s="48" t="str">
        <f>IFERROR(IF((ISERROR(FIND("-P",Relaciones!A344))),"",IF(Relaciones!D344="","",Relaciones!D344)),"")</f>
        <v/>
      </c>
      <c r="C365" s="76" t="str">
        <f>IFERROR(IF((ISERROR(FIND("-P",Relaciones!A344))),"",IF(Relaciones!G344="","",Relaciones!G344)),"")</f>
        <v/>
      </c>
      <c r="D365" s="47" t="str">
        <f>IFERROR(IF((ISERROR(FIND("-P",Relaciones!A344))),"",IF(Relaciones!H344="","",Relaciones!H344)),"")</f>
        <v/>
      </c>
      <c r="E365" s="47" t="str">
        <f>IFERROR(IF((ISERROR(FIND("-P",Relaciones!A344))),"",IF(Relaciones!I344="","",Relaciones!I344)),"")</f>
        <v/>
      </c>
      <c r="F365" s="75"/>
    </row>
    <row r="366" ht="18.0" customHeight="1">
      <c r="A366" s="45" t="str">
        <f>IFERROR(IF((ISERROR(FIND("-P",Relaciones!A345))),"",IF(Relaciones!A345="","",Relaciones!A345)),"")</f>
        <v/>
      </c>
      <c r="B366" s="45" t="str">
        <f>IFERROR(IF((ISERROR(FIND("-P",Relaciones!A345))),"",IF(Relaciones!D345="","",Relaciones!D345)),"")</f>
        <v/>
      </c>
      <c r="C366" s="77" t="str">
        <f>IFERROR(IF((ISERROR(FIND("-P",Relaciones!A345))),"",IF(Relaciones!G345="","",Relaciones!G345)),"")</f>
        <v/>
      </c>
      <c r="D366" s="44" t="str">
        <f>IFERROR(IF((ISERROR(FIND("-P",Relaciones!A345))),"",IF(Relaciones!H345="","",Relaciones!H345)),"")</f>
        <v/>
      </c>
      <c r="E366" s="44" t="str">
        <f>IFERROR(IF((ISERROR(FIND("-P",Relaciones!A345))),"",IF(Relaciones!I345="","",Relaciones!I345)),"")</f>
        <v/>
      </c>
      <c r="F366" s="75"/>
    </row>
    <row r="367" ht="18.0" customHeight="1">
      <c r="A367" s="48" t="str">
        <f>IFERROR(IF((ISERROR(FIND("-P",Relaciones!A346))),"",IF(Relaciones!A346="","",Relaciones!A346)),"")</f>
        <v/>
      </c>
      <c r="B367" s="48" t="str">
        <f>IFERROR(IF((ISERROR(FIND("-P",Relaciones!A346))),"",IF(Relaciones!D346="","",Relaciones!D346)),"")</f>
        <v/>
      </c>
      <c r="C367" s="76" t="str">
        <f>IFERROR(IF((ISERROR(FIND("-P",Relaciones!A346))),"",IF(Relaciones!G346="","",Relaciones!G346)),"")</f>
        <v/>
      </c>
      <c r="D367" s="47" t="str">
        <f>IFERROR(IF((ISERROR(FIND("-P",Relaciones!A346))),"",IF(Relaciones!H346="","",Relaciones!H346)),"")</f>
        <v/>
      </c>
      <c r="E367" s="47" t="str">
        <f>IFERROR(IF((ISERROR(FIND("-P",Relaciones!A346))),"",IF(Relaciones!I346="","",Relaciones!I346)),"")</f>
        <v/>
      </c>
      <c r="F367" s="75"/>
    </row>
    <row r="368" ht="18.0" customHeight="1">
      <c r="A368" s="45" t="str">
        <f>IFERROR(IF((ISERROR(FIND("-P",Relaciones!A347))),"",IF(Relaciones!A347="","",Relaciones!A347)),"")</f>
        <v/>
      </c>
      <c r="B368" s="45" t="str">
        <f>IFERROR(IF((ISERROR(FIND("-P",Relaciones!A347))),"",IF(Relaciones!D347="","",Relaciones!D347)),"")</f>
        <v/>
      </c>
      <c r="C368" s="77" t="str">
        <f>IFERROR(IF((ISERROR(FIND("-P",Relaciones!A347))),"",IF(Relaciones!G347="","",Relaciones!G347)),"")</f>
        <v/>
      </c>
      <c r="D368" s="44" t="str">
        <f>IFERROR(IF((ISERROR(FIND("-P",Relaciones!A347))),"",IF(Relaciones!H347="","",Relaciones!H347)),"")</f>
        <v/>
      </c>
      <c r="E368" s="44" t="str">
        <f>IFERROR(IF((ISERROR(FIND("-P",Relaciones!A347))),"",IF(Relaciones!I347="","",Relaciones!I347)),"")</f>
        <v/>
      </c>
      <c r="F368" s="75"/>
    </row>
    <row r="369" ht="18.0" customHeight="1">
      <c r="A369" s="48" t="str">
        <f>IFERROR(IF((ISERROR(FIND("-P",Relaciones!A348))),"",IF(Relaciones!A348="","",Relaciones!A348)),"")</f>
        <v/>
      </c>
      <c r="B369" s="48" t="str">
        <f>IFERROR(IF((ISERROR(FIND("-P",Relaciones!A348))),"",IF(Relaciones!D348="","",Relaciones!D348)),"")</f>
        <v/>
      </c>
      <c r="C369" s="76" t="str">
        <f>IFERROR(IF((ISERROR(FIND("-P",Relaciones!A348))),"",IF(Relaciones!G348="","",Relaciones!G348)),"")</f>
        <v/>
      </c>
      <c r="D369" s="47" t="str">
        <f>IFERROR(IF((ISERROR(FIND("-P",Relaciones!A348))),"",IF(Relaciones!H348="","",Relaciones!H348)),"")</f>
        <v/>
      </c>
      <c r="E369" s="47" t="str">
        <f>IFERROR(IF((ISERROR(FIND("-P",Relaciones!A348))),"",IF(Relaciones!I348="","",Relaciones!I348)),"")</f>
        <v/>
      </c>
      <c r="F369" s="75"/>
    </row>
    <row r="370" ht="18.0" customHeight="1">
      <c r="A370" s="45" t="str">
        <f>IFERROR(IF((ISERROR(FIND("-P",Relaciones!A349))),"",IF(Relaciones!A349="","",Relaciones!A349)),"")</f>
        <v/>
      </c>
      <c r="B370" s="45" t="str">
        <f>IFERROR(IF((ISERROR(FIND("-P",Relaciones!A349))),"",IF(Relaciones!D349="","",Relaciones!D349)),"")</f>
        <v/>
      </c>
      <c r="C370" s="77" t="str">
        <f>IFERROR(IF((ISERROR(FIND("-P",Relaciones!A349))),"",IF(Relaciones!G349="","",Relaciones!G349)),"")</f>
        <v/>
      </c>
      <c r="D370" s="44" t="str">
        <f>IFERROR(IF((ISERROR(FIND("-P",Relaciones!A349))),"",IF(Relaciones!H349="","",Relaciones!H349)),"")</f>
        <v/>
      </c>
      <c r="E370" s="44" t="str">
        <f>IFERROR(IF((ISERROR(FIND("-P",Relaciones!A349))),"",IF(Relaciones!I349="","",Relaciones!I349)),"")</f>
        <v/>
      </c>
      <c r="F370" s="75"/>
    </row>
    <row r="371" ht="18.0" customHeight="1">
      <c r="A371" s="48" t="str">
        <f>IFERROR(IF((ISERROR(FIND("-P",Relaciones!A350))),"",IF(Relaciones!A350="","",Relaciones!A350)),"")</f>
        <v/>
      </c>
      <c r="B371" s="48" t="str">
        <f>IFERROR(IF((ISERROR(FIND("-P",Relaciones!A350))),"",IF(Relaciones!D350="","",Relaciones!D350)),"")</f>
        <v/>
      </c>
      <c r="C371" s="76" t="str">
        <f>IFERROR(IF((ISERROR(FIND("-P",Relaciones!A350))),"",IF(Relaciones!G350="","",Relaciones!G350)),"")</f>
        <v/>
      </c>
      <c r="D371" s="47" t="str">
        <f>IFERROR(IF((ISERROR(FIND("-P",Relaciones!A350))),"",IF(Relaciones!H350="","",Relaciones!H350)),"")</f>
        <v/>
      </c>
      <c r="E371" s="47" t="str">
        <f>IFERROR(IF((ISERROR(FIND("-P",Relaciones!A350))),"",IF(Relaciones!I350="","",Relaciones!I350)),"")</f>
        <v/>
      </c>
      <c r="F371" s="75"/>
    </row>
    <row r="372" ht="18.0" customHeight="1">
      <c r="A372" s="45" t="str">
        <f>IFERROR(IF((ISERROR(FIND("-P",Relaciones!A351))),"",IF(Relaciones!A351="","",Relaciones!A351)),"")</f>
        <v/>
      </c>
      <c r="B372" s="45" t="str">
        <f>IFERROR(IF((ISERROR(FIND("-P",Relaciones!A351))),"",IF(Relaciones!D351="","",Relaciones!D351)),"")</f>
        <v/>
      </c>
      <c r="C372" s="77" t="str">
        <f>IFERROR(IF((ISERROR(FIND("-P",Relaciones!A351))),"",IF(Relaciones!G351="","",Relaciones!G351)),"")</f>
        <v/>
      </c>
      <c r="D372" s="44" t="str">
        <f>IFERROR(IF((ISERROR(FIND("-P",Relaciones!A351))),"",IF(Relaciones!H351="","",Relaciones!H351)),"")</f>
        <v/>
      </c>
      <c r="E372" s="44" t="str">
        <f>IFERROR(IF((ISERROR(FIND("-P",Relaciones!A351))),"",IF(Relaciones!I351="","",Relaciones!I351)),"")</f>
        <v/>
      </c>
      <c r="F372" s="75"/>
    </row>
    <row r="373" ht="18.0" customHeight="1">
      <c r="A373" s="48" t="str">
        <f>IFERROR(IF((ISERROR(FIND("-P",Relaciones!A352))),"",IF(Relaciones!A352="","",Relaciones!A352)),"")</f>
        <v/>
      </c>
      <c r="B373" s="48" t="str">
        <f>IFERROR(IF((ISERROR(FIND("-P",Relaciones!A352))),"",IF(Relaciones!D352="","",Relaciones!D352)),"")</f>
        <v/>
      </c>
      <c r="C373" s="76" t="str">
        <f>IFERROR(IF((ISERROR(FIND("-P",Relaciones!A352))),"",IF(Relaciones!G352="","",Relaciones!G352)),"")</f>
        <v/>
      </c>
      <c r="D373" s="47" t="str">
        <f>IFERROR(IF((ISERROR(FIND("-P",Relaciones!A352))),"",IF(Relaciones!H352="","",Relaciones!H352)),"")</f>
        <v/>
      </c>
      <c r="E373" s="47" t="str">
        <f>IFERROR(IF((ISERROR(FIND("-P",Relaciones!A352))),"",IF(Relaciones!I352="","",Relaciones!I352)),"")</f>
        <v/>
      </c>
      <c r="F373" s="75"/>
    </row>
    <row r="374" ht="18.0" customHeight="1">
      <c r="A374" s="45" t="str">
        <f>IFERROR(IF((ISERROR(FIND("-P",Relaciones!A353))),"",IF(Relaciones!A353="","",Relaciones!A353)),"")</f>
        <v/>
      </c>
      <c r="B374" s="45" t="str">
        <f>IFERROR(IF((ISERROR(FIND("-P",Relaciones!A353))),"",IF(Relaciones!D353="","",Relaciones!D353)),"")</f>
        <v/>
      </c>
      <c r="C374" s="77" t="str">
        <f>IFERROR(IF((ISERROR(FIND("-P",Relaciones!A353))),"",IF(Relaciones!G353="","",Relaciones!G353)),"")</f>
        <v/>
      </c>
      <c r="D374" s="44" t="str">
        <f>IFERROR(IF((ISERROR(FIND("-P",Relaciones!A353))),"",IF(Relaciones!H353="","",Relaciones!H353)),"")</f>
        <v/>
      </c>
      <c r="E374" s="44" t="str">
        <f>IFERROR(IF((ISERROR(FIND("-P",Relaciones!A353))),"",IF(Relaciones!I353="","",Relaciones!I353)),"")</f>
        <v/>
      </c>
      <c r="F374" s="75"/>
    </row>
    <row r="375" ht="18.0" customHeight="1">
      <c r="A375" s="48" t="str">
        <f>IFERROR(IF((ISERROR(FIND("-P",Relaciones!A354))),"",IF(Relaciones!A354="","",Relaciones!A354)),"")</f>
        <v/>
      </c>
      <c r="B375" s="48" t="str">
        <f>IFERROR(IF((ISERROR(FIND("-P",Relaciones!A354))),"",IF(Relaciones!D354="","",Relaciones!D354)),"")</f>
        <v/>
      </c>
      <c r="C375" s="76" t="str">
        <f>IFERROR(IF((ISERROR(FIND("-P",Relaciones!A354))),"",IF(Relaciones!G354="","",Relaciones!G354)),"")</f>
        <v/>
      </c>
      <c r="D375" s="47" t="str">
        <f>IFERROR(IF((ISERROR(FIND("-P",Relaciones!A354))),"",IF(Relaciones!H354="","",Relaciones!H354)),"")</f>
        <v/>
      </c>
      <c r="E375" s="47" t="str">
        <f>IFERROR(IF((ISERROR(FIND("-P",Relaciones!A354))),"",IF(Relaciones!I354="","",Relaciones!I354)),"")</f>
        <v/>
      </c>
      <c r="F375" s="75"/>
    </row>
    <row r="376" ht="18.0" customHeight="1">
      <c r="A376" s="45" t="str">
        <f>IFERROR(IF((ISERROR(FIND("-P",Relaciones!A355))),"",IF(Relaciones!A355="","",Relaciones!A355)),"")</f>
        <v/>
      </c>
      <c r="B376" s="45" t="str">
        <f>IFERROR(IF((ISERROR(FIND("-P",Relaciones!A355))),"",IF(Relaciones!D355="","",Relaciones!D355)),"")</f>
        <v/>
      </c>
      <c r="C376" s="77" t="str">
        <f>IFERROR(IF((ISERROR(FIND("-P",Relaciones!A355))),"",IF(Relaciones!G355="","",Relaciones!G355)),"")</f>
        <v/>
      </c>
      <c r="D376" s="44" t="str">
        <f>IFERROR(IF((ISERROR(FIND("-P",Relaciones!A355))),"",IF(Relaciones!H355="","",Relaciones!H355)),"")</f>
        <v/>
      </c>
      <c r="E376" s="44" t="str">
        <f>IFERROR(IF((ISERROR(FIND("-P",Relaciones!A355))),"",IF(Relaciones!I355="","",Relaciones!I355)),"")</f>
        <v/>
      </c>
      <c r="F376" s="75"/>
    </row>
    <row r="377" ht="18.0" customHeight="1">
      <c r="A377" s="48" t="str">
        <f>IFERROR(IF((ISERROR(FIND("-P",Relaciones!A356))),"",IF(Relaciones!A356="","",Relaciones!A356)),"")</f>
        <v/>
      </c>
      <c r="B377" s="48" t="str">
        <f>IFERROR(IF((ISERROR(FIND("-P",Relaciones!A356))),"",IF(Relaciones!D356="","",Relaciones!D356)),"")</f>
        <v/>
      </c>
      <c r="C377" s="76" t="str">
        <f>IFERROR(IF((ISERROR(FIND("-P",Relaciones!A356))),"",IF(Relaciones!G356="","",Relaciones!G356)),"")</f>
        <v/>
      </c>
      <c r="D377" s="47" t="str">
        <f>IFERROR(IF((ISERROR(FIND("-P",Relaciones!A356))),"",IF(Relaciones!H356="","",Relaciones!H356)),"")</f>
        <v/>
      </c>
      <c r="E377" s="47" t="str">
        <f>IFERROR(IF((ISERROR(FIND("-P",Relaciones!A356))),"",IF(Relaciones!I356="","",Relaciones!I356)),"")</f>
        <v/>
      </c>
      <c r="F377" s="75"/>
    </row>
    <row r="378" ht="18.0" customHeight="1">
      <c r="A378" s="45" t="str">
        <f>IFERROR(IF((ISERROR(FIND("-P",Relaciones!A357))),"",IF(Relaciones!A357="","",Relaciones!A357)),"")</f>
        <v/>
      </c>
      <c r="B378" s="45" t="str">
        <f>IFERROR(IF((ISERROR(FIND("-P",Relaciones!A357))),"",IF(Relaciones!D357="","",Relaciones!D357)),"")</f>
        <v/>
      </c>
      <c r="C378" s="77" t="str">
        <f>IFERROR(IF((ISERROR(FIND("-P",Relaciones!A357))),"",IF(Relaciones!G357="","",Relaciones!G357)),"")</f>
        <v/>
      </c>
      <c r="D378" s="44" t="str">
        <f>IFERROR(IF((ISERROR(FIND("-P",Relaciones!A357))),"",IF(Relaciones!H357="","",Relaciones!H357)),"")</f>
        <v/>
      </c>
      <c r="E378" s="44" t="str">
        <f>IFERROR(IF((ISERROR(FIND("-P",Relaciones!A357))),"",IF(Relaciones!I357="","",Relaciones!I357)),"")</f>
        <v/>
      </c>
      <c r="F378" s="75"/>
    </row>
    <row r="379" ht="18.0" customHeight="1">
      <c r="A379" s="48" t="str">
        <f>IFERROR(IF((ISERROR(FIND("-P",Relaciones!A358))),"",IF(Relaciones!A358="","",Relaciones!A358)),"")</f>
        <v/>
      </c>
      <c r="B379" s="48" t="str">
        <f>IFERROR(IF((ISERROR(FIND("-P",Relaciones!A358))),"",IF(Relaciones!D358="","",Relaciones!D358)),"")</f>
        <v/>
      </c>
      <c r="C379" s="76" t="str">
        <f>IFERROR(IF((ISERROR(FIND("-P",Relaciones!A358))),"",IF(Relaciones!G358="","",Relaciones!G358)),"")</f>
        <v/>
      </c>
      <c r="D379" s="47" t="str">
        <f>IFERROR(IF((ISERROR(FIND("-P",Relaciones!A358))),"",IF(Relaciones!H358="","",Relaciones!H358)),"")</f>
        <v/>
      </c>
      <c r="E379" s="47" t="str">
        <f>IFERROR(IF((ISERROR(FIND("-P",Relaciones!A358))),"",IF(Relaciones!I358="","",Relaciones!I358)),"")</f>
        <v/>
      </c>
      <c r="F379" s="75"/>
    </row>
    <row r="380" ht="18.0" customHeight="1">
      <c r="A380" s="45" t="str">
        <f>IFERROR(IF((ISERROR(FIND("-P",Relaciones!A359))),"",IF(Relaciones!A359="","",Relaciones!A359)),"")</f>
        <v/>
      </c>
      <c r="B380" s="45" t="str">
        <f>IFERROR(IF((ISERROR(FIND("-P",Relaciones!A359))),"",IF(Relaciones!D359="","",Relaciones!D359)),"")</f>
        <v/>
      </c>
      <c r="C380" s="77" t="str">
        <f>IFERROR(IF((ISERROR(FIND("-P",Relaciones!A359))),"",IF(Relaciones!G359="","",Relaciones!G359)),"")</f>
        <v/>
      </c>
      <c r="D380" s="44" t="str">
        <f>IFERROR(IF((ISERROR(FIND("-P",Relaciones!A359))),"",IF(Relaciones!H359="","",Relaciones!H359)),"")</f>
        <v/>
      </c>
      <c r="E380" s="44" t="str">
        <f>IFERROR(IF((ISERROR(FIND("-P",Relaciones!A359))),"",IF(Relaciones!I359="","",Relaciones!I359)),"")</f>
        <v/>
      </c>
      <c r="F380" s="75"/>
    </row>
    <row r="381" ht="18.0" customHeight="1">
      <c r="A381" s="48" t="str">
        <f>IFERROR(IF((ISERROR(FIND("-P",Relaciones!A360))),"",IF(Relaciones!A360="","",Relaciones!A360)),"")</f>
        <v/>
      </c>
      <c r="B381" s="48" t="str">
        <f>IFERROR(IF((ISERROR(FIND("-P",Relaciones!A360))),"",IF(Relaciones!D360="","",Relaciones!D360)),"")</f>
        <v/>
      </c>
      <c r="C381" s="76" t="str">
        <f>IFERROR(IF((ISERROR(FIND("-P",Relaciones!A360))),"",IF(Relaciones!G360="","",Relaciones!G360)),"")</f>
        <v/>
      </c>
      <c r="D381" s="47" t="str">
        <f>IFERROR(IF((ISERROR(FIND("-P",Relaciones!A360))),"",IF(Relaciones!H360="","",Relaciones!H360)),"")</f>
        <v/>
      </c>
      <c r="E381" s="47" t="str">
        <f>IFERROR(IF((ISERROR(FIND("-P",Relaciones!A360))),"",IF(Relaciones!I360="","",Relaciones!I360)),"")</f>
        <v/>
      </c>
      <c r="F381" s="75"/>
    </row>
    <row r="382" ht="18.0" customHeight="1">
      <c r="A382" s="45" t="str">
        <f>IFERROR(IF((ISERROR(FIND("-P",Relaciones!A361))),"",IF(Relaciones!A361="","",Relaciones!A361)),"")</f>
        <v/>
      </c>
      <c r="B382" s="45" t="str">
        <f>IFERROR(IF((ISERROR(FIND("-P",Relaciones!A361))),"",IF(Relaciones!D361="","",Relaciones!D361)),"")</f>
        <v/>
      </c>
      <c r="C382" s="77" t="str">
        <f>IFERROR(IF((ISERROR(FIND("-P",Relaciones!A361))),"",IF(Relaciones!G361="","",Relaciones!G361)),"")</f>
        <v/>
      </c>
      <c r="D382" s="44" t="str">
        <f>IFERROR(IF((ISERROR(FIND("-P",Relaciones!A361))),"",IF(Relaciones!H361="","",Relaciones!H361)),"")</f>
        <v/>
      </c>
      <c r="E382" s="44" t="str">
        <f>IFERROR(IF((ISERROR(FIND("-P",Relaciones!A361))),"",IF(Relaciones!I361="","",Relaciones!I361)),"")</f>
        <v/>
      </c>
      <c r="F382" s="75"/>
    </row>
    <row r="383" ht="18.0" customHeight="1">
      <c r="A383" s="48" t="str">
        <f>IFERROR(IF((ISERROR(FIND("-P",Relaciones!A362))),"",IF(Relaciones!A362="","",Relaciones!A362)),"")</f>
        <v/>
      </c>
      <c r="B383" s="48" t="str">
        <f>IFERROR(IF((ISERROR(FIND("-P",Relaciones!A362))),"",IF(Relaciones!D362="","",Relaciones!D362)),"")</f>
        <v/>
      </c>
      <c r="C383" s="76" t="str">
        <f>IFERROR(IF((ISERROR(FIND("-P",Relaciones!A362))),"",IF(Relaciones!G362="","",Relaciones!G362)),"")</f>
        <v/>
      </c>
      <c r="D383" s="47" t="str">
        <f>IFERROR(IF((ISERROR(FIND("-P",Relaciones!A362))),"",IF(Relaciones!H362="","",Relaciones!H362)),"")</f>
        <v/>
      </c>
      <c r="E383" s="47" t="str">
        <f>IFERROR(IF((ISERROR(FIND("-P",Relaciones!A362))),"",IF(Relaciones!I362="","",Relaciones!I362)),"")</f>
        <v/>
      </c>
      <c r="F383" s="75"/>
    </row>
    <row r="384" ht="18.0" customHeight="1">
      <c r="A384" s="45" t="str">
        <f>IFERROR(IF((ISERROR(FIND("-P",Relaciones!A363))),"",IF(Relaciones!A363="","",Relaciones!A363)),"")</f>
        <v/>
      </c>
      <c r="B384" s="45" t="str">
        <f>IFERROR(IF((ISERROR(FIND("-P",Relaciones!A363))),"",IF(Relaciones!D363="","",Relaciones!D363)),"")</f>
        <v/>
      </c>
      <c r="C384" s="77" t="str">
        <f>IFERROR(IF((ISERROR(FIND("-P",Relaciones!A363))),"",IF(Relaciones!G363="","",Relaciones!G363)),"")</f>
        <v/>
      </c>
      <c r="D384" s="44" t="str">
        <f>IFERROR(IF((ISERROR(FIND("-P",Relaciones!A363))),"",IF(Relaciones!H363="","",Relaciones!H363)),"")</f>
        <v/>
      </c>
      <c r="E384" s="44" t="str">
        <f>IFERROR(IF((ISERROR(FIND("-P",Relaciones!A363))),"",IF(Relaciones!I363="","",Relaciones!I363)),"")</f>
        <v/>
      </c>
      <c r="F384" s="75"/>
    </row>
    <row r="385" ht="18.0" customHeight="1">
      <c r="A385" s="48" t="str">
        <f>IFERROR(IF((ISERROR(FIND("-P",Relaciones!A364))),"",IF(Relaciones!A364="","",Relaciones!A364)),"")</f>
        <v/>
      </c>
      <c r="B385" s="48" t="str">
        <f>IFERROR(IF((ISERROR(FIND("-P",Relaciones!A364))),"",IF(Relaciones!D364="","",Relaciones!D364)),"")</f>
        <v/>
      </c>
      <c r="C385" s="76" t="str">
        <f>IFERROR(IF((ISERROR(FIND("-P",Relaciones!A364))),"",IF(Relaciones!G364="","",Relaciones!G364)),"")</f>
        <v/>
      </c>
      <c r="D385" s="47" t="str">
        <f>IFERROR(IF((ISERROR(FIND("-P",Relaciones!A364))),"",IF(Relaciones!H364="","",Relaciones!H364)),"")</f>
        <v/>
      </c>
      <c r="E385" s="47" t="str">
        <f>IFERROR(IF((ISERROR(FIND("-P",Relaciones!A364))),"",IF(Relaciones!I364="","",Relaciones!I364)),"")</f>
        <v/>
      </c>
      <c r="F385" s="75"/>
    </row>
    <row r="386" ht="18.0" customHeight="1">
      <c r="A386" s="45" t="str">
        <f>IFERROR(IF((ISERROR(FIND("-P",Relaciones!A365))),"",IF(Relaciones!A365="","",Relaciones!A365)),"")</f>
        <v/>
      </c>
      <c r="B386" s="45" t="str">
        <f>IFERROR(IF((ISERROR(FIND("-P",Relaciones!A365))),"",IF(Relaciones!D365="","",Relaciones!D365)),"")</f>
        <v/>
      </c>
      <c r="C386" s="77" t="str">
        <f>IFERROR(IF((ISERROR(FIND("-P",Relaciones!A365))),"",IF(Relaciones!G365="","",Relaciones!G365)),"")</f>
        <v/>
      </c>
      <c r="D386" s="44" t="str">
        <f>IFERROR(IF((ISERROR(FIND("-P",Relaciones!A365))),"",IF(Relaciones!H365="","",Relaciones!H365)),"")</f>
        <v/>
      </c>
      <c r="E386" s="44" t="str">
        <f>IFERROR(IF((ISERROR(FIND("-P",Relaciones!A365))),"",IF(Relaciones!I365="","",Relaciones!I365)),"")</f>
        <v/>
      </c>
      <c r="F386" s="75"/>
    </row>
    <row r="387" ht="18.0" customHeight="1">
      <c r="A387" s="48" t="str">
        <f>IFERROR(IF((ISERROR(FIND("-P",Relaciones!A366))),"",IF(Relaciones!A366="","",Relaciones!A366)),"")</f>
        <v/>
      </c>
      <c r="B387" s="48" t="str">
        <f>IFERROR(IF((ISERROR(FIND("-P",Relaciones!A366))),"",IF(Relaciones!D366="","",Relaciones!D366)),"")</f>
        <v/>
      </c>
      <c r="C387" s="76" t="str">
        <f>IFERROR(IF((ISERROR(FIND("-P",Relaciones!A366))),"",IF(Relaciones!G366="","",Relaciones!G366)),"")</f>
        <v/>
      </c>
      <c r="D387" s="47" t="str">
        <f>IFERROR(IF((ISERROR(FIND("-P",Relaciones!A366))),"",IF(Relaciones!H366="","",Relaciones!H366)),"")</f>
        <v/>
      </c>
      <c r="E387" s="47" t="str">
        <f>IFERROR(IF((ISERROR(FIND("-P",Relaciones!A366))),"",IF(Relaciones!I366="","",Relaciones!I366)),"")</f>
        <v/>
      </c>
      <c r="F387" s="75"/>
    </row>
    <row r="388" ht="18.0" customHeight="1">
      <c r="A388" s="45" t="str">
        <f>IFERROR(IF((ISERROR(FIND("-P",Relaciones!A367))),"",IF(Relaciones!A367="","",Relaciones!A367)),"")</f>
        <v/>
      </c>
      <c r="B388" s="45" t="str">
        <f>IFERROR(IF((ISERROR(FIND("-P",Relaciones!A367))),"",IF(Relaciones!D367="","",Relaciones!D367)),"")</f>
        <v/>
      </c>
      <c r="C388" s="77" t="str">
        <f>IFERROR(IF((ISERROR(FIND("-P",Relaciones!A367))),"",IF(Relaciones!G367="","",Relaciones!G367)),"")</f>
        <v/>
      </c>
      <c r="D388" s="44" t="str">
        <f>IFERROR(IF((ISERROR(FIND("-P",Relaciones!A367))),"",IF(Relaciones!H367="","",Relaciones!H367)),"")</f>
        <v/>
      </c>
      <c r="E388" s="44" t="str">
        <f>IFERROR(IF((ISERROR(FIND("-P",Relaciones!A367))),"",IF(Relaciones!I367="","",Relaciones!I367)),"")</f>
        <v/>
      </c>
      <c r="F388" s="75"/>
    </row>
    <row r="389" ht="18.0" customHeight="1">
      <c r="A389" s="48" t="str">
        <f>IFERROR(IF((ISERROR(FIND("-P",Relaciones!A368))),"",IF(Relaciones!A368="","",Relaciones!A368)),"")</f>
        <v/>
      </c>
      <c r="B389" s="48" t="str">
        <f>IFERROR(IF((ISERROR(FIND("-P",Relaciones!A368))),"",IF(Relaciones!D368="","",Relaciones!D368)),"")</f>
        <v/>
      </c>
      <c r="C389" s="76" t="str">
        <f>IFERROR(IF((ISERROR(FIND("-P",Relaciones!A368))),"",IF(Relaciones!G368="","",Relaciones!G368)),"")</f>
        <v/>
      </c>
      <c r="D389" s="47" t="str">
        <f>IFERROR(IF((ISERROR(FIND("-P",Relaciones!A368))),"",IF(Relaciones!H368="","",Relaciones!H368)),"")</f>
        <v/>
      </c>
      <c r="E389" s="47" t="str">
        <f>IFERROR(IF((ISERROR(FIND("-P",Relaciones!A368))),"",IF(Relaciones!I368="","",Relaciones!I368)),"")</f>
        <v/>
      </c>
      <c r="F389" s="75"/>
    </row>
    <row r="390" ht="18.0" customHeight="1">
      <c r="A390" s="45" t="str">
        <f>IFERROR(IF((ISERROR(FIND("-P",Relaciones!A369))),"",IF(Relaciones!A369="","",Relaciones!A369)),"")</f>
        <v/>
      </c>
      <c r="B390" s="45" t="str">
        <f>IFERROR(IF((ISERROR(FIND("-P",Relaciones!A369))),"",IF(Relaciones!D369="","",Relaciones!D369)),"")</f>
        <v/>
      </c>
      <c r="C390" s="77" t="str">
        <f>IFERROR(IF((ISERROR(FIND("-P",Relaciones!A369))),"",IF(Relaciones!G369="","",Relaciones!G369)),"")</f>
        <v/>
      </c>
      <c r="D390" s="44" t="str">
        <f>IFERROR(IF((ISERROR(FIND("-P",Relaciones!A369))),"",IF(Relaciones!H369="","",Relaciones!H369)),"")</f>
        <v/>
      </c>
      <c r="E390" s="44" t="str">
        <f>IFERROR(IF((ISERROR(FIND("-P",Relaciones!A369))),"",IF(Relaciones!I369="","",Relaciones!I369)),"")</f>
        <v/>
      </c>
      <c r="F390" s="75"/>
    </row>
    <row r="391" ht="18.0" customHeight="1">
      <c r="A391" s="48" t="str">
        <f>IFERROR(IF((ISERROR(FIND("-P",Relaciones!A370))),"",IF(Relaciones!A370="","",Relaciones!A370)),"")</f>
        <v/>
      </c>
      <c r="B391" s="48" t="str">
        <f>IFERROR(IF((ISERROR(FIND("-P",Relaciones!A370))),"",IF(Relaciones!D370="","",Relaciones!D370)),"")</f>
        <v/>
      </c>
      <c r="C391" s="76" t="str">
        <f>IFERROR(IF((ISERROR(FIND("-P",Relaciones!A370))),"",IF(Relaciones!G370="","",Relaciones!G370)),"")</f>
        <v/>
      </c>
      <c r="D391" s="47" t="str">
        <f>IFERROR(IF((ISERROR(FIND("-P",Relaciones!A370))),"",IF(Relaciones!H370="","",Relaciones!H370)),"")</f>
        <v/>
      </c>
      <c r="E391" s="47" t="str">
        <f>IFERROR(IF((ISERROR(FIND("-P",Relaciones!A370))),"",IF(Relaciones!I370="","",Relaciones!I370)),"")</f>
        <v/>
      </c>
      <c r="F391" s="75"/>
    </row>
    <row r="392" ht="18.0" customHeight="1">
      <c r="A392" s="45" t="str">
        <f>IFERROR(IF((ISERROR(FIND("-P",Relaciones!A371))),"",IF(Relaciones!A371="","",Relaciones!A371)),"")</f>
        <v/>
      </c>
      <c r="B392" s="45" t="str">
        <f>IFERROR(IF((ISERROR(FIND("-P",Relaciones!A371))),"",IF(Relaciones!D371="","",Relaciones!D371)),"")</f>
        <v/>
      </c>
      <c r="C392" s="77" t="str">
        <f>IFERROR(IF((ISERROR(FIND("-P",Relaciones!A371))),"",IF(Relaciones!G371="","",Relaciones!G371)),"")</f>
        <v/>
      </c>
      <c r="D392" s="44" t="str">
        <f>IFERROR(IF((ISERROR(FIND("-P",Relaciones!A371))),"",IF(Relaciones!H371="","",Relaciones!H371)),"")</f>
        <v/>
      </c>
      <c r="E392" s="44" t="str">
        <f>IFERROR(IF((ISERROR(FIND("-P",Relaciones!A371))),"",IF(Relaciones!I371="","",Relaciones!I371)),"")</f>
        <v/>
      </c>
      <c r="F392" s="75"/>
    </row>
    <row r="393" ht="18.0" customHeight="1">
      <c r="A393" s="48" t="str">
        <f>IFERROR(IF((ISERROR(FIND("-P",Relaciones!A372))),"",IF(Relaciones!A372="","",Relaciones!A372)),"")</f>
        <v/>
      </c>
      <c r="B393" s="48" t="str">
        <f>IFERROR(IF((ISERROR(FIND("-P",Relaciones!A372))),"",IF(Relaciones!D372="","",Relaciones!D372)),"")</f>
        <v/>
      </c>
      <c r="C393" s="76" t="str">
        <f>IFERROR(IF((ISERROR(FIND("-P",Relaciones!A372))),"",IF(Relaciones!G372="","",Relaciones!G372)),"")</f>
        <v/>
      </c>
      <c r="D393" s="47" t="str">
        <f>IFERROR(IF((ISERROR(FIND("-P",Relaciones!A372))),"",IF(Relaciones!H372="","",Relaciones!H372)),"")</f>
        <v/>
      </c>
      <c r="E393" s="47" t="str">
        <f>IFERROR(IF((ISERROR(FIND("-P",Relaciones!A372))),"",IF(Relaciones!I372="","",Relaciones!I372)),"")</f>
        <v/>
      </c>
      <c r="F393" s="75"/>
    </row>
    <row r="394" ht="18.0" customHeight="1">
      <c r="A394" s="45" t="str">
        <f>IFERROR(IF((ISERROR(FIND("-P",Relaciones!A373))),"",IF(Relaciones!A373="","",Relaciones!A373)),"")</f>
        <v/>
      </c>
      <c r="B394" s="45" t="str">
        <f>IFERROR(IF((ISERROR(FIND("-P",Relaciones!A373))),"",IF(Relaciones!D373="","",Relaciones!D373)),"")</f>
        <v/>
      </c>
      <c r="C394" s="77" t="str">
        <f>IFERROR(IF((ISERROR(FIND("-P",Relaciones!A373))),"",IF(Relaciones!G373="","",Relaciones!G373)),"")</f>
        <v/>
      </c>
      <c r="D394" s="44" t="str">
        <f>IFERROR(IF((ISERROR(FIND("-P",Relaciones!A373))),"",IF(Relaciones!H373="","",Relaciones!H373)),"")</f>
        <v/>
      </c>
      <c r="E394" s="44" t="str">
        <f>IFERROR(IF((ISERROR(FIND("-P",Relaciones!A373))),"",IF(Relaciones!I373="","",Relaciones!I373)),"")</f>
        <v/>
      </c>
      <c r="F394" s="75"/>
    </row>
    <row r="395" ht="18.0" customHeight="1">
      <c r="A395" s="48" t="str">
        <f>IFERROR(IF((ISERROR(FIND("-P",Relaciones!A374))),"",IF(Relaciones!A374="","",Relaciones!A374)),"")</f>
        <v/>
      </c>
      <c r="B395" s="48" t="str">
        <f>IFERROR(IF((ISERROR(FIND("-P",Relaciones!A374))),"",IF(Relaciones!D374="","",Relaciones!D374)),"")</f>
        <v/>
      </c>
      <c r="C395" s="76" t="str">
        <f>IFERROR(IF((ISERROR(FIND("-P",Relaciones!A374))),"",IF(Relaciones!G374="","",Relaciones!G374)),"")</f>
        <v/>
      </c>
      <c r="D395" s="47" t="str">
        <f>IFERROR(IF((ISERROR(FIND("-P",Relaciones!A374))),"",IF(Relaciones!H374="","",Relaciones!H374)),"")</f>
        <v/>
      </c>
      <c r="E395" s="47" t="str">
        <f>IFERROR(IF((ISERROR(FIND("-P",Relaciones!A374))),"",IF(Relaciones!I374="","",Relaciones!I374)),"")</f>
        <v/>
      </c>
      <c r="F395" s="75"/>
    </row>
    <row r="396" ht="18.0" customHeight="1">
      <c r="A396" s="45" t="str">
        <f>IFERROR(IF((ISERROR(FIND("-P",Relaciones!A375))),"",IF(Relaciones!A375="","",Relaciones!A375)),"")</f>
        <v/>
      </c>
      <c r="B396" s="45" t="str">
        <f>IFERROR(IF((ISERROR(FIND("-P",Relaciones!A375))),"",IF(Relaciones!D375="","",Relaciones!D375)),"")</f>
        <v/>
      </c>
      <c r="C396" s="77" t="str">
        <f>IFERROR(IF((ISERROR(FIND("-P",Relaciones!A375))),"",IF(Relaciones!G375="","",Relaciones!G375)),"")</f>
        <v/>
      </c>
      <c r="D396" s="44" t="str">
        <f>IFERROR(IF((ISERROR(FIND("-P",Relaciones!A375))),"",IF(Relaciones!H375="","",Relaciones!H375)),"")</f>
        <v/>
      </c>
      <c r="E396" s="44" t="str">
        <f>IFERROR(IF((ISERROR(FIND("-P",Relaciones!A375))),"",IF(Relaciones!I375="","",Relaciones!I375)),"")</f>
        <v/>
      </c>
      <c r="F396" s="75"/>
    </row>
    <row r="397" ht="18.0" customHeight="1">
      <c r="A397" s="48" t="str">
        <f>IFERROR(IF((ISERROR(FIND("-P",Relaciones!A376))),"",IF(Relaciones!A376="","",Relaciones!A376)),"")</f>
        <v/>
      </c>
      <c r="B397" s="48" t="str">
        <f>IFERROR(IF((ISERROR(FIND("-P",Relaciones!A376))),"",IF(Relaciones!D376="","",Relaciones!D376)),"")</f>
        <v/>
      </c>
      <c r="C397" s="76" t="str">
        <f>IFERROR(IF((ISERROR(FIND("-P",Relaciones!A376))),"",IF(Relaciones!G376="","",Relaciones!G376)),"")</f>
        <v/>
      </c>
      <c r="D397" s="47" t="str">
        <f>IFERROR(IF((ISERROR(FIND("-P",Relaciones!A376))),"",IF(Relaciones!H376="","",Relaciones!H376)),"")</f>
        <v/>
      </c>
      <c r="E397" s="47" t="str">
        <f>IFERROR(IF((ISERROR(FIND("-P",Relaciones!A376))),"",IF(Relaciones!I376="","",Relaciones!I376)),"")</f>
        <v/>
      </c>
      <c r="F397" s="75"/>
    </row>
    <row r="398" ht="18.0" customHeight="1">
      <c r="A398" s="45" t="str">
        <f>IFERROR(IF((ISERROR(FIND("-P",Relaciones!A377))),"",IF(Relaciones!A377="","",Relaciones!A377)),"")</f>
        <v/>
      </c>
      <c r="B398" s="45" t="str">
        <f>IFERROR(IF((ISERROR(FIND("-P",Relaciones!A377))),"",IF(Relaciones!D377="","",Relaciones!D377)),"")</f>
        <v/>
      </c>
      <c r="C398" s="77" t="str">
        <f>IFERROR(IF((ISERROR(FIND("-P",Relaciones!A377))),"",IF(Relaciones!G377="","",Relaciones!G377)),"")</f>
        <v/>
      </c>
      <c r="D398" s="44" t="str">
        <f>IFERROR(IF((ISERROR(FIND("-P",Relaciones!A377))),"",IF(Relaciones!H377="","",Relaciones!H377)),"")</f>
        <v/>
      </c>
      <c r="E398" s="44" t="str">
        <f>IFERROR(IF((ISERROR(FIND("-P",Relaciones!A377))),"",IF(Relaciones!I377="","",Relaciones!I377)),"")</f>
        <v/>
      </c>
      <c r="F398" s="75"/>
    </row>
    <row r="399" ht="18.0" customHeight="1">
      <c r="A399" s="48" t="str">
        <f>IFERROR(IF((ISERROR(FIND("-P",Relaciones!A378))),"",IF(Relaciones!A378="","",Relaciones!A378)),"")</f>
        <v/>
      </c>
      <c r="B399" s="48" t="str">
        <f>IFERROR(IF((ISERROR(FIND("-P",Relaciones!A378))),"",IF(Relaciones!D378="","",Relaciones!D378)),"")</f>
        <v/>
      </c>
      <c r="C399" s="76" t="str">
        <f>IFERROR(IF((ISERROR(FIND("-P",Relaciones!A378))),"",IF(Relaciones!G378="","",Relaciones!G378)),"")</f>
        <v/>
      </c>
      <c r="D399" s="47" t="str">
        <f>IFERROR(IF((ISERROR(FIND("-P",Relaciones!A378))),"",IF(Relaciones!H378="","",Relaciones!H378)),"")</f>
        <v/>
      </c>
      <c r="E399" s="47" t="str">
        <f>IFERROR(IF((ISERROR(FIND("-P",Relaciones!A378))),"",IF(Relaciones!I378="","",Relaciones!I378)),"")</f>
        <v/>
      </c>
      <c r="F399" s="75"/>
    </row>
    <row r="400" ht="18.0" customHeight="1">
      <c r="A400" s="45" t="str">
        <f>IFERROR(IF((ISERROR(FIND("-P",Relaciones!A379))),"",IF(Relaciones!A379="","",Relaciones!A379)),"")</f>
        <v/>
      </c>
      <c r="B400" s="45" t="str">
        <f>IFERROR(IF((ISERROR(FIND("-P",Relaciones!A379))),"",IF(Relaciones!D379="","",Relaciones!D379)),"")</f>
        <v/>
      </c>
      <c r="C400" s="77" t="str">
        <f>IFERROR(IF((ISERROR(FIND("-P",Relaciones!A379))),"",IF(Relaciones!G379="","",Relaciones!G379)),"")</f>
        <v/>
      </c>
      <c r="D400" s="44" t="str">
        <f>IFERROR(IF((ISERROR(FIND("-P",Relaciones!A379))),"",IF(Relaciones!H379="","",Relaciones!H379)),"")</f>
        <v/>
      </c>
      <c r="E400" s="44" t="str">
        <f>IFERROR(IF((ISERROR(FIND("-P",Relaciones!A379))),"",IF(Relaciones!I379="","",Relaciones!I379)),"")</f>
        <v/>
      </c>
      <c r="F400" s="75"/>
    </row>
    <row r="401" ht="18.0" customHeight="1">
      <c r="A401" s="48" t="str">
        <f>IFERROR(IF((ISERROR(FIND("-P",Relaciones!A380))),"",IF(Relaciones!A380="","",Relaciones!A380)),"")</f>
        <v/>
      </c>
      <c r="B401" s="48" t="str">
        <f>IFERROR(IF((ISERROR(FIND("-P",Relaciones!A380))),"",IF(Relaciones!D380="","",Relaciones!D380)),"")</f>
        <v/>
      </c>
      <c r="C401" s="76" t="str">
        <f>IFERROR(IF((ISERROR(FIND("-P",Relaciones!A380))),"",IF(Relaciones!G380="","",Relaciones!G380)),"")</f>
        <v/>
      </c>
      <c r="D401" s="47" t="str">
        <f>IFERROR(IF((ISERROR(FIND("-P",Relaciones!A380))),"",IF(Relaciones!H380="","",Relaciones!H380)),"")</f>
        <v/>
      </c>
      <c r="E401" s="47" t="str">
        <f>IFERROR(IF((ISERROR(FIND("-P",Relaciones!A380))),"",IF(Relaciones!I380="","",Relaciones!I380)),"")</f>
        <v/>
      </c>
      <c r="F401" s="75"/>
    </row>
    <row r="402" ht="18.0" customHeight="1">
      <c r="A402" s="45" t="str">
        <f>IFERROR(IF((ISERROR(FIND("-P",Relaciones!A381))),"",IF(Relaciones!A381="","",Relaciones!A381)),"")</f>
        <v/>
      </c>
      <c r="B402" s="45" t="str">
        <f>IFERROR(IF((ISERROR(FIND("-P",Relaciones!A381))),"",IF(Relaciones!D381="","",Relaciones!D381)),"")</f>
        <v/>
      </c>
      <c r="C402" s="77" t="str">
        <f>IFERROR(IF((ISERROR(FIND("-P",Relaciones!A381))),"",IF(Relaciones!G381="","",Relaciones!G381)),"")</f>
        <v/>
      </c>
      <c r="D402" s="44" t="str">
        <f>IFERROR(IF((ISERROR(FIND("-P",Relaciones!A381))),"",IF(Relaciones!H381="","",Relaciones!H381)),"")</f>
        <v/>
      </c>
      <c r="E402" s="44" t="str">
        <f>IFERROR(IF((ISERROR(FIND("-P",Relaciones!A381))),"",IF(Relaciones!I381="","",Relaciones!I381)),"")</f>
        <v/>
      </c>
      <c r="F402" s="75"/>
    </row>
    <row r="403" ht="18.0" customHeight="1">
      <c r="A403" s="48" t="str">
        <f>IFERROR(IF((ISERROR(FIND("-P",Relaciones!A382))),"",IF(Relaciones!A382="","",Relaciones!A382)),"")</f>
        <v/>
      </c>
      <c r="B403" s="48" t="str">
        <f>IFERROR(IF((ISERROR(FIND("-P",Relaciones!A382))),"",IF(Relaciones!D382="","",Relaciones!D382)),"")</f>
        <v/>
      </c>
      <c r="C403" s="76" t="str">
        <f>IFERROR(IF((ISERROR(FIND("-P",Relaciones!A382))),"",IF(Relaciones!G382="","",Relaciones!G382)),"")</f>
        <v/>
      </c>
      <c r="D403" s="47" t="str">
        <f>IFERROR(IF((ISERROR(FIND("-P",Relaciones!A382))),"",IF(Relaciones!H382="","",Relaciones!H382)),"")</f>
        <v/>
      </c>
      <c r="E403" s="47" t="str">
        <f>IFERROR(IF((ISERROR(FIND("-P",Relaciones!A382))),"",IF(Relaciones!I382="","",Relaciones!I382)),"")</f>
        <v/>
      </c>
      <c r="F403" s="75"/>
    </row>
    <row r="404" ht="18.0" customHeight="1">
      <c r="A404" s="45" t="str">
        <f>IFERROR(IF((ISERROR(FIND("-P",Relaciones!A383))),"",IF(Relaciones!A383="","",Relaciones!A383)),"")</f>
        <v/>
      </c>
      <c r="B404" s="45" t="str">
        <f>IFERROR(IF((ISERROR(FIND("-P",Relaciones!A383))),"",IF(Relaciones!D383="","",Relaciones!D383)),"")</f>
        <v/>
      </c>
      <c r="C404" s="77" t="str">
        <f>IFERROR(IF((ISERROR(FIND("-P",Relaciones!A383))),"",IF(Relaciones!G383="","",Relaciones!G383)),"")</f>
        <v/>
      </c>
      <c r="D404" s="44" t="str">
        <f>IFERROR(IF((ISERROR(FIND("-P",Relaciones!A383))),"",IF(Relaciones!H383="","",Relaciones!H383)),"")</f>
        <v/>
      </c>
      <c r="E404" s="44" t="str">
        <f>IFERROR(IF((ISERROR(FIND("-P",Relaciones!A383))),"",IF(Relaciones!I383="","",Relaciones!I383)),"")</f>
        <v/>
      </c>
      <c r="F404" s="75"/>
    </row>
    <row r="405" ht="18.0" customHeight="1">
      <c r="A405" s="48" t="str">
        <f>IFERROR(IF((ISERROR(FIND("-P",Relaciones!A384))),"",IF(Relaciones!A384="","",Relaciones!A384)),"")</f>
        <v/>
      </c>
      <c r="B405" s="48" t="str">
        <f>IFERROR(IF((ISERROR(FIND("-P",Relaciones!A384))),"",IF(Relaciones!D384="","",Relaciones!D384)),"")</f>
        <v/>
      </c>
      <c r="C405" s="76" t="str">
        <f>IFERROR(IF((ISERROR(FIND("-P",Relaciones!A384))),"",IF(Relaciones!G384="","",Relaciones!G384)),"")</f>
        <v/>
      </c>
      <c r="D405" s="47" t="str">
        <f>IFERROR(IF((ISERROR(FIND("-P",Relaciones!A384))),"",IF(Relaciones!H384="","",Relaciones!H384)),"")</f>
        <v/>
      </c>
      <c r="E405" s="47" t="str">
        <f>IFERROR(IF((ISERROR(FIND("-P",Relaciones!A384))),"",IF(Relaciones!I384="","",Relaciones!I384)),"")</f>
        <v/>
      </c>
      <c r="F405" s="75"/>
    </row>
    <row r="406" ht="18.0" customHeight="1">
      <c r="A406" s="45" t="str">
        <f>IFERROR(IF((ISERROR(FIND("-P",Relaciones!A385))),"",IF(Relaciones!A385="","",Relaciones!A385)),"")</f>
        <v/>
      </c>
      <c r="B406" s="45" t="str">
        <f>IFERROR(IF((ISERROR(FIND("-P",Relaciones!A385))),"",IF(Relaciones!D385="","",Relaciones!D385)),"")</f>
        <v/>
      </c>
      <c r="C406" s="77" t="str">
        <f>IFERROR(IF((ISERROR(FIND("-P",Relaciones!A385))),"",IF(Relaciones!G385="","",Relaciones!G385)),"")</f>
        <v/>
      </c>
      <c r="D406" s="44" t="str">
        <f>IFERROR(IF((ISERROR(FIND("-P",Relaciones!A385))),"",IF(Relaciones!H385="","",Relaciones!H385)),"")</f>
        <v/>
      </c>
      <c r="E406" s="44" t="str">
        <f>IFERROR(IF((ISERROR(FIND("-P",Relaciones!A385))),"",IF(Relaciones!I385="","",Relaciones!I385)),"")</f>
        <v/>
      </c>
      <c r="F406" s="75"/>
    </row>
    <row r="407" ht="18.0" customHeight="1">
      <c r="A407" s="48" t="str">
        <f>IFERROR(IF((ISERROR(FIND("-P",Relaciones!A386))),"",IF(Relaciones!A386="","",Relaciones!A386)),"")</f>
        <v/>
      </c>
      <c r="B407" s="48" t="str">
        <f>IFERROR(IF((ISERROR(FIND("-P",Relaciones!A386))),"",IF(Relaciones!D386="","",Relaciones!D386)),"")</f>
        <v/>
      </c>
      <c r="C407" s="76" t="str">
        <f>IFERROR(IF((ISERROR(FIND("-P",Relaciones!A386))),"",IF(Relaciones!G386="","",Relaciones!G386)),"")</f>
        <v/>
      </c>
      <c r="D407" s="47" t="str">
        <f>IFERROR(IF((ISERROR(FIND("-P",Relaciones!A386))),"",IF(Relaciones!H386="","",Relaciones!H386)),"")</f>
        <v/>
      </c>
      <c r="E407" s="47" t="str">
        <f>IFERROR(IF((ISERROR(FIND("-P",Relaciones!A386))),"",IF(Relaciones!I386="","",Relaciones!I386)),"")</f>
        <v/>
      </c>
      <c r="F407" s="75"/>
    </row>
    <row r="408" ht="18.0" customHeight="1">
      <c r="A408" s="45" t="str">
        <f>IFERROR(IF((ISERROR(FIND("-P",Relaciones!A387))),"",IF(Relaciones!A387="","",Relaciones!A387)),"")</f>
        <v/>
      </c>
      <c r="B408" s="45" t="str">
        <f>IFERROR(IF((ISERROR(FIND("-P",Relaciones!A387))),"",IF(Relaciones!D387="","",Relaciones!D387)),"")</f>
        <v/>
      </c>
      <c r="C408" s="77" t="str">
        <f>IFERROR(IF((ISERROR(FIND("-P",Relaciones!A387))),"",IF(Relaciones!G387="","",Relaciones!G387)),"")</f>
        <v/>
      </c>
      <c r="D408" s="44" t="str">
        <f>IFERROR(IF((ISERROR(FIND("-P",Relaciones!A387))),"",IF(Relaciones!H387="","",Relaciones!H387)),"")</f>
        <v/>
      </c>
      <c r="E408" s="44" t="str">
        <f>IFERROR(IF((ISERROR(FIND("-P",Relaciones!A387))),"",IF(Relaciones!I387="","",Relaciones!I387)),"")</f>
        <v/>
      </c>
      <c r="F408" s="75"/>
    </row>
    <row r="409" ht="18.0" customHeight="1">
      <c r="A409" s="48" t="str">
        <f>IFERROR(IF((ISERROR(FIND("-P",Relaciones!A388))),"",IF(Relaciones!A388="","",Relaciones!A388)),"")</f>
        <v/>
      </c>
      <c r="B409" s="48" t="str">
        <f>IFERROR(IF((ISERROR(FIND("-P",Relaciones!A388))),"",IF(Relaciones!D388="","",Relaciones!D388)),"")</f>
        <v/>
      </c>
      <c r="C409" s="76" t="str">
        <f>IFERROR(IF((ISERROR(FIND("-P",Relaciones!A388))),"",IF(Relaciones!G388="","",Relaciones!G388)),"")</f>
        <v/>
      </c>
      <c r="D409" s="47" t="str">
        <f>IFERROR(IF((ISERROR(FIND("-P",Relaciones!A388))),"",IF(Relaciones!H388="","",Relaciones!H388)),"")</f>
        <v/>
      </c>
      <c r="E409" s="47" t="str">
        <f>IFERROR(IF((ISERROR(FIND("-P",Relaciones!A388))),"",IF(Relaciones!I388="","",Relaciones!I388)),"")</f>
        <v/>
      </c>
      <c r="F409" s="75"/>
    </row>
    <row r="410" ht="18.0" customHeight="1">
      <c r="A410" s="45" t="str">
        <f>IFERROR(IF((ISERROR(FIND("-P",Relaciones!A389))),"",IF(Relaciones!A389="","",Relaciones!A389)),"")</f>
        <v/>
      </c>
      <c r="B410" s="45" t="str">
        <f>IFERROR(IF((ISERROR(FIND("-P",Relaciones!A389))),"",IF(Relaciones!D389="","",Relaciones!D389)),"")</f>
        <v/>
      </c>
      <c r="C410" s="77" t="str">
        <f>IFERROR(IF((ISERROR(FIND("-P",Relaciones!A389))),"",IF(Relaciones!G389="","",Relaciones!G389)),"")</f>
        <v/>
      </c>
      <c r="D410" s="44" t="str">
        <f>IFERROR(IF((ISERROR(FIND("-P",Relaciones!A389))),"",IF(Relaciones!H389="","",Relaciones!H389)),"")</f>
        <v/>
      </c>
      <c r="E410" s="44" t="str">
        <f>IFERROR(IF((ISERROR(FIND("-P",Relaciones!A389))),"",IF(Relaciones!I389="","",Relaciones!I389)),"")</f>
        <v/>
      </c>
      <c r="F410" s="75"/>
    </row>
    <row r="411" ht="18.0" customHeight="1">
      <c r="A411" s="48" t="str">
        <f>IFERROR(IF((ISERROR(FIND("-P",Relaciones!A390))),"",IF(Relaciones!A390="","",Relaciones!A390)),"")</f>
        <v/>
      </c>
      <c r="B411" s="48" t="str">
        <f>IFERROR(IF((ISERROR(FIND("-P",Relaciones!A390))),"",IF(Relaciones!D390="","",Relaciones!D390)),"")</f>
        <v/>
      </c>
      <c r="C411" s="76" t="str">
        <f>IFERROR(IF((ISERROR(FIND("-P",Relaciones!A390))),"",IF(Relaciones!G390="","",Relaciones!G390)),"")</f>
        <v/>
      </c>
      <c r="D411" s="47" t="str">
        <f>IFERROR(IF((ISERROR(FIND("-P",Relaciones!A390))),"",IF(Relaciones!H390="","",Relaciones!H390)),"")</f>
        <v/>
      </c>
      <c r="E411" s="47" t="str">
        <f>IFERROR(IF((ISERROR(FIND("-P",Relaciones!A390))),"",IF(Relaciones!I390="","",Relaciones!I390)),"")</f>
        <v/>
      </c>
      <c r="F411" s="75"/>
    </row>
    <row r="412" ht="18.0" customHeight="1">
      <c r="A412" s="45" t="str">
        <f>IFERROR(IF((ISERROR(FIND("-P",Relaciones!A391))),"",IF(Relaciones!A391="","",Relaciones!A391)),"")</f>
        <v/>
      </c>
      <c r="B412" s="45" t="str">
        <f>IFERROR(IF((ISERROR(FIND("-P",Relaciones!A391))),"",IF(Relaciones!D391="","",Relaciones!D391)),"")</f>
        <v/>
      </c>
      <c r="C412" s="77" t="str">
        <f>IFERROR(IF((ISERROR(FIND("-P",Relaciones!A391))),"",IF(Relaciones!G391="","",Relaciones!G391)),"")</f>
        <v/>
      </c>
      <c r="D412" s="44" t="str">
        <f>IFERROR(IF((ISERROR(FIND("-P",Relaciones!A391))),"",IF(Relaciones!H391="","",Relaciones!H391)),"")</f>
        <v/>
      </c>
      <c r="E412" s="44" t="str">
        <f>IFERROR(IF((ISERROR(FIND("-P",Relaciones!A391))),"",IF(Relaciones!I391="","",Relaciones!I391)),"")</f>
        <v/>
      </c>
      <c r="F412" s="75"/>
    </row>
    <row r="413" ht="18.0" customHeight="1">
      <c r="A413" s="48" t="str">
        <f>IFERROR(IF((ISERROR(FIND("-P",Relaciones!A392))),"",IF(Relaciones!A392="","",Relaciones!A392)),"")</f>
        <v/>
      </c>
      <c r="B413" s="48" t="str">
        <f>IFERROR(IF((ISERROR(FIND("-P",Relaciones!A392))),"",IF(Relaciones!D392="","",Relaciones!D392)),"")</f>
        <v/>
      </c>
      <c r="C413" s="76" t="str">
        <f>IFERROR(IF((ISERROR(FIND("-P",Relaciones!A392))),"",IF(Relaciones!G392="","",Relaciones!G392)),"")</f>
        <v/>
      </c>
      <c r="D413" s="47" t="str">
        <f>IFERROR(IF((ISERROR(FIND("-P",Relaciones!A392))),"",IF(Relaciones!H392="","",Relaciones!H392)),"")</f>
        <v/>
      </c>
      <c r="E413" s="47" t="str">
        <f>IFERROR(IF((ISERROR(FIND("-P",Relaciones!A392))),"",IF(Relaciones!I392="","",Relaciones!I392)),"")</f>
        <v/>
      </c>
      <c r="F413" s="75"/>
    </row>
    <row r="414" ht="18.0" customHeight="1">
      <c r="A414" s="45" t="str">
        <f>IFERROR(IF((ISERROR(FIND("-P",Relaciones!A393))),"",IF(Relaciones!A393="","",Relaciones!A393)),"")</f>
        <v/>
      </c>
      <c r="B414" s="45" t="str">
        <f>IFERROR(IF((ISERROR(FIND("-P",Relaciones!A393))),"",IF(Relaciones!D393="","",Relaciones!D393)),"")</f>
        <v/>
      </c>
      <c r="C414" s="77" t="str">
        <f>IFERROR(IF((ISERROR(FIND("-P",Relaciones!A393))),"",IF(Relaciones!G393="","",Relaciones!G393)),"")</f>
        <v/>
      </c>
      <c r="D414" s="44" t="str">
        <f>IFERROR(IF((ISERROR(FIND("-P",Relaciones!A393))),"",IF(Relaciones!H393="","",Relaciones!H393)),"")</f>
        <v/>
      </c>
      <c r="E414" s="44" t="str">
        <f>IFERROR(IF((ISERROR(FIND("-P",Relaciones!A393))),"",IF(Relaciones!I393="","",Relaciones!I393)),"")</f>
        <v/>
      </c>
      <c r="F414" s="75"/>
    </row>
    <row r="415" ht="18.0" customHeight="1">
      <c r="A415" s="48" t="str">
        <f>IFERROR(IF((ISERROR(FIND("-P",Relaciones!A394))),"",IF(Relaciones!A394="","",Relaciones!A394)),"")</f>
        <v/>
      </c>
      <c r="B415" s="48" t="str">
        <f>IFERROR(IF((ISERROR(FIND("-P",Relaciones!A394))),"",IF(Relaciones!D394="","",Relaciones!D394)),"")</f>
        <v/>
      </c>
      <c r="C415" s="76" t="str">
        <f>IFERROR(IF((ISERROR(FIND("-P",Relaciones!A394))),"",IF(Relaciones!G394="","",Relaciones!G394)),"")</f>
        <v/>
      </c>
      <c r="D415" s="47" t="str">
        <f>IFERROR(IF((ISERROR(FIND("-P",Relaciones!A394))),"",IF(Relaciones!H394="","",Relaciones!H394)),"")</f>
        <v/>
      </c>
      <c r="E415" s="47" t="str">
        <f>IFERROR(IF((ISERROR(FIND("-P",Relaciones!A394))),"",IF(Relaciones!I394="","",Relaciones!I394)),"")</f>
        <v/>
      </c>
      <c r="F415" s="75"/>
    </row>
    <row r="416" ht="18.0" customHeight="1">
      <c r="A416" s="45" t="str">
        <f>IFERROR(IF((ISERROR(FIND("-P",Relaciones!A395))),"",IF(Relaciones!A395="","",Relaciones!A395)),"")</f>
        <v/>
      </c>
      <c r="B416" s="45" t="str">
        <f>IFERROR(IF((ISERROR(FIND("-P",Relaciones!A395))),"",IF(Relaciones!D395="","",Relaciones!D395)),"")</f>
        <v/>
      </c>
      <c r="C416" s="77" t="str">
        <f>IFERROR(IF((ISERROR(FIND("-P",Relaciones!A395))),"",IF(Relaciones!G395="","",Relaciones!G395)),"")</f>
        <v/>
      </c>
      <c r="D416" s="44" t="str">
        <f>IFERROR(IF((ISERROR(FIND("-P",Relaciones!A395))),"",IF(Relaciones!H395="","",Relaciones!H395)),"")</f>
        <v/>
      </c>
      <c r="E416" s="44" t="str">
        <f>IFERROR(IF((ISERROR(FIND("-P",Relaciones!A395))),"",IF(Relaciones!I395="","",Relaciones!I395)),"")</f>
        <v/>
      </c>
      <c r="F416" s="75"/>
    </row>
    <row r="417" ht="18.0" customHeight="1">
      <c r="A417" s="48" t="str">
        <f>IFERROR(IF((ISERROR(FIND("-P",Relaciones!A396))),"",IF(Relaciones!A396="","",Relaciones!A396)),"")</f>
        <v/>
      </c>
      <c r="B417" s="48" t="str">
        <f>IFERROR(IF((ISERROR(FIND("-P",Relaciones!A396))),"",IF(Relaciones!D396="","",Relaciones!D396)),"")</f>
        <v/>
      </c>
      <c r="C417" s="76" t="str">
        <f>IFERROR(IF((ISERROR(FIND("-P",Relaciones!A396))),"",IF(Relaciones!G396="","",Relaciones!G396)),"")</f>
        <v/>
      </c>
      <c r="D417" s="47" t="str">
        <f>IFERROR(IF((ISERROR(FIND("-P",Relaciones!A396))),"",IF(Relaciones!H396="","",Relaciones!H396)),"")</f>
        <v/>
      </c>
      <c r="E417" s="47" t="str">
        <f>IFERROR(IF((ISERROR(FIND("-P",Relaciones!A396))),"",IF(Relaciones!I396="","",Relaciones!I396)),"")</f>
        <v/>
      </c>
      <c r="F417" s="75"/>
    </row>
    <row r="418" ht="18.0" customHeight="1">
      <c r="A418" s="45" t="str">
        <f>IFERROR(IF((ISERROR(FIND("-P",Relaciones!A397))),"",IF(Relaciones!A397="","",Relaciones!A397)),"")</f>
        <v/>
      </c>
      <c r="B418" s="45" t="str">
        <f>IFERROR(IF((ISERROR(FIND("-P",Relaciones!A397))),"",IF(Relaciones!D397="","",Relaciones!D397)),"")</f>
        <v/>
      </c>
      <c r="C418" s="77" t="str">
        <f>IFERROR(IF((ISERROR(FIND("-P",Relaciones!A397))),"",IF(Relaciones!G397="","",Relaciones!G397)),"")</f>
        <v/>
      </c>
      <c r="D418" s="44" t="str">
        <f>IFERROR(IF((ISERROR(FIND("-P",Relaciones!A397))),"",IF(Relaciones!H397="","",Relaciones!H397)),"")</f>
        <v/>
      </c>
      <c r="E418" s="44" t="str">
        <f>IFERROR(IF((ISERROR(FIND("-P",Relaciones!A397))),"",IF(Relaciones!I397="","",Relaciones!I397)),"")</f>
        <v/>
      </c>
      <c r="F418" s="75"/>
    </row>
    <row r="419" ht="18.0" customHeight="1">
      <c r="A419" s="48" t="str">
        <f>IFERROR(IF((ISERROR(FIND("-P",Relaciones!A398))),"",IF(Relaciones!A398="","",Relaciones!A398)),"")</f>
        <v/>
      </c>
      <c r="B419" s="48" t="str">
        <f>IFERROR(IF((ISERROR(FIND("-P",Relaciones!A398))),"",IF(Relaciones!D398="","",Relaciones!D398)),"")</f>
        <v/>
      </c>
      <c r="C419" s="76" t="str">
        <f>IFERROR(IF((ISERROR(FIND("-P",Relaciones!A398))),"",IF(Relaciones!G398="","",Relaciones!G398)),"")</f>
        <v/>
      </c>
      <c r="D419" s="47" t="str">
        <f>IFERROR(IF((ISERROR(FIND("-P",Relaciones!A398))),"",IF(Relaciones!H398="","",Relaciones!H398)),"")</f>
        <v/>
      </c>
      <c r="E419" s="47" t="str">
        <f>IFERROR(IF((ISERROR(FIND("-P",Relaciones!A398))),"",IF(Relaciones!I398="","",Relaciones!I398)),"")</f>
        <v/>
      </c>
      <c r="F419" s="75"/>
    </row>
    <row r="420" ht="18.0" customHeight="1">
      <c r="A420" s="45" t="str">
        <f>IFERROR(IF((ISERROR(FIND("-P",Relaciones!A399))),"",IF(Relaciones!A399="","",Relaciones!A399)),"")</f>
        <v/>
      </c>
      <c r="B420" s="45" t="str">
        <f>IFERROR(IF((ISERROR(FIND("-P",Relaciones!A399))),"",IF(Relaciones!D399="","",Relaciones!D399)),"")</f>
        <v/>
      </c>
      <c r="C420" s="77" t="str">
        <f>IFERROR(IF((ISERROR(FIND("-P",Relaciones!A399))),"",IF(Relaciones!G399="","",Relaciones!G399)),"")</f>
        <v/>
      </c>
      <c r="D420" s="44" t="str">
        <f>IFERROR(IF((ISERROR(FIND("-P",Relaciones!A399))),"",IF(Relaciones!H399="","",Relaciones!H399)),"")</f>
        <v/>
      </c>
      <c r="E420" s="44" t="str">
        <f>IFERROR(IF((ISERROR(FIND("-P",Relaciones!A399))),"",IF(Relaciones!I399="","",Relaciones!I399)),"")</f>
        <v/>
      </c>
      <c r="F420" s="75"/>
    </row>
    <row r="421" ht="18.0" customHeight="1">
      <c r="A421" s="48" t="str">
        <f>IFERROR(IF((ISERROR(FIND("-P",Relaciones!A400))),"",IF(Relaciones!A400="","",Relaciones!A400)),"")</f>
        <v/>
      </c>
      <c r="B421" s="48" t="str">
        <f>IFERROR(IF((ISERROR(FIND("-P",Relaciones!A400))),"",IF(Relaciones!D400="","",Relaciones!D400)),"")</f>
        <v/>
      </c>
      <c r="C421" s="76" t="str">
        <f>IFERROR(IF((ISERROR(FIND("-P",Relaciones!A400))),"",IF(Relaciones!G400="","",Relaciones!G400)),"")</f>
        <v/>
      </c>
      <c r="D421" s="47" t="str">
        <f>IFERROR(IF((ISERROR(FIND("-P",Relaciones!A400))),"",IF(Relaciones!H400="","",Relaciones!H400)),"")</f>
        <v/>
      </c>
      <c r="E421" s="47" t="str">
        <f>IFERROR(IF((ISERROR(FIND("-P",Relaciones!A400))),"",IF(Relaciones!I400="","",Relaciones!I400)),"")</f>
        <v/>
      </c>
      <c r="F421" s="75"/>
    </row>
    <row r="422" ht="18.0" customHeight="1">
      <c r="A422" s="45" t="str">
        <f>IFERROR(IF((ISERROR(FIND("-P",Relaciones!A401))),"",IF(Relaciones!A401="","",Relaciones!A401)),"")</f>
        <v/>
      </c>
      <c r="B422" s="45" t="str">
        <f>IFERROR(IF((ISERROR(FIND("-P",Relaciones!A401))),"",IF(Relaciones!D401="","",Relaciones!D401)),"")</f>
        <v/>
      </c>
      <c r="C422" s="77" t="str">
        <f>IFERROR(IF((ISERROR(FIND("-P",Relaciones!A401))),"",IF(Relaciones!G401="","",Relaciones!G401)),"")</f>
        <v/>
      </c>
      <c r="D422" s="44" t="str">
        <f>IFERROR(IF((ISERROR(FIND("-P",Relaciones!A401))),"",IF(Relaciones!H401="","",Relaciones!H401)),"")</f>
        <v/>
      </c>
      <c r="E422" s="44" t="str">
        <f>IFERROR(IF((ISERROR(FIND("-P",Relaciones!A401))),"",IF(Relaciones!I401="","",Relaciones!I401)),"")</f>
        <v/>
      </c>
      <c r="F422" s="75"/>
    </row>
    <row r="423" ht="18.0" customHeight="1">
      <c r="A423" s="48" t="str">
        <f>IFERROR(IF((ISERROR(FIND("-P",Relaciones!A402))),"",IF(Relaciones!A402="","",Relaciones!A402)),"")</f>
        <v/>
      </c>
      <c r="B423" s="48" t="str">
        <f>IFERROR(IF((ISERROR(FIND("-P",Relaciones!A402))),"",IF(Relaciones!D402="","",Relaciones!D402)),"")</f>
        <v/>
      </c>
      <c r="C423" s="76" t="str">
        <f>IFERROR(IF((ISERROR(FIND("-P",Relaciones!A402))),"",IF(Relaciones!G402="","",Relaciones!G402)),"")</f>
        <v/>
      </c>
      <c r="D423" s="47" t="str">
        <f>IFERROR(IF((ISERROR(FIND("-P",Relaciones!A402))),"",IF(Relaciones!H402="","",Relaciones!H402)),"")</f>
        <v/>
      </c>
      <c r="E423" s="47" t="str">
        <f>IFERROR(IF((ISERROR(FIND("-P",Relaciones!A402))),"",IF(Relaciones!I402="","",Relaciones!I402)),"")</f>
        <v/>
      </c>
      <c r="F423" s="75"/>
    </row>
    <row r="424" ht="18.0" customHeight="1">
      <c r="A424" s="45" t="str">
        <f>IFERROR(IF((ISERROR(FIND("-P",Relaciones!A403))),"",IF(Relaciones!A403="","",Relaciones!A403)),"")</f>
        <v/>
      </c>
      <c r="B424" s="45" t="str">
        <f>IFERROR(IF((ISERROR(FIND("-P",Relaciones!A403))),"",IF(Relaciones!D403="","",Relaciones!D403)),"")</f>
        <v/>
      </c>
      <c r="C424" s="77" t="str">
        <f>IFERROR(IF((ISERROR(FIND("-P",Relaciones!A403))),"",IF(Relaciones!G403="","",Relaciones!G403)),"")</f>
        <v/>
      </c>
      <c r="D424" s="44" t="str">
        <f>IFERROR(IF((ISERROR(FIND("-P",Relaciones!A403))),"",IF(Relaciones!H403="","",Relaciones!H403)),"")</f>
        <v/>
      </c>
      <c r="E424" s="44" t="str">
        <f>IFERROR(IF((ISERROR(FIND("-P",Relaciones!A403))),"",IF(Relaciones!I403="","",Relaciones!I403)),"")</f>
        <v/>
      </c>
      <c r="F424" s="75"/>
    </row>
    <row r="425" ht="18.0" customHeight="1">
      <c r="A425" s="48" t="str">
        <f>IFERROR(IF((ISERROR(FIND("-P",Relaciones!A404))),"",IF(Relaciones!A404="","",Relaciones!A404)),"")</f>
        <v/>
      </c>
      <c r="B425" s="48" t="str">
        <f>IFERROR(IF((ISERROR(FIND("-P",Relaciones!A404))),"",IF(Relaciones!D404="","",Relaciones!D404)),"")</f>
        <v/>
      </c>
      <c r="C425" s="76" t="str">
        <f>IFERROR(IF((ISERROR(FIND("-P",Relaciones!A404))),"",IF(Relaciones!G404="","",Relaciones!G404)),"")</f>
        <v/>
      </c>
      <c r="D425" s="47" t="str">
        <f>IFERROR(IF((ISERROR(FIND("-P",Relaciones!A404))),"",IF(Relaciones!H404="","",Relaciones!H404)),"")</f>
        <v/>
      </c>
      <c r="E425" s="47" t="str">
        <f>IFERROR(IF((ISERROR(FIND("-P",Relaciones!A404))),"",IF(Relaciones!I404="","",Relaciones!I404)),"")</f>
        <v/>
      </c>
      <c r="F425" s="75"/>
    </row>
    <row r="426" ht="18.0" customHeight="1">
      <c r="A426" s="45" t="str">
        <f>IFERROR(IF((ISERROR(FIND("-P",Relaciones!A405))),"",IF(Relaciones!A405="","",Relaciones!A405)),"")</f>
        <v/>
      </c>
      <c r="B426" s="45" t="str">
        <f>IFERROR(IF((ISERROR(FIND("-P",Relaciones!A405))),"",IF(Relaciones!D405="","",Relaciones!D405)),"")</f>
        <v/>
      </c>
      <c r="C426" s="77" t="str">
        <f>IFERROR(IF((ISERROR(FIND("-P",Relaciones!A405))),"",IF(Relaciones!G405="","",Relaciones!G405)),"")</f>
        <v/>
      </c>
      <c r="D426" s="44" t="str">
        <f>IFERROR(IF((ISERROR(FIND("-P",Relaciones!A405))),"",IF(Relaciones!H405="","",Relaciones!H405)),"")</f>
        <v/>
      </c>
      <c r="E426" s="44" t="str">
        <f>IFERROR(IF((ISERROR(FIND("-P",Relaciones!A405))),"",IF(Relaciones!I405="","",Relaciones!I405)),"")</f>
        <v/>
      </c>
      <c r="F426" s="75"/>
    </row>
    <row r="427" ht="18.0" customHeight="1">
      <c r="A427" s="48" t="str">
        <f>IFERROR(IF((ISERROR(FIND("-P",Relaciones!A406))),"",IF(Relaciones!A406="","",Relaciones!A406)),"")</f>
        <v/>
      </c>
      <c r="B427" s="48" t="str">
        <f>IFERROR(IF((ISERROR(FIND("-P",Relaciones!A406))),"",IF(Relaciones!D406="","",Relaciones!D406)),"")</f>
        <v/>
      </c>
      <c r="C427" s="76" t="str">
        <f>IFERROR(IF((ISERROR(FIND("-P",Relaciones!A406))),"",IF(Relaciones!G406="","",Relaciones!G406)),"")</f>
        <v/>
      </c>
      <c r="D427" s="47" t="str">
        <f>IFERROR(IF((ISERROR(FIND("-P",Relaciones!A406))),"",IF(Relaciones!H406="","",Relaciones!H406)),"")</f>
        <v/>
      </c>
      <c r="E427" s="47" t="str">
        <f>IFERROR(IF((ISERROR(FIND("-P",Relaciones!A406))),"",IF(Relaciones!I406="","",Relaciones!I406)),"")</f>
        <v/>
      </c>
      <c r="F427" s="75"/>
    </row>
    <row r="428" ht="18.0" customHeight="1">
      <c r="A428" s="45" t="str">
        <f>IFERROR(IF((ISERROR(FIND("-P",Relaciones!A407))),"",IF(Relaciones!A407="","",Relaciones!A407)),"")</f>
        <v/>
      </c>
      <c r="B428" s="45" t="str">
        <f>IFERROR(IF((ISERROR(FIND("-P",Relaciones!A407))),"",IF(Relaciones!D407="","",Relaciones!D407)),"")</f>
        <v/>
      </c>
      <c r="C428" s="77" t="str">
        <f>IFERROR(IF((ISERROR(FIND("-P",Relaciones!A407))),"",IF(Relaciones!G407="","",Relaciones!G407)),"")</f>
        <v/>
      </c>
      <c r="D428" s="44" t="str">
        <f>IFERROR(IF((ISERROR(FIND("-P",Relaciones!A407))),"",IF(Relaciones!H407="","",Relaciones!H407)),"")</f>
        <v/>
      </c>
      <c r="E428" s="44" t="str">
        <f>IFERROR(IF((ISERROR(FIND("-P",Relaciones!A407))),"",IF(Relaciones!I407="","",Relaciones!I407)),"")</f>
        <v/>
      </c>
      <c r="F428" s="75"/>
    </row>
    <row r="429" ht="18.0" customHeight="1">
      <c r="A429" s="48" t="str">
        <f>IFERROR(IF((ISERROR(FIND("-P",Relaciones!A408))),"",IF(Relaciones!A408="","",Relaciones!A408)),"")</f>
        <v/>
      </c>
      <c r="B429" s="48" t="str">
        <f>IFERROR(IF((ISERROR(FIND("-P",Relaciones!A408))),"",IF(Relaciones!D408="","",Relaciones!D408)),"")</f>
        <v/>
      </c>
      <c r="C429" s="76" t="str">
        <f>IFERROR(IF((ISERROR(FIND("-P",Relaciones!A408))),"",IF(Relaciones!G408="","",Relaciones!G408)),"")</f>
        <v/>
      </c>
      <c r="D429" s="47" t="str">
        <f>IFERROR(IF((ISERROR(FIND("-P",Relaciones!A408))),"",IF(Relaciones!H408="","",Relaciones!H408)),"")</f>
        <v/>
      </c>
      <c r="E429" s="47" t="str">
        <f>IFERROR(IF((ISERROR(FIND("-P",Relaciones!A408))),"",IF(Relaciones!I408="","",Relaciones!I408)),"")</f>
        <v/>
      </c>
      <c r="F429" s="75"/>
    </row>
    <row r="430" ht="18.0" customHeight="1">
      <c r="A430" s="45" t="str">
        <f>IFERROR(IF((ISERROR(FIND("-P",Relaciones!A409))),"",IF(Relaciones!A409="","",Relaciones!A409)),"")</f>
        <v/>
      </c>
      <c r="B430" s="45" t="str">
        <f>IFERROR(IF((ISERROR(FIND("-P",Relaciones!A409))),"",IF(Relaciones!D409="","",Relaciones!D409)),"")</f>
        <v/>
      </c>
      <c r="C430" s="77" t="str">
        <f>IFERROR(IF((ISERROR(FIND("-P",Relaciones!A409))),"",IF(Relaciones!G409="","",Relaciones!G409)),"")</f>
        <v/>
      </c>
      <c r="D430" s="44" t="str">
        <f>IFERROR(IF((ISERROR(FIND("-P",Relaciones!A409))),"",IF(Relaciones!H409="","",Relaciones!H409)),"")</f>
        <v/>
      </c>
      <c r="E430" s="44" t="str">
        <f>IFERROR(IF((ISERROR(FIND("-P",Relaciones!A409))),"",IF(Relaciones!I409="","",Relaciones!I409)),"")</f>
        <v/>
      </c>
      <c r="F430" s="75"/>
    </row>
    <row r="431" ht="18.0" customHeight="1">
      <c r="A431" s="48" t="str">
        <f>IFERROR(IF((ISERROR(FIND("-P",Relaciones!A410))),"",IF(Relaciones!A410="","",Relaciones!A410)),"")</f>
        <v/>
      </c>
      <c r="B431" s="48" t="str">
        <f>IFERROR(IF((ISERROR(FIND("-P",Relaciones!A410))),"",IF(Relaciones!D410="","",Relaciones!D410)),"")</f>
        <v/>
      </c>
      <c r="C431" s="76" t="str">
        <f>IFERROR(IF((ISERROR(FIND("-P",Relaciones!A410))),"",IF(Relaciones!G410="","",Relaciones!G410)),"")</f>
        <v/>
      </c>
      <c r="D431" s="47" t="str">
        <f>IFERROR(IF((ISERROR(FIND("-P",Relaciones!A410))),"",IF(Relaciones!H410="","",Relaciones!H410)),"")</f>
        <v/>
      </c>
      <c r="E431" s="47" t="str">
        <f>IFERROR(IF((ISERROR(FIND("-P",Relaciones!A410))),"",IF(Relaciones!I410="","",Relaciones!I410)),"")</f>
        <v/>
      </c>
      <c r="F431" s="75"/>
    </row>
    <row r="432" ht="18.0" customHeight="1">
      <c r="A432" s="45" t="str">
        <f>IFERROR(IF((ISERROR(FIND("-P",Relaciones!A411))),"",IF(Relaciones!A411="","",Relaciones!A411)),"")</f>
        <v/>
      </c>
      <c r="B432" s="45" t="str">
        <f>IFERROR(IF((ISERROR(FIND("-P",Relaciones!A411))),"",IF(Relaciones!D411="","",Relaciones!D411)),"")</f>
        <v/>
      </c>
      <c r="C432" s="77" t="str">
        <f>IFERROR(IF((ISERROR(FIND("-P",Relaciones!A411))),"",IF(Relaciones!G411="","",Relaciones!G411)),"")</f>
        <v/>
      </c>
      <c r="D432" s="44" t="str">
        <f>IFERROR(IF((ISERROR(FIND("-P",Relaciones!A411))),"",IF(Relaciones!H411="","",Relaciones!H411)),"")</f>
        <v/>
      </c>
      <c r="E432" s="44" t="str">
        <f>IFERROR(IF((ISERROR(FIND("-P",Relaciones!A411))),"",IF(Relaciones!I411="","",Relaciones!I411)),"")</f>
        <v/>
      </c>
      <c r="F432" s="75"/>
    </row>
    <row r="433" ht="18.0" customHeight="1">
      <c r="A433" s="48" t="str">
        <f>IFERROR(IF((ISERROR(FIND("-P",Relaciones!A412))),"",IF(Relaciones!A412="","",Relaciones!A412)),"")</f>
        <v/>
      </c>
      <c r="B433" s="48" t="str">
        <f>IFERROR(IF((ISERROR(FIND("-P",Relaciones!A412))),"",IF(Relaciones!D412="","",Relaciones!D412)),"")</f>
        <v/>
      </c>
      <c r="C433" s="76" t="str">
        <f>IFERROR(IF((ISERROR(FIND("-P",Relaciones!A412))),"",IF(Relaciones!G412="","",Relaciones!G412)),"")</f>
        <v/>
      </c>
      <c r="D433" s="47" t="str">
        <f>IFERROR(IF((ISERROR(FIND("-P",Relaciones!A412))),"",IF(Relaciones!H412="","",Relaciones!H412)),"")</f>
        <v/>
      </c>
      <c r="E433" s="47" t="str">
        <f>IFERROR(IF((ISERROR(FIND("-P",Relaciones!A412))),"",IF(Relaciones!I412="","",Relaciones!I412)),"")</f>
        <v/>
      </c>
      <c r="F433" s="75"/>
    </row>
    <row r="434" ht="18.0" customHeight="1">
      <c r="A434" s="45" t="str">
        <f>IFERROR(IF((ISERROR(FIND("-P",Relaciones!A413))),"",IF(Relaciones!A413="","",Relaciones!A413)),"")</f>
        <v/>
      </c>
      <c r="B434" s="45" t="str">
        <f>IFERROR(IF((ISERROR(FIND("-P",Relaciones!A413))),"",IF(Relaciones!D413="","",Relaciones!D413)),"")</f>
        <v/>
      </c>
      <c r="C434" s="77" t="str">
        <f>IFERROR(IF((ISERROR(FIND("-P",Relaciones!A413))),"",IF(Relaciones!G413="","",Relaciones!G413)),"")</f>
        <v/>
      </c>
      <c r="D434" s="44" t="str">
        <f>IFERROR(IF((ISERROR(FIND("-P",Relaciones!A413))),"",IF(Relaciones!H413="","",Relaciones!H413)),"")</f>
        <v/>
      </c>
      <c r="E434" s="44" t="str">
        <f>IFERROR(IF((ISERROR(FIND("-P",Relaciones!A413))),"",IF(Relaciones!I413="","",Relaciones!I413)),"")</f>
        <v/>
      </c>
      <c r="F434" s="75"/>
    </row>
    <row r="435" ht="18.0" customHeight="1">
      <c r="A435" s="48" t="str">
        <f>IFERROR(IF((ISERROR(FIND("-P",Relaciones!A414))),"",IF(Relaciones!A414="","",Relaciones!A414)),"")</f>
        <v/>
      </c>
      <c r="B435" s="48" t="str">
        <f>IFERROR(IF((ISERROR(FIND("-P",Relaciones!A414))),"",IF(Relaciones!D414="","",Relaciones!D414)),"")</f>
        <v/>
      </c>
      <c r="C435" s="76" t="str">
        <f>IFERROR(IF((ISERROR(FIND("-P",Relaciones!A414))),"",IF(Relaciones!G414="","",Relaciones!G414)),"")</f>
        <v/>
      </c>
      <c r="D435" s="47" t="str">
        <f>IFERROR(IF((ISERROR(FIND("-P",Relaciones!A414))),"",IF(Relaciones!H414="","",Relaciones!H414)),"")</f>
        <v/>
      </c>
      <c r="E435" s="47" t="str">
        <f>IFERROR(IF((ISERROR(FIND("-P",Relaciones!A414))),"",IF(Relaciones!I414="","",Relaciones!I414)),"")</f>
        <v/>
      </c>
      <c r="F435" s="75"/>
    </row>
    <row r="436" ht="18.0" customHeight="1">
      <c r="A436" s="45" t="str">
        <f>IFERROR(IF((ISERROR(FIND("-P",Relaciones!A415))),"",IF(Relaciones!A415="","",Relaciones!A415)),"")</f>
        <v/>
      </c>
      <c r="B436" s="45" t="str">
        <f>IFERROR(IF((ISERROR(FIND("-P",Relaciones!A415))),"",IF(Relaciones!D415="","",Relaciones!D415)),"")</f>
        <v/>
      </c>
      <c r="C436" s="77" t="str">
        <f>IFERROR(IF((ISERROR(FIND("-P",Relaciones!A415))),"",IF(Relaciones!G415="","",Relaciones!G415)),"")</f>
        <v/>
      </c>
      <c r="D436" s="44" t="str">
        <f>IFERROR(IF((ISERROR(FIND("-P",Relaciones!A415))),"",IF(Relaciones!H415="","",Relaciones!H415)),"")</f>
        <v/>
      </c>
      <c r="E436" s="44" t="str">
        <f>IFERROR(IF((ISERROR(FIND("-P",Relaciones!A415))),"",IF(Relaciones!I415="","",Relaciones!I415)),"")</f>
        <v/>
      </c>
      <c r="F436" s="75"/>
    </row>
    <row r="437" ht="18.0" customHeight="1">
      <c r="A437" s="48" t="str">
        <f>IFERROR(IF((ISERROR(FIND("-P",Relaciones!A416))),"",IF(Relaciones!A416="","",Relaciones!A416)),"")</f>
        <v/>
      </c>
      <c r="B437" s="48" t="str">
        <f>IFERROR(IF((ISERROR(FIND("-P",Relaciones!A416))),"",IF(Relaciones!D416="","",Relaciones!D416)),"")</f>
        <v/>
      </c>
      <c r="C437" s="76" t="str">
        <f>IFERROR(IF((ISERROR(FIND("-P",Relaciones!A416))),"",IF(Relaciones!G416="","",Relaciones!G416)),"")</f>
        <v/>
      </c>
      <c r="D437" s="47" t="str">
        <f>IFERROR(IF((ISERROR(FIND("-P",Relaciones!A416))),"",IF(Relaciones!H416="","",Relaciones!H416)),"")</f>
        <v/>
      </c>
      <c r="E437" s="47" t="str">
        <f>IFERROR(IF((ISERROR(FIND("-P",Relaciones!A416))),"",IF(Relaciones!I416="","",Relaciones!I416)),"")</f>
        <v/>
      </c>
      <c r="F437" s="75"/>
    </row>
    <row r="438" ht="18.0" customHeight="1">
      <c r="A438" s="45" t="str">
        <f>IFERROR(IF((ISERROR(FIND("-P",Relaciones!A417))),"",IF(Relaciones!A417="","",Relaciones!A417)),"")</f>
        <v/>
      </c>
      <c r="B438" s="45" t="str">
        <f>IFERROR(IF((ISERROR(FIND("-P",Relaciones!A417))),"",IF(Relaciones!D417="","",Relaciones!D417)),"")</f>
        <v/>
      </c>
      <c r="C438" s="77" t="str">
        <f>IFERROR(IF((ISERROR(FIND("-P",Relaciones!A417))),"",IF(Relaciones!G417="","",Relaciones!G417)),"")</f>
        <v/>
      </c>
      <c r="D438" s="44" t="str">
        <f>IFERROR(IF((ISERROR(FIND("-P",Relaciones!A417))),"",IF(Relaciones!H417="","",Relaciones!H417)),"")</f>
        <v/>
      </c>
      <c r="E438" s="44" t="str">
        <f>IFERROR(IF((ISERROR(FIND("-P",Relaciones!A417))),"",IF(Relaciones!I417="","",Relaciones!I417)),"")</f>
        <v/>
      </c>
      <c r="F438" s="75"/>
    </row>
    <row r="439" ht="18.0" customHeight="1">
      <c r="A439" s="48" t="str">
        <f>IFERROR(IF((ISERROR(FIND("-P",Relaciones!A418))),"",IF(Relaciones!A418="","",Relaciones!A418)),"")</f>
        <v/>
      </c>
      <c r="B439" s="48" t="str">
        <f>IFERROR(IF((ISERROR(FIND("-P",Relaciones!A418))),"",IF(Relaciones!D418="","",Relaciones!D418)),"")</f>
        <v/>
      </c>
      <c r="C439" s="76" t="str">
        <f>IFERROR(IF((ISERROR(FIND("-P",Relaciones!A418))),"",IF(Relaciones!G418="","",Relaciones!G418)),"")</f>
        <v/>
      </c>
      <c r="D439" s="47" t="str">
        <f>IFERROR(IF((ISERROR(FIND("-P",Relaciones!A418))),"",IF(Relaciones!H418="","",Relaciones!H418)),"")</f>
        <v/>
      </c>
      <c r="E439" s="47" t="str">
        <f>IFERROR(IF((ISERROR(FIND("-P",Relaciones!A418))),"",IF(Relaciones!I418="","",Relaciones!I418)),"")</f>
        <v/>
      </c>
      <c r="F439" s="75"/>
    </row>
    <row r="440" ht="18.0" customHeight="1">
      <c r="A440" s="45" t="str">
        <f>IFERROR(IF((ISERROR(FIND("-P",Relaciones!A419))),"",IF(Relaciones!A419="","",Relaciones!A419)),"")</f>
        <v/>
      </c>
      <c r="B440" s="45" t="str">
        <f>IFERROR(IF((ISERROR(FIND("-P",Relaciones!A419))),"",IF(Relaciones!D419="","",Relaciones!D419)),"")</f>
        <v/>
      </c>
      <c r="C440" s="77" t="str">
        <f>IFERROR(IF((ISERROR(FIND("-P",Relaciones!A419))),"",IF(Relaciones!G419="","",Relaciones!G419)),"")</f>
        <v/>
      </c>
      <c r="D440" s="44" t="str">
        <f>IFERROR(IF((ISERROR(FIND("-P",Relaciones!A419))),"",IF(Relaciones!H419="","",Relaciones!H419)),"")</f>
        <v/>
      </c>
      <c r="E440" s="44" t="str">
        <f>IFERROR(IF((ISERROR(FIND("-P",Relaciones!A419))),"",IF(Relaciones!I419="","",Relaciones!I419)),"")</f>
        <v/>
      </c>
      <c r="F440" s="75"/>
    </row>
    <row r="441" ht="18.0" customHeight="1">
      <c r="A441" s="48" t="str">
        <f>IFERROR(IF((ISERROR(FIND("-P",Relaciones!A420))),"",IF(Relaciones!A420="","",Relaciones!A420)),"")</f>
        <v/>
      </c>
      <c r="B441" s="48" t="str">
        <f>IFERROR(IF((ISERROR(FIND("-P",Relaciones!A420))),"",IF(Relaciones!D420="","",Relaciones!D420)),"")</f>
        <v/>
      </c>
      <c r="C441" s="76" t="str">
        <f>IFERROR(IF((ISERROR(FIND("-P",Relaciones!A420))),"",IF(Relaciones!G420="","",Relaciones!G420)),"")</f>
        <v/>
      </c>
      <c r="D441" s="47" t="str">
        <f>IFERROR(IF((ISERROR(FIND("-P",Relaciones!A420))),"",IF(Relaciones!H420="","",Relaciones!H420)),"")</f>
        <v/>
      </c>
      <c r="E441" s="47" t="str">
        <f>IFERROR(IF((ISERROR(FIND("-P",Relaciones!A420))),"",IF(Relaciones!I420="","",Relaciones!I420)),"")</f>
        <v/>
      </c>
      <c r="F441" s="75"/>
    </row>
    <row r="442" ht="18.0" customHeight="1">
      <c r="A442" s="45" t="str">
        <f>IFERROR(IF((ISERROR(FIND("-P",Relaciones!A421))),"",IF(Relaciones!A421="","",Relaciones!A421)),"")</f>
        <v/>
      </c>
      <c r="B442" s="45" t="str">
        <f>IFERROR(IF((ISERROR(FIND("-P",Relaciones!A421))),"",IF(Relaciones!D421="","",Relaciones!D421)),"")</f>
        <v/>
      </c>
      <c r="C442" s="77" t="str">
        <f>IFERROR(IF((ISERROR(FIND("-P",Relaciones!A421))),"",IF(Relaciones!G421="","",Relaciones!G421)),"")</f>
        <v/>
      </c>
      <c r="D442" s="44" t="str">
        <f>IFERROR(IF((ISERROR(FIND("-P",Relaciones!A421))),"",IF(Relaciones!H421="","",Relaciones!H421)),"")</f>
        <v/>
      </c>
      <c r="E442" s="44" t="str">
        <f>IFERROR(IF((ISERROR(FIND("-P",Relaciones!A421))),"",IF(Relaciones!I421="","",Relaciones!I421)),"")</f>
        <v/>
      </c>
      <c r="F442" s="75"/>
    </row>
    <row r="443" ht="18.0" customHeight="1">
      <c r="A443" s="48" t="str">
        <f>IFERROR(IF((ISERROR(FIND("-P",Relaciones!A422))),"",IF(Relaciones!A422="","",Relaciones!A422)),"")</f>
        <v/>
      </c>
      <c r="B443" s="48" t="str">
        <f>IFERROR(IF((ISERROR(FIND("-P",Relaciones!A422))),"",IF(Relaciones!D422="","",Relaciones!D422)),"")</f>
        <v/>
      </c>
      <c r="C443" s="76" t="str">
        <f>IFERROR(IF((ISERROR(FIND("-P",Relaciones!A422))),"",IF(Relaciones!G422="","",Relaciones!G422)),"")</f>
        <v/>
      </c>
      <c r="D443" s="47" t="str">
        <f>IFERROR(IF((ISERROR(FIND("-P",Relaciones!A422))),"",IF(Relaciones!H422="","",Relaciones!H422)),"")</f>
        <v/>
      </c>
      <c r="E443" s="47" t="str">
        <f>IFERROR(IF((ISERROR(FIND("-P",Relaciones!A422))),"",IF(Relaciones!I422="","",Relaciones!I422)),"")</f>
        <v/>
      </c>
      <c r="F443" s="75"/>
    </row>
    <row r="444" ht="18.0" customHeight="1">
      <c r="A444" s="45" t="str">
        <f>IFERROR(IF((ISERROR(FIND("-P",Relaciones!A423))),"",IF(Relaciones!A423="","",Relaciones!A423)),"")</f>
        <v/>
      </c>
      <c r="B444" s="45" t="str">
        <f>IFERROR(IF((ISERROR(FIND("-P",Relaciones!A423))),"",IF(Relaciones!D423="","",Relaciones!D423)),"")</f>
        <v/>
      </c>
      <c r="C444" s="77" t="str">
        <f>IFERROR(IF((ISERROR(FIND("-P",Relaciones!A423))),"",IF(Relaciones!G423="","",Relaciones!G423)),"")</f>
        <v/>
      </c>
      <c r="D444" s="44" t="str">
        <f>IFERROR(IF((ISERROR(FIND("-P",Relaciones!A423))),"",IF(Relaciones!H423="","",Relaciones!H423)),"")</f>
        <v/>
      </c>
      <c r="E444" s="44" t="str">
        <f>IFERROR(IF((ISERROR(FIND("-P",Relaciones!A423))),"",IF(Relaciones!I423="","",Relaciones!I423)),"")</f>
        <v/>
      </c>
      <c r="F444" s="75"/>
    </row>
    <row r="445" ht="18.0" customHeight="1">
      <c r="A445" s="48" t="str">
        <f>IFERROR(IF((ISERROR(FIND("-P",Relaciones!A424))),"",IF(Relaciones!A424="","",Relaciones!A424)),"")</f>
        <v/>
      </c>
      <c r="B445" s="48" t="str">
        <f>IFERROR(IF((ISERROR(FIND("-P",Relaciones!A424))),"",IF(Relaciones!D424="","",Relaciones!D424)),"")</f>
        <v/>
      </c>
      <c r="C445" s="76" t="str">
        <f>IFERROR(IF((ISERROR(FIND("-P",Relaciones!A424))),"",IF(Relaciones!G424="","",Relaciones!G424)),"")</f>
        <v/>
      </c>
      <c r="D445" s="47" t="str">
        <f>IFERROR(IF((ISERROR(FIND("-P",Relaciones!A424))),"",IF(Relaciones!H424="","",Relaciones!H424)),"")</f>
        <v/>
      </c>
      <c r="E445" s="47" t="str">
        <f>IFERROR(IF((ISERROR(FIND("-P",Relaciones!A424))),"",IF(Relaciones!I424="","",Relaciones!I424)),"")</f>
        <v/>
      </c>
      <c r="F445" s="75"/>
    </row>
    <row r="446" ht="18.0" customHeight="1">
      <c r="A446" s="45" t="str">
        <f>IFERROR(IF((ISERROR(FIND("-P",Relaciones!A425))),"",IF(Relaciones!A425="","",Relaciones!A425)),"")</f>
        <v/>
      </c>
      <c r="B446" s="45" t="str">
        <f>IFERROR(IF((ISERROR(FIND("-P",Relaciones!A425))),"",IF(Relaciones!D425="","",Relaciones!D425)),"")</f>
        <v/>
      </c>
      <c r="C446" s="77" t="str">
        <f>IFERROR(IF((ISERROR(FIND("-P",Relaciones!A425))),"",IF(Relaciones!G425="","",Relaciones!G425)),"")</f>
        <v/>
      </c>
      <c r="D446" s="44" t="str">
        <f>IFERROR(IF((ISERROR(FIND("-P",Relaciones!A425))),"",IF(Relaciones!H425="","",Relaciones!H425)),"")</f>
        <v/>
      </c>
      <c r="E446" s="44" t="str">
        <f>IFERROR(IF((ISERROR(FIND("-P",Relaciones!A425))),"",IF(Relaciones!I425="","",Relaciones!I425)),"")</f>
        <v/>
      </c>
      <c r="F446" s="75"/>
    </row>
    <row r="447" ht="18.0" customHeight="1">
      <c r="A447" s="48" t="str">
        <f>IFERROR(IF((ISERROR(FIND("-P",Relaciones!A426))),"",IF(Relaciones!A426="","",Relaciones!A426)),"")</f>
        <v/>
      </c>
      <c r="B447" s="48" t="str">
        <f>IFERROR(IF((ISERROR(FIND("-P",Relaciones!A426))),"",IF(Relaciones!D426="","",Relaciones!D426)),"")</f>
        <v/>
      </c>
      <c r="C447" s="76" t="str">
        <f>IFERROR(IF((ISERROR(FIND("-P",Relaciones!A426))),"",IF(Relaciones!G426="","",Relaciones!G426)),"")</f>
        <v/>
      </c>
      <c r="D447" s="47" t="str">
        <f>IFERROR(IF((ISERROR(FIND("-P",Relaciones!A426))),"",IF(Relaciones!H426="","",Relaciones!H426)),"")</f>
        <v/>
      </c>
      <c r="E447" s="47" t="str">
        <f>IFERROR(IF((ISERROR(FIND("-P",Relaciones!A426))),"",IF(Relaciones!I426="","",Relaciones!I426)),"")</f>
        <v/>
      </c>
      <c r="F447" s="75"/>
    </row>
    <row r="448" ht="18.0" customHeight="1">
      <c r="A448" s="45" t="str">
        <f>IFERROR(IF((ISERROR(FIND("-P",Relaciones!A427))),"",IF(Relaciones!A427="","",Relaciones!A427)),"")</f>
        <v/>
      </c>
      <c r="B448" s="45" t="str">
        <f>IFERROR(IF((ISERROR(FIND("-P",Relaciones!A427))),"",IF(Relaciones!D427="","",Relaciones!D427)),"")</f>
        <v/>
      </c>
      <c r="C448" s="77" t="str">
        <f>IFERROR(IF((ISERROR(FIND("-P",Relaciones!A427))),"",IF(Relaciones!G427="","",Relaciones!G427)),"")</f>
        <v/>
      </c>
      <c r="D448" s="44" t="str">
        <f>IFERROR(IF((ISERROR(FIND("-P",Relaciones!A427))),"",IF(Relaciones!H427="","",Relaciones!H427)),"")</f>
        <v/>
      </c>
      <c r="E448" s="44" t="str">
        <f>IFERROR(IF((ISERROR(FIND("-P",Relaciones!A427))),"",IF(Relaciones!I427="","",Relaciones!I427)),"")</f>
        <v/>
      </c>
      <c r="F448" s="75"/>
    </row>
    <row r="449" ht="18.0" customHeight="1">
      <c r="A449" s="48" t="str">
        <f>IFERROR(IF((ISERROR(FIND("-P",Relaciones!A428))),"",IF(Relaciones!A428="","",Relaciones!A428)),"")</f>
        <v/>
      </c>
      <c r="B449" s="48" t="str">
        <f>IFERROR(IF((ISERROR(FIND("-P",Relaciones!A428))),"",IF(Relaciones!D428="","",Relaciones!D428)),"")</f>
        <v/>
      </c>
      <c r="C449" s="76" t="str">
        <f>IFERROR(IF((ISERROR(FIND("-P",Relaciones!A428))),"",IF(Relaciones!G428="","",Relaciones!G428)),"")</f>
        <v/>
      </c>
      <c r="D449" s="47" t="str">
        <f>IFERROR(IF((ISERROR(FIND("-P",Relaciones!A428))),"",IF(Relaciones!H428="","",Relaciones!H428)),"")</f>
        <v/>
      </c>
      <c r="E449" s="47" t="str">
        <f>IFERROR(IF((ISERROR(FIND("-P",Relaciones!A428))),"",IF(Relaciones!I428="","",Relaciones!I428)),"")</f>
        <v/>
      </c>
      <c r="F449" s="75"/>
    </row>
    <row r="450" ht="18.0" customHeight="1">
      <c r="A450" s="45" t="str">
        <f>IFERROR(IF((ISERROR(FIND("-P",Relaciones!A429))),"",IF(Relaciones!A429="","",Relaciones!A429)),"")</f>
        <v/>
      </c>
      <c r="B450" s="45" t="str">
        <f>IFERROR(IF((ISERROR(FIND("-P",Relaciones!A429))),"",IF(Relaciones!D429="","",Relaciones!D429)),"")</f>
        <v/>
      </c>
      <c r="C450" s="77" t="str">
        <f>IFERROR(IF((ISERROR(FIND("-P",Relaciones!A429))),"",IF(Relaciones!G429="","",Relaciones!G429)),"")</f>
        <v/>
      </c>
      <c r="D450" s="44" t="str">
        <f>IFERROR(IF((ISERROR(FIND("-P",Relaciones!A429))),"",IF(Relaciones!H429="","",Relaciones!H429)),"")</f>
        <v/>
      </c>
      <c r="E450" s="44" t="str">
        <f>IFERROR(IF((ISERROR(FIND("-P",Relaciones!A429))),"",IF(Relaciones!I429="","",Relaciones!I429)),"")</f>
        <v/>
      </c>
      <c r="F450" s="75"/>
    </row>
    <row r="451" ht="18.0" customHeight="1">
      <c r="A451" s="48" t="str">
        <f>IFERROR(IF((ISERROR(FIND("-P",Relaciones!A430))),"",IF(Relaciones!A430="","",Relaciones!A430)),"")</f>
        <v/>
      </c>
      <c r="B451" s="48" t="str">
        <f>IFERROR(IF((ISERROR(FIND("-P",Relaciones!A430))),"",IF(Relaciones!D430="","",Relaciones!D430)),"")</f>
        <v/>
      </c>
      <c r="C451" s="76" t="str">
        <f>IFERROR(IF((ISERROR(FIND("-P",Relaciones!A430))),"",IF(Relaciones!G430="","",Relaciones!G430)),"")</f>
        <v/>
      </c>
      <c r="D451" s="47" t="str">
        <f>IFERROR(IF((ISERROR(FIND("-P",Relaciones!A430))),"",IF(Relaciones!H430="","",Relaciones!H430)),"")</f>
        <v/>
      </c>
      <c r="E451" s="47" t="str">
        <f>IFERROR(IF((ISERROR(FIND("-P",Relaciones!A430))),"",IF(Relaciones!I430="","",Relaciones!I430)),"")</f>
        <v/>
      </c>
      <c r="F451" s="75"/>
    </row>
    <row r="452" ht="18.0" customHeight="1">
      <c r="A452" s="45" t="str">
        <f>IFERROR(IF((ISERROR(FIND("-P",Relaciones!A431))),"",IF(Relaciones!A431="","",Relaciones!A431)),"")</f>
        <v/>
      </c>
      <c r="B452" s="45" t="str">
        <f>IFERROR(IF((ISERROR(FIND("-P",Relaciones!A431))),"",IF(Relaciones!D431="","",Relaciones!D431)),"")</f>
        <v/>
      </c>
      <c r="C452" s="77" t="str">
        <f>IFERROR(IF((ISERROR(FIND("-P",Relaciones!A431))),"",IF(Relaciones!G431="","",Relaciones!G431)),"")</f>
        <v/>
      </c>
      <c r="D452" s="44" t="str">
        <f>IFERROR(IF((ISERROR(FIND("-P",Relaciones!A431))),"",IF(Relaciones!H431="","",Relaciones!H431)),"")</f>
        <v/>
      </c>
      <c r="E452" s="44" t="str">
        <f>IFERROR(IF((ISERROR(FIND("-P",Relaciones!A431))),"",IF(Relaciones!I431="","",Relaciones!I431)),"")</f>
        <v/>
      </c>
      <c r="F452" s="75"/>
    </row>
    <row r="453" ht="18.0" customHeight="1">
      <c r="A453" s="48" t="str">
        <f>IFERROR(IF((ISERROR(FIND("-P",Relaciones!A432))),"",IF(Relaciones!A432="","",Relaciones!A432)),"")</f>
        <v/>
      </c>
      <c r="B453" s="48" t="str">
        <f>IFERROR(IF((ISERROR(FIND("-P",Relaciones!A432))),"",IF(Relaciones!D432="","",Relaciones!D432)),"")</f>
        <v/>
      </c>
      <c r="C453" s="76" t="str">
        <f>IFERROR(IF((ISERROR(FIND("-P",Relaciones!A432))),"",IF(Relaciones!G432="","",Relaciones!G432)),"")</f>
        <v/>
      </c>
      <c r="D453" s="47" t="str">
        <f>IFERROR(IF((ISERROR(FIND("-P",Relaciones!A432))),"",IF(Relaciones!H432="","",Relaciones!H432)),"")</f>
        <v/>
      </c>
      <c r="E453" s="47" t="str">
        <f>IFERROR(IF((ISERROR(FIND("-P",Relaciones!A432))),"",IF(Relaciones!I432="","",Relaciones!I432)),"")</f>
        <v/>
      </c>
      <c r="F453" s="75"/>
    </row>
    <row r="454" ht="18.0" customHeight="1">
      <c r="A454" s="45" t="str">
        <f>IFERROR(IF((ISERROR(FIND("-P",Relaciones!A433))),"",IF(Relaciones!A433="","",Relaciones!A433)),"")</f>
        <v/>
      </c>
      <c r="B454" s="45" t="str">
        <f>IFERROR(IF((ISERROR(FIND("-P",Relaciones!A433))),"",IF(Relaciones!D433="","",Relaciones!D433)),"")</f>
        <v/>
      </c>
      <c r="C454" s="77" t="str">
        <f>IFERROR(IF((ISERROR(FIND("-P",Relaciones!A433))),"",IF(Relaciones!G433="","",Relaciones!G433)),"")</f>
        <v/>
      </c>
      <c r="D454" s="44" t="str">
        <f>IFERROR(IF((ISERROR(FIND("-P",Relaciones!A433))),"",IF(Relaciones!H433="","",Relaciones!H433)),"")</f>
        <v/>
      </c>
      <c r="E454" s="44" t="str">
        <f>IFERROR(IF((ISERROR(FIND("-P",Relaciones!A433))),"",IF(Relaciones!I433="","",Relaciones!I433)),"")</f>
        <v/>
      </c>
      <c r="F454" s="75"/>
    </row>
    <row r="455" ht="18.0" customHeight="1">
      <c r="A455" s="48" t="str">
        <f>IFERROR(IF((ISERROR(FIND("-P",Relaciones!A434))),"",IF(Relaciones!A434="","",Relaciones!A434)),"")</f>
        <v/>
      </c>
      <c r="B455" s="48" t="str">
        <f>IFERROR(IF((ISERROR(FIND("-P",Relaciones!A434))),"",IF(Relaciones!D434="","",Relaciones!D434)),"")</f>
        <v/>
      </c>
      <c r="C455" s="76" t="str">
        <f>IFERROR(IF((ISERROR(FIND("-P",Relaciones!A434))),"",IF(Relaciones!G434="","",Relaciones!G434)),"")</f>
        <v/>
      </c>
      <c r="D455" s="47" t="str">
        <f>IFERROR(IF((ISERROR(FIND("-P",Relaciones!A434))),"",IF(Relaciones!H434="","",Relaciones!H434)),"")</f>
        <v/>
      </c>
      <c r="E455" s="47" t="str">
        <f>IFERROR(IF((ISERROR(FIND("-P",Relaciones!A434))),"",IF(Relaciones!I434="","",Relaciones!I434)),"")</f>
        <v/>
      </c>
      <c r="F455" s="75"/>
    </row>
    <row r="456" ht="18.0" customHeight="1">
      <c r="A456" s="45" t="str">
        <f>IFERROR(IF((ISERROR(FIND("-P",Relaciones!A435))),"",IF(Relaciones!A435="","",Relaciones!A435)),"")</f>
        <v/>
      </c>
      <c r="B456" s="45" t="str">
        <f>IFERROR(IF((ISERROR(FIND("-P",Relaciones!A435))),"",IF(Relaciones!D435="","",Relaciones!D435)),"")</f>
        <v/>
      </c>
      <c r="C456" s="77" t="str">
        <f>IFERROR(IF((ISERROR(FIND("-P",Relaciones!A435))),"",IF(Relaciones!G435="","",Relaciones!G435)),"")</f>
        <v/>
      </c>
      <c r="D456" s="44" t="str">
        <f>IFERROR(IF((ISERROR(FIND("-P",Relaciones!A435))),"",IF(Relaciones!H435="","",Relaciones!H435)),"")</f>
        <v/>
      </c>
      <c r="E456" s="44" t="str">
        <f>IFERROR(IF((ISERROR(FIND("-P",Relaciones!A435))),"",IF(Relaciones!I435="","",Relaciones!I435)),"")</f>
        <v/>
      </c>
      <c r="F456" s="75"/>
    </row>
    <row r="457" ht="18.0" customHeight="1">
      <c r="A457" s="48" t="str">
        <f>IFERROR(IF((ISERROR(FIND("-P",Relaciones!A436))),"",IF(Relaciones!A436="","",Relaciones!A436)),"")</f>
        <v/>
      </c>
      <c r="B457" s="48" t="str">
        <f>IFERROR(IF((ISERROR(FIND("-P",Relaciones!A436))),"",IF(Relaciones!D436="","",Relaciones!D436)),"")</f>
        <v/>
      </c>
      <c r="C457" s="76" t="str">
        <f>IFERROR(IF((ISERROR(FIND("-P",Relaciones!A436))),"",IF(Relaciones!G436="","",Relaciones!G436)),"")</f>
        <v/>
      </c>
      <c r="D457" s="47" t="str">
        <f>IFERROR(IF((ISERROR(FIND("-P",Relaciones!A436))),"",IF(Relaciones!H436="","",Relaciones!H436)),"")</f>
        <v/>
      </c>
      <c r="E457" s="47" t="str">
        <f>IFERROR(IF((ISERROR(FIND("-P",Relaciones!A436))),"",IF(Relaciones!I436="","",Relaciones!I436)),"")</f>
        <v/>
      </c>
      <c r="F457" s="75"/>
    </row>
    <row r="458" ht="18.0" customHeight="1">
      <c r="A458" s="45" t="str">
        <f>IFERROR(IF((ISERROR(FIND("-P",Relaciones!A437))),"",IF(Relaciones!A437="","",Relaciones!A437)),"")</f>
        <v/>
      </c>
      <c r="B458" s="45" t="str">
        <f>IFERROR(IF((ISERROR(FIND("-P",Relaciones!A437))),"",IF(Relaciones!D437="","",Relaciones!D437)),"")</f>
        <v/>
      </c>
      <c r="C458" s="77" t="str">
        <f>IFERROR(IF((ISERROR(FIND("-P",Relaciones!A437))),"",IF(Relaciones!G437="","",Relaciones!G437)),"")</f>
        <v/>
      </c>
      <c r="D458" s="44" t="str">
        <f>IFERROR(IF((ISERROR(FIND("-P",Relaciones!A437))),"",IF(Relaciones!H437="","",Relaciones!H437)),"")</f>
        <v/>
      </c>
      <c r="E458" s="44" t="str">
        <f>IFERROR(IF((ISERROR(FIND("-P",Relaciones!A437))),"",IF(Relaciones!I437="","",Relaciones!I437)),"")</f>
        <v/>
      </c>
      <c r="F458" s="75"/>
    </row>
    <row r="459" ht="18.0" customHeight="1">
      <c r="A459" s="48" t="str">
        <f>IFERROR(IF((ISERROR(FIND("-P",Relaciones!A438))),"",IF(Relaciones!A438="","",Relaciones!A438)),"")</f>
        <v/>
      </c>
      <c r="B459" s="48" t="str">
        <f>IFERROR(IF((ISERROR(FIND("-P",Relaciones!A438))),"",IF(Relaciones!D438="","",Relaciones!D438)),"")</f>
        <v/>
      </c>
      <c r="C459" s="76" t="str">
        <f>IFERROR(IF((ISERROR(FIND("-P",Relaciones!A438))),"",IF(Relaciones!G438="","",Relaciones!G438)),"")</f>
        <v/>
      </c>
      <c r="D459" s="47" t="str">
        <f>IFERROR(IF((ISERROR(FIND("-P",Relaciones!A438))),"",IF(Relaciones!H438="","",Relaciones!H438)),"")</f>
        <v/>
      </c>
      <c r="E459" s="47" t="str">
        <f>IFERROR(IF((ISERROR(FIND("-P",Relaciones!A438))),"",IF(Relaciones!I438="","",Relaciones!I438)),"")</f>
        <v/>
      </c>
      <c r="F459" s="75"/>
    </row>
    <row r="460" ht="18.0" customHeight="1">
      <c r="A460" s="45" t="str">
        <f>IFERROR(IF((ISERROR(FIND("-P",Relaciones!A439))),"",IF(Relaciones!A439="","",Relaciones!A439)),"")</f>
        <v/>
      </c>
      <c r="B460" s="45" t="str">
        <f>IFERROR(IF((ISERROR(FIND("-P",Relaciones!A439))),"",IF(Relaciones!D439="","",Relaciones!D439)),"")</f>
        <v/>
      </c>
      <c r="C460" s="77" t="str">
        <f>IFERROR(IF((ISERROR(FIND("-P",Relaciones!A439))),"",IF(Relaciones!G439="","",Relaciones!G439)),"")</f>
        <v/>
      </c>
      <c r="D460" s="44" t="str">
        <f>IFERROR(IF((ISERROR(FIND("-P",Relaciones!A439))),"",IF(Relaciones!H439="","",Relaciones!H439)),"")</f>
        <v/>
      </c>
      <c r="E460" s="44" t="str">
        <f>IFERROR(IF((ISERROR(FIND("-P",Relaciones!A439))),"",IF(Relaciones!I439="","",Relaciones!I439)),"")</f>
        <v/>
      </c>
      <c r="F460" s="75"/>
    </row>
    <row r="461" ht="18.0" customHeight="1">
      <c r="A461" s="48" t="str">
        <f>IFERROR(IF((ISERROR(FIND("-P",Relaciones!A440))),"",IF(Relaciones!A440="","",Relaciones!A440)),"")</f>
        <v/>
      </c>
      <c r="B461" s="48" t="str">
        <f>IFERROR(IF((ISERROR(FIND("-P",Relaciones!A440))),"",IF(Relaciones!D440="","",Relaciones!D440)),"")</f>
        <v/>
      </c>
      <c r="C461" s="76" t="str">
        <f>IFERROR(IF((ISERROR(FIND("-P",Relaciones!A440))),"",IF(Relaciones!G440="","",Relaciones!G440)),"")</f>
        <v/>
      </c>
      <c r="D461" s="47" t="str">
        <f>IFERROR(IF((ISERROR(FIND("-P",Relaciones!A440))),"",IF(Relaciones!H440="","",Relaciones!H440)),"")</f>
        <v/>
      </c>
      <c r="E461" s="47" t="str">
        <f>IFERROR(IF((ISERROR(FIND("-P",Relaciones!A440))),"",IF(Relaciones!I440="","",Relaciones!I440)),"")</f>
        <v/>
      </c>
      <c r="F461" s="75"/>
    </row>
    <row r="462" ht="18.0" customHeight="1">
      <c r="A462" s="45" t="str">
        <f>IFERROR(IF((ISERROR(FIND("-P",Relaciones!A441))),"",IF(Relaciones!A441="","",Relaciones!A441)),"")</f>
        <v/>
      </c>
      <c r="B462" s="45" t="str">
        <f>IFERROR(IF((ISERROR(FIND("-P",Relaciones!A441))),"",IF(Relaciones!D441="","",Relaciones!D441)),"")</f>
        <v/>
      </c>
      <c r="C462" s="77" t="str">
        <f>IFERROR(IF((ISERROR(FIND("-P",Relaciones!A441))),"",IF(Relaciones!G441="","",Relaciones!G441)),"")</f>
        <v/>
      </c>
      <c r="D462" s="44" t="str">
        <f>IFERROR(IF((ISERROR(FIND("-P",Relaciones!A441))),"",IF(Relaciones!H441="","",Relaciones!H441)),"")</f>
        <v/>
      </c>
      <c r="E462" s="44" t="str">
        <f>IFERROR(IF((ISERROR(FIND("-P",Relaciones!A441))),"",IF(Relaciones!I441="","",Relaciones!I441)),"")</f>
        <v/>
      </c>
      <c r="F462" s="75"/>
    </row>
    <row r="463" ht="18.0" customHeight="1">
      <c r="A463" s="48" t="str">
        <f>IFERROR(IF((ISERROR(FIND("-P",Relaciones!A442))),"",IF(Relaciones!A442="","",Relaciones!A442)),"")</f>
        <v/>
      </c>
      <c r="B463" s="48" t="str">
        <f>IFERROR(IF((ISERROR(FIND("-P",Relaciones!A442))),"",IF(Relaciones!D442="","",Relaciones!D442)),"")</f>
        <v/>
      </c>
      <c r="C463" s="76" t="str">
        <f>IFERROR(IF((ISERROR(FIND("-P",Relaciones!A442))),"",IF(Relaciones!G442="","",Relaciones!G442)),"")</f>
        <v/>
      </c>
      <c r="D463" s="47" t="str">
        <f>IFERROR(IF((ISERROR(FIND("-P",Relaciones!A442))),"",IF(Relaciones!H442="","",Relaciones!H442)),"")</f>
        <v/>
      </c>
      <c r="E463" s="47" t="str">
        <f>IFERROR(IF((ISERROR(FIND("-P",Relaciones!A442))),"",IF(Relaciones!I442="","",Relaciones!I442)),"")</f>
        <v/>
      </c>
      <c r="F463" s="75"/>
    </row>
    <row r="464" ht="18.0" customHeight="1">
      <c r="A464" s="45" t="str">
        <f>IFERROR(IF((ISERROR(FIND("-P",Relaciones!A443))),"",IF(Relaciones!A443="","",Relaciones!A443)),"")</f>
        <v/>
      </c>
      <c r="B464" s="45" t="str">
        <f>IFERROR(IF((ISERROR(FIND("-P",Relaciones!A443))),"",IF(Relaciones!D443="","",Relaciones!D443)),"")</f>
        <v/>
      </c>
      <c r="C464" s="77" t="str">
        <f>IFERROR(IF((ISERROR(FIND("-P",Relaciones!A443))),"",IF(Relaciones!G443="","",Relaciones!G443)),"")</f>
        <v/>
      </c>
      <c r="D464" s="44" t="str">
        <f>IFERROR(IF((ISERROR(FIND("-P",Relaciones!A443))),"",IF(Relaciones!H443="","",Relaciones!H443)),"")</f>
        <v/>
      </c>
      <c r="E464" s="44" t="str">
        <f>IFERROR(IF((ISERROR(FIND("-P",Relaciones!A443))),"",IF(Relaciones!I443="","",Relaciones!I443)),"")</f>
        <v/>
      </c>
      <c r="F464" s="75"/>
    </row>
    <row r="465" ht="18.0" customHeight="1">
      <c r="A465" s="48" t="str">
        <f>IFERROR(IF((ISERROR(FIND("-P",Relaciones!A444))),"",IF(Relaciones!A444="","",Relaciones!A444)),"")</f>
        <v/>
      </c>
      <c r="B465" s="48" t="str">
        <f>IFERROR(IF((ISERROR(FIND("-P",Relaciones!A444))),"",IF(Relaciones!D444="","",Relaciones!D444)),"")</f>
        <v/>
      </c>
      <c r="C465" s="76" t="str">
        <f>IFERROR(IF((ISERROR(FIND("-P",Relaciones!A444))),"",IF(Relaciones!G444="","",Relaciones!G444)),"")</f>
        <v/>
      </c>
      <c r="D465" s="47" t="str">
        <f>IFERROR(IF((ISERROR(FIND("-P",Relaciones!A444))),"",IF(Relaciones!H444="","",Relaciones!H444)),"")</f>
        <v/>
      </c>
      <c r="E465" s="47" t="str">
        <f>IFERROR(IF((ISERROR(FIND("-P",Relaciones!A444))),"",IF(Relaciones!I444="","",Relaciones!I444)),"")</f>
        <v/>
      </c>
      <c r="F465" s="75"/>
    </row>
    <row r="466" ht="18.0" customHeight="1">
      <c r="A466" s="45" t="str">
        <f>IFERROR(IF((ISERROR(FIND("-P",Relaciones!A445))),"",IF(Relaciones!A445="","",Relaciones!A445)),"")</f>
        <v/>
      </c>
      <c r="B466" s="45" t="str">
        <f>IFERROR(IF((ISERROR(FIND("-P",Relaciones!A445))),"",IF(Relaciones!D445="","",Relaciones!D445)),"")</f>
        <v/>
      </c>
      <c r="C466" s="77" t="str">
        <f>IFERROR(IF((ISERROR(FIND("-P",Relaciones!A445))),"",IF(Relaciones!G445="","",Relaciones!G445)),"")</f>
        <v/>
      </c>
      <c r="D466" s="44" t="str">
        <f>IFERROR(IF((ISERROR(FIND("-P",Relaciones!A445))),"",IF(Relaciones!H445="","",Relaciones!H445)),"")</f>
        <v/>
      </c>
      <c r="E466" s="44" t="str">
        <f>IFERROR(IF((ISERROR(FIND("-P",Relaciones!A445))),"",IF(Relaciones!I445="","",Relaciones!I445)),"")</f>
        <v/>
      </c>
      <c r="F466" s="75"/>
    </row>
    <row r="467" ht="18.0" customHeight="1">
      <c r="A467" s="48" t="str">
        <f>IFERROR(IF((ISERROR(FIND("-P",Relaciones!A446))),"",IF(Relaciones!A446="","",Relaciones!A446)),"")</f>
        <v/>
      </c>
      <c r="B467" s="48" t="str">
        <f>IFERROR(IF((ISERROR(FIND("-P",Relaciones!A446))),"",IF(Relaciones!D446="","",Relaciones!D446)),"")</f>
        <v/>
      </c>
      <c r="C467" s="76" t="str">
        <f>IFERROR(IF((ISERROR(FIND("-P",Relaciones!A446))),"",IF(Relaciones!G446="","",Relaciones!G446)),"")</f>
        <v/>
      </c>
      <c r="D467" s="47" t="str">
        <f>IFERROR(IF((ISERROR(FIND("-P",Relaciones!A446))),"",IF(Relaciones!H446="","",Relaciones!H446)),"")</f>
        <v/>
      </c>
      <c r="E467" s="47" t="str">
        <f>IFERROR(IF((ISERROR(FIND("-P",Relaciones!A446))),"",IF(Relaciones!I446="","",Relaciones!I446)),"")</f>
        <v/>
      </c>
      <c r="F467" s="75"/>
    </row>
    <row r="468" ht="18.0" customHeight="1">
      <c r="A468" s="45" t="str">
        <f>IFERROR(IF((ISERROR(FIND("-P",Relaciones!A447))),"",IF(Relaciones!A447="","",Relaciones!A447)),"")</f>
        <v/>
      </c>
      <c r="B468" s="45" t="str">
        <f>IFERROR(IF((ISERROR(FIND("-P",Relaciones!A447))),"",IF(Relaciones!D447="","",Relaciones!D447)),"")</f>
        <v/>
      </c>
      <c r="C468" s="77" t="str">
        <f>IFERROR(IF((ISERROR(FIND("-P",Relaciones!A447))),"",IF(Relaciones!G447="","",Relaciones!G447)),"")</f>
        <v/>
      </c>
      <c r="D468" s="44" t="str">
        <f>IFERROR(IF((ISERROR(FIND("-P",Relaciones!A447))),"",IF(Relaciones!H447="","",Relaciones!H447)),"")</f>
        <v/>
      </c>
      <c r="E468" s="44" t="str">
        <f>IFERROR(IF((ISERROR(FIND("-P",Relaciones!A447))),"",IF(Relaciones!I447="","",Relaciones!I447)),"")</f>
        <v/>
      </c>
      <c r="F468" s="75"/>
    </row>
    <row r="469" ht="18.0" customHeight="1">
      <c r="A469" s="48" t="str">
        <f>IFERROR(IF((ISERROR(FIND("-P",Relaciones!A448))),"",IF(Relaciones!A448="","",Relaciones!A448)),"")</f>
        <v/>
      </c>
      <c r="B469" s="48" t="str">
        <f>IFERROR(IF((ISERROR(FIND("-P",Relaciones!A448))),"",IF(Relaciones!D448="","",Relaciones!D448)),"")</f>
        <v/>
      </c>
      <c r="C469" s="76" t="str">
        <f>IFERROR(IF((ISERROR(FIND("-P",Relaciones!A448))),"",IF(Relaciones!G448="","",Relaciones!G448)),"")</f>
        <v/>
      </c>
      <c r="D469" s="47" t="str">
        <f>IFERROR(IF((ISERROR(FIND("-P",Relaciones!A448))),"",IF(Relaciones!H448="","",Relaciones!H448)),"")</f>
        <v/>
      </c>
      <c r="E469" s="47" t="str">
        <f>IFERROR(IF((ISERROR(FIND("-P",Relaciones!A448))),"",IF(Relaciones!I448="","",Relaciones!I448)),"")</f>
        <v/>
      </c>
      <c r="F469" s="75"/>
    </row>
    <row r="470" ht="18.0" customHeight="1">
      <c r="A470" s="45" t="str">
        <f>IFERROR(IF((ISERROR(FIND("-P",Relaciones!A449))),"",IF(Relaciones!A449="","",Relaciones!A449)),"")</f>
        <v/>
      </c>
      <c r="B470" s="45" t="str">
        <f>IFERROR(IF((ISERROR(FIND("-P",Relaciones!A449))),"",IF(Relaciones!D449="","",Relaciones!D449)),"")</f>
        <v/>
      </c>
      <c r="C470" s="77" t="str">
        <f>IFERROR(IF((ISERROR(FIND("-P",Relaciones!A449))),"",IF(Relaciones!G449="","",Relaciones!G449)),"")</f>
        <v/>
      </c>
      <c r="D470" s="44" t="str">
        <f>IFERROR(IF((ISERROR(FIND("-P",Relaciones!A449))),"",IF(Relaciones!H449="","",Relaciones!H449)),"")</f>
        <v/>
      </c>
      <c r="E470" s="44" t="str">
        <f>IFERROR(IF((ISERROR(FIND("-P",Relaciones!A449))),"",IF(Relaciones!I449="","",Relaciones!I449)),"")</f>
        <v/>
      </c>
      <c r="F470" s="75"/>
    </row>
    <row r="471" ht="18.0" customHeight="1">
      <c r="A471" s="48" t="str">
        <f>IFERROR(IF((ISERROR(FIND("-P",Relaciones!A450))),"",IF(Relaciones!A450="","",Relaciones!A450)),"")</f>
        <v/>
      </c>
      <c r="B471" s="48" t="str">
        <f>IFERROR(IF((ISERROR(FIND("-P",Relaciones!A450))),"",IF(Relaciones!D450="","",Relaciones!D450)),"")</f>
        <v/>
      </c>
      <c r="C471" s="76" t="str">
        <f>IFERROR(IF((ISERROR(FIND("-P",Relaciones!A450))),"",IF(Relaciones!G450="","",Relaciones!G450)),"")</f>
        <v/>
      </c>
      <c r="D471" s="47" t="str">
        <f>IFERROR(IF((ISERROR(FIND("-P",Relaciones!A450))),"",IF(Relaciones!H450="","",Relaciones!H450)),"")</f>
        <v/>
      </c>
      <c r="E471" s="47" t="str">
        <f>IFERROR(IF((ISERROR(FIND("-P",Relaciones!A450))),"",IF(Relaciones!I450="","",Relaciones!I450)),"")</f>
        <v/>
      </c>
      <c r="F471" s="75"/>
    </row>
    <row r="472" ht="18.0" customHeight="1">
      <c r="A472" s="45" t="str">
        <f>IFERROR(IF((ISERROR(FIND("-P",Relaciones!A451))),"",IF(Relaciones!A451="","",Relaciones!A451)),"")</f>
        <v/>
      </c>
      <c r="B472" s="45" t="str">
        <f>IFERROR(IF((ISERROR(FIND("-P",Relaciones!A451))),"",IF(Relaciones!D451="","",Relaciones!D451)),"")</f>
        <v/>
      </c>
      <c r="C472" s="77" t="str">
        <f>IFERROR(IF((ISERROR(FIND("-P",Relaciones!A451))),"",IF(Relaciones!G451="","",Relaciones!G451)),"")</f>
        <v/>
      </c>
      <c r="D472" s="44" t="str">
        <f>IFERROR(IF((ISERROR(FIND("-P",Relaciones!A451))),"",IF(Relaciones!H451="","",Relaciones!H451)),"")</f>
        <v/>
      </c>
      <c r="E472" s="44" t="str">
        <f>IFERROR(IF((ISERROR(FIND("-P",Relaciones!A451))),"",IF(Relaciones!I451="","",Relaciones!I451)),"")</f>
        <v/>
      </c>
      <c r="F472" s="75"/>
    </row>
    <row r="473" ht="18.0" customHeight="1">
      <c r="A473" s="48" t="str">
        <f>IFERROR(IF((ISERROR(FIND("-P",Relaciones!A452))),"",IF(Relaciones!A452="","",Relaciones!A452)),"")</f>
        <v/>
      </c>
      <c r="B473" s="48" t="str">
        <f>IFERROR(IF((ISERROR(FIND("-P",Relaciones!A452))),"",IF(Relaciones!D452="","",Relaciones!D452)),"")</f>
        <v/>
      </c>
      <c r="C473" s="76" t="str">
        <f>IFERROR(IF((ISERROR(FIND("-P",Relaciones!A452))),"",IF(Relaciones!G452="","",Relaciones!G452)),"")</f>
        <v/>
      </c>
      <c r="D473" s="47" t="str">
        <f>IFERROR(IF((ISERROR(FIND("-P",Relaciones!A452))),"",IF(Relaciones!H452="","",Relaciones!H452)),"")</f>
        <v/>
      </c>
      <c r="E473" s="47" t="str">
        <f>IFERROR(IF((ISERROR(FIND("-P",Relaciones!A452))),"",IF(Relaciones!I452="","",Relaciones!I452)),"")</f>
        <v/>
      </c>
      <c r="F473" s="75"/>
    </row>
    <row r="474" ht="18.0" customHeight="1">
      <c r="A474" s="45" t="str">
        <f>IFERROR(IF((ISERROR(FIND("-P",Relaciones!A453))),"",IF(Relaciones!A453="","",Relaciones!A453)),"")</f>
        <v/>
      </c>
      <c r="B474" s="45" t="str">
        <f>IFERROR(IF((ISERROR(FIND("-P",Relaciones!A453))),"",IF(Relaciones!D453="","",Relaciones!D453)),"")</f>
        <v/>
      </c>
      <c r="C474" s="77" t="str">
        <f>IFERROR(IF((ISERROR(FIND("-P",Relaciones!A453))),"",IF(Relaciones!G453="","",Relaciones!G453)),"")</f>
        <v/>
      </c>
      <c r="D474" s="44" t="str">
        <f>IFERROR(IF((ISERROR(FIND("-P",Relaciones!A453))),"",IF(Relaciones!H453="","",Relaciones!H453)),"")</f>
        <v/>
      </c>
      <c r="E474" s="44" t="str">
        <f>IFERROR(IF((ISERROR(FIND("-P",Relaciones!A453))),"",IF(Relaciones!I453="","",Relaciones!I453)),"")</f>
        <v/>
      </c>
      <c r="F474" s="75"/>
    </row>
    <row r="475" ht="18.0" customHeight="1">
      <c r="A475" s="48" t="str">
        <f>IFERROR(IF((ISERROR(FIND("-P",Relaciones!A454))),"",IF(Relaciones!A454="","",Relaciones!A454)),"")</f>
        <v/>
      </c>
      <c r="B475" s="48" t="str">
        <f>IFERROR(IF((ISERROR(FIND("-P",Relaciones!A454))),"",IF(Relaciones!D454="","",Relaciones!D454)),"")</f>
        <v/>
      </c>
      <c r="C475" s="76" t="str">
        <f>IFERROR(IF((ISERROR(FIND("-P",Relaciones!A454))),"",IF(Relaciones!G454="","",Relaciones!G454)),"")</f>
        <v/>
      </c>
      <c r="D475" s="47" t="str">
        <f>IFERROR(IF((ISERROR(FIND("-P",Relaciones!A454))),"",IF(Relaciones!H454="","",Relaciones!H454)),"")</f>
        <v/>
      </c>
      <c r="E475" s="47" t="str">
        <f>IFERROR(IF((ISERROR(FIND("-P",Relaciones!A454))),"",IF(Relaciones!I454="","",Relaciones!I454)),"")</f>
        <v/>
      </c>
      <c r="F475" s="75"/>
    </row>
    <row r="476" ht="18.0" customHeight="1">
      <c r="A476" s="45" t="str">
        <f>IFERROR(IF((ISERROR(FIND("-P",Relaciones!A455))),"",IF(Relaciones!A455="","",Relaciones!A455)),"")</f>
        <v/>
      </c>
      <c r="B476" s="45" t="str">
        <f>IFERROR(IF((ISERROR(FIND("-P",Relaciones!A455))),"",IF(Relaciones!D455="","",Relaciones!D455)),"")</f>
        <v/>
      </c>
      <c r="C476" s="77" t="str">
        <f>IFERROR(IF((ISERROR(FIND("-P",Relaciones!A455))),"",IF(Relaciones!G455="","",Relaciones!G455)),"")</f>
        <v/>
      </c>
      <c r="D476" s="44" t="str">
        <f>IFERROR(IF((ISERROR(FIND("-P",Relaciones!A455))),"",IF(Relaciones!H455="","",Relaciones!H455)),"")</f>
        <v/>
      </c>
      <c r="E476" s="44" t="str">
        <f>IFERROR(IF((ISERROR(FIND("-P",Relaciones!A455))),"",IF(Relaciones!I455="","",Relaciones!I455)),"")</f>
        <v/>
      </c>
      <c r="F476" s="75"/>
    </row>
    <row r="477" ht="18.0" customHeight="1">
      <c r="A477" s="48" t="str">
        <f>IFERROR(IF((ISERROR(FIND("-P",Relaciones!A456))),"",IF(Relaciones!A456="","",Relaciones!A456)),"")</f>
        <v/>
      </c>
      <c r="B477" s="48" t="str">
        <f>IFERROR(IF((ISERROR(FIND("-P",Relaciones!A456))),"",IF(Relaciones!D456="","",Relaciones!D456)),"")</f>
        <v/>
      </c>
      <c r="C477" s="76" t="str">
        <f>IFERROR(IF((ISERROR(FIND("-P",Relaciones!A456))),"",IF(Relaciones!G456="","",Relaciones!G456)),"")</f>
        <v/>
      </c>
      <c r="D477" s="47" t="str">
        <f>IFERROR(IF((ISERROR(FIND("-P",Relaciones!A456))),"",IF(Relaciones!H456="","",Relaciones!H456)),"")</f>
        <v/>
      </c>
      <c r="E477" s="47" t="str">
        <f>IFERROR(IF((ISERROR(FIND("-P",Relaciones!A456))),"",IF(Relaciones!I456="","",Relaciones!I456)),"")</f>
        <v/>
      </c>
      <c r="F477" s="75"/>
    </row>
    <row r="478" ht="18.0" customHeight="1">
      <c r="A478" s="45" t="str">
        <f>IFERROR(IF((ISERROR(FIND("-P",Relaciones!A457))),"",IF(Relaciones!A457="","",Relaciones!A457)),"")</f>
        <v/>
      </c>
      <c r="B478" s="45" t="str">
        <f>IFERROR(IF((ISERROR(FIND("-P",Relaciones!A457))),"",IF(Relaciones!D457="","",Relaciones!D457)),"")</f>
        <v/>
      </c>
      <c r="C478" s="77" t="str">
        <f>IFERROR(IF((ISERROR(FIND("-P",Relaciones!A457))),"",IF(Relaciones!G457="","",Relaciones!G457)),"")</f>
        <v/>
      </c>
      <c r="D478" s="44" t="str">
        <f>IFERROR(IF((ISERROR(FIND("-P",Relaciones!A457))),"",IF(Relaciones!H457="","",Relaciones!H457)),"")</f>
        <v/>
      </c>
      <c r="E478" s="44" t="str">
        <f>IFERROR(IF((ISERROR(FIND("-P",Relaciones!A457))),"",IF(Relaciones!I457="","",Relaciones!I457)),"")</f>
        <v/>
      </c>
      <c r="F478" s="75"/>
    </row>
    <row r="479" ht="18.0" customHeight="1">
      <c r="A479" s="48" t="str">
        <f>IFERROR(IF((ISERROR(FIND("-P",Relaciones!A458))),"",IF(Relaciones!A458="","",Relaciones!A458)),"")</f>
        <v/>
      </c>
      <c r="B479" s="48" t="str">
        <f>IFERROR(IF((ISERROR(FIND("-P",Relaciones!A458))),"",IF(Relaciones!D458="","",Relaciones!D458)),"")</f>
        <v/>
      </c>
      <c r="C479" s="76" t="str">
        <f>IFERROR(IF((ISERROR(FIND("-P",Relaciones!A458))),"",IF(Relaciones!G458="","",Relaciones!G458)),"")</f>
        <v/>
      </c>
      <c r="D479" s="47" t="str">
        <f>IFERROR(IF((ISERROR(FIND("-P",Relaciones!A458))),"",IF(Relaciones!H458="","",Relaciones!H458)),"")</f>
        <v/>
      </c>
      <c r="E479" s="47" t="str">
        <f>IFERROR(IF((ISERROR(FIND("-P",Relaciones!A458))),"",IF(Relaciones!I458="","",Relaciones!I458)),"")</f>
        <v/>
      </c>
      <c r="F479" s="75"/>
    </row>
    <row r="480" ht="18.0" customHeight="1">
      <c r="A480" s="45" t="str">
        <f>IFERROR(IF((ISERROR(FIND("-P",Relaciones!A459))),"",IF(Relaciones!A459="","",Relaciones!A459)),"")</f>
        <v/>
      </c>
      <c r="B480" s="45" t="str">
        <f>IFERROR(IF((ISERROR(FIND("-P",Relaciones!A459))),"",IF(Relaciones!D459="","",Relaciones!D459)),"")</f>
        <v/>
      </c>
      <c r="C480" s="77" t="str">
        <f>IFERROR(IF((ISERROR(FIND("-P",Relaciones!A459))),"",IF(Relaciones!G459="","",Relaciones!G459)),"")</f>
        <v/>
      </c>
      <c r="D480" s="44" t="str">
        <f>IFERROR(IF((ISERROR(FIND("-P",Relaciones!A459))),"",IF(Relaciones!H459="","",Relaciones!H459)),"")</f>
        <v/>
      </c>
      <c r="E480" s="44" t="str">
        <f>IFERROR(IF((ISERROR(FIND("-P",Relaciones!A459))),"",IF(Relaciones!I459="","",Relaciones!I459)),"")</f>
        <v/>
      </c>
      <c r="F480" s="75"/>
    </row>
    <row r="481" ht="18.0" customHeight="1">
      <c r="A481" s="48" t="str">
        <f>IFERROR(IF((ISERROR(FIND("-P",Relaciones!A460))),"",IF(Relaciones!A460="","",Relaciones!A460)),"")</f>
        <v/>
      </c>
      <c r="B481" s="48" t="str">
        <f>IFERROR(IF((ISERROR(FIND("-P",Relaciones!A460))),"",IF(Relaciones!D460="","",Relaciones!D460)),"")</f>
        <v/>
      </c>
      <c r="C481" s="76" t="str">
        <f>IFERROR(IF((ISERROR(FIND("-P",Relaciones!A460))),"",IF(Relaciones!G460="","",Relaciones!G460)),"")</f>
        <v/>
      </c>
      <c r="D481" s="47" t="str">
        <f>IFERROR(IF((ISERROR(FIND("-P",Relaciones!A460))),"",IF(Relaciones!H460="","",Relaciones!H460)),"")</f>
        <v/>
      </c>
      <c r="E481" s="47" t="str">
        <f>IFERROR(IF((ISERROR(FIND("-P",Relaciones!A460))),"",IF(Relaciones!I460="","",Relaciones!I460)),"")</f>
        <v/>
      </c>
      <c r="F481" s="75"/>
    </row>
    <row r="482" ht="18.0" customHeight="1">
      <c r="A482" s="45" t="str">
        <f>IFERROR(IF((ISERROR(FIND("-P",Relaciones!A461))),"",IF(Relaciones!A461="","",Relaciones!A461)),"")</f>
        <v/>
      </c>
      <c r="B482" s="45" t="str">
        <f>IFERROR(IF((ISERROR(FIND("-P",Relaciones!A461))),"",IF(Relaciones!D461="","",Relaciones!D461)),"")</f>
        <v/>
      </c>
      <c r="C482" s="77" t="str">
        <f>IFERROR(IF((ISERROR(FIND("-P",Relaciones!A461))),"",IF(Relaciones!G461="","",Relaciones!G461)),"")</f>
        <v/>
      </c>
      <c r="D482" s="44" t="str">
        <f>IFERROR(IF((ISERROR(FIND("-P",Relaciones!A461))),"",IF(Relaciones!H461="","",Relaciones!H461)),"")</f>
        <v/>
      </c>
      <c r="E482" s="44" t="str">
        <f>IFERROR(IF((ISERROR(FIND("-P",Relaciones!A461))),"",IF(Relaciones!I461="","",Relaciones!I461)),"")</f>
        <v/>
      </c>
      <c r="F482" s="75"/>
    </row>
    <row r="483" ht="18.0" customHeight="1">
      <c r="A483" s="48" t="str">
        <f>IFERROR(IF((ISERROR(FIND("-P",Relaciones!A462))),"",IF(Relaciones!A462="","",Relaciones!A462)),"")</f>
        <v/>
      </c>
      <c r="B483" s="48" t="str">
        <f>IFERROR(IF((ISERROR(FIND("-P",Relaciones!A462))),"",IF(Relaciones!D462="","",Relaciones!D462)),"")</f>
        <v/>
      </c>
      <c r="C483" s="76" t="str">
        <f>IFERROR(IF((ISERROR(FIND("-P",Relaciones!A462))),"",IF(Relaciones!G462="","",Relaciones!G462)),"")</f>
        <v/>
      </c>
      <c r="D483" s="47" t="str">
        <f>IFERROR(IF((ISERROR(FIND("-P",Relaciones!A462))),"",IF(Relaciones!H462="","",Relaciones!H462)),"")</f>
        <v/>
      </c>
      <c r="E483" s="47" t="str">
        <f>IFERROR(IF((ISERROR(FIND("-P",Relaciones!A462))),"",IF(Relaciones!I462="","",Relaciones!I462)),"")</f>
        <v/>
      </c>
      <c r="F483" s="75"/>
    </row>
    <row r="484" ht="18.0" customHeight="1">
      <c r="A484" s="45" t="str">
        <f>IFERROR(IF((ISERROR(FIND("-P",Relaciones!A463))),"",IF(Relaciones!A463="","",Relaciones!A463)),"")</f>
        <v/>
      </c>
      <c r="B484" s="45" t="str">
        <f>IFERROR(IF((ISERROR(FIND("-P",Relaciones!A463))),"",IF(Relaciones!D463="","",Relaciones!D463)),"")</f>
        <v/>
      </c>
      <c r="C484" s="77" t="str">
        <f>IFERROR(IF((ISERROR(FIND("-P",Relaciones!A463))),"",IF(Relaciones!G463="","",Relaciones!G463)),"")</f>
        <v/>
      </c>
      <c r="D484" s="44" t="str">
        <f>IFERROR(IF((ISERROR(FIND("-P",Relaciones!A463))),"",IF(Relaciones!H463="","",Relaciones!H463)),"")</f>
        <v/>
      </c>
      <c r="E484" s="44" t="str">
        <f>IFERROR(IF((ISERROR(FIND("-P",Relaciones!A463))),"",IF(Relaciones!I463="","",Relaciones!I463)),"")</f>
        <v/>
      </c>
      <c r="F484" s="75"/>
    </row>
    <row r="485" ht="18.0" customHeight="1">
      <c r="A485" s="48" t="str">
        <f>IFERROR(IF((ISERROR(FIND("-P",Relaciones!A464))),"",IF(Relaciones!A464="","",Relaciones!A464)),"")</f>
        <v/>
      </c>
      <c r="B485" s="48" t="str">
        <f>IFERROR(IF((ISERROR(FIND("-P",Relaciones!A464))),"",IF(Relaciones!D464="","",Relaciones!D464)),"")</f>
        <v/>
      </c>
      <c r="C485" s="76" t="str">
        <f>IFERROR(IF((ISERROR(FIND("-P",Relaciones!A464))),"",IF(Relaciones!G464="","",Relaciones!G464)),"")</f>
        <v/>
      </c>
      <c r="D485" s="47" t="str">
        <f>IFERROR(IF((ISERROR(FIND("-P",Relaciones!A464))),"",IF(Relaciones!H464="","",Relaciones!H464)),"")</f>
        <v/>
      </c>
      <c r="E485" s="47" t="str">
        <f>IFERROR(IF((ISERROR(FIND("-P",Relaciones!A464))),"",IF(Relaciones!I464="","",Relaciones!I464)),"")</f>
        <v/>
      </c>
      <c r="F485" s="75"/>
    </row>
    <row r="486" ht="18.0" customHeight="1">
      <c r="A486" s="45" t="str">
        <f>IFERROR(IF((ISERROR(FIND("-P",Relaciones!A465))),"",IF(Relaciones!A465="","",Relaciones!A465)),"")</f>
        <v/>
      </c>
      <c r="B486" s="45" t="str">
        <f>IFERROR(IF((ISERROR(FIND("-P",Relaciones!A465))),"",IF(Relaciones!D465="","",Relaciones!D465)),"")</f>
        <v/>
      </c>
      <c r="C486" s="77" t="str">
        <f>IFERROR(IF((ISERROR(FIND("-P",Relaciones!A465))),"",IF(Relaciones!G465="","",Relaciones!G465)),"")</f>
        <v/>
      </c>
      <c r="D486" s="44" t="str">
        <f>IFERROR(IF((ISERROR(FIND("-P",Relaciones!A465))),"",IF(Relaciones!H465="","",Relaciones!H465)),"")</f>
        <v/>
      </c>
      <c r="E486" s="44" t="str">
        <f>IFERROR(IF((ISERROR(FIND("-P",Relaciones!A465))),"",IF(Relaciones!I465="","",Relaciones!I465)),"")</f>
        <v/>
      </c>
      <c r="F486" s="75"/>
    </row>
    <row r="487" ht="18.0" customHeight="1">
      <c r="A487" s="48" t="str">
        <f>IFERROR(IF((ISERROR(FIND("-P",Relaciones!A466))),"",IF(Relaciones!A466="","",Relaciones!A466)),"")</f>
        <v/>
      </c>
      <c r="B487" s="48" t="str">
        <f>IFERROR(IF((ISERROR(FIND("-P",Relaciones!A466))),"",IF(Relaciones!D466="","",Relaciones!D466)),"")</f>
        <v/>
      </c>
      <c r="C487" s="76" t="str">
        <f>IFERROR(IF((ISERROR(FIND("-P",Relaciones!A466))),"",IF(Relaciones!G466="","",Relaciones!G466)),"")</f>
        <v/>
      </c>
      <c r="D487" s="47" t="str">
        <f>IFERROR(IF((ISERROR(FIND("-P",Relaciones!A466))),"",IF(Relaciones!H466="","",Relaciones!H466)),"")</f>
        <v/>
      </c>
      <c r="E487" s="47" t="str">
        <f>IFERROR(IF((ISERROR(FIND("-P",Relaciones!A466))),"",IF(Relaciones!I466="","",Relaciones!I466)),"")</f>
        <v/>
      </c>
      <c r="F487" s="75"/>
    </row>
    <row r="488" ht="18.0" customHeight="1">
      <c r="A488" s="45" t="str">
        <f>IFERROR(IF((ISERROR(FIND("-P",Relaciones!A467))),"",IF(Relaciones!A467="","",Relaciones!A467)),"")</f>
        <v/>
      </c>
      <c r="B488" s="45" t="str">
        <f>IFERROR(IF((ISERROR(FIND("-P",Relaciones!A467))),"",IF(Relaciones!D467="","",Relaciones!D467)),"")</f>
        <v/>
      </c>
      <c r="C488" s="77" t="str">
        <f>IFERROR(IF((ISERROR(FIND("-P",Relaciones!A467))),"",IF(Relaciones!G467="","",Relaciones!G467)),"")</f>
        <v/>
      </c>
      <c r="D488" s="44" t="str">
        <f>IFERROR(IF((ISERROR(FIND("-P",Relaciones!A467))),"",IF(Relaciones!H467="","",Relaciones!H467)),"")</f>
        <v/>
      </c>
      <c r="E488" s="44" t="str">
        <f>IFERROR(IF((ISERROR(FIND("-P",Relaciones!A467))),"",IF(Relaciones!I467="","",Relaciones!I467)),"")</f>
        <v/>
      </c>
      <c r="F488" s="75"/>
    </row>
    <row r="489" ht="18.0" customHeight="1">
      <c r="A489" s="48" t="str">
        <f>IFERROR(IF((ISERROR(FIND("-P",Relaciones!A468))),"",IF(Relaciones!A468="","",Relaciones!A468)),"")</f>
        <v/>
      </c>
      <c r="B489" s="48" t="str">
        <f>IFERROR(IF((ISERROR(FIND("-P",Relaciones!A468))),"",IF(Relaciones!D468="","",Relaciones!D468)),"")</f>
        <v/>
      </c>
      <c r="C489" s="76" t="str">
        <f>IFERROR(IF((ISERROR(FIND("-P",Relaciones!A468))),"",IF(Relaciones!G468="","",Relaciones!G468)),"")</f>
        <v/>
      </c>
      <c r="D489" s="47" t="str">
        <f>IFERROR(IF((ISERROR(FIND("-P",Relaciones!A468))),"",IF(Relaciones!H468="","",Relaciones!H468)),"")</f>
        <v/>
      </c>
      <c r="E489" s="47" t="str">
        <f>IFERROR(IF((ISERROR(FIND("-P",Relaciones!A468))),"",IF(Relaciones!I468="","",Relaciones!I468)),"")</f>
        <v/>
      </c>
      <c r="F489" s="75"/>
    </row>
    <row r="490" ht="18.0" customHeight="1">
      <c r="A490" s="45" t="str">
        <f>IFERROR(IF((ISERROR(FIND("-P",Relaciones!A469))),"",IF(Relaciones!A469="","",Relaciones!A469)),"")</f>
        <v/>
      </c>
      <c r="B490" s="45" t="str">
        <f>IFERROR(IF((ISERROR(FIND("-P",Relaciones!A469))),"",IF(Relaciones!D469="","",Relaciones!D469)),"")</f>
        <v/>
      </c>
      <c r="C490" s="77" t="str">
        <f>IFERROR(IF((ISERROR(FIND("-P",Relaciones!A469))),"",IF(Relaciones!G469="","",Relaciones!G469)),"")</f>
        <v/>
      </c>
      <c r="D490" s="44" t="str">
        <f>IFERROR(IF((ISERROR(FIND("-P",Relaciones!A469))),"",IF(Relaciones!H469="","",Relaciones!H469)),"")</f>
        <v/>
      </c>
      <c r="E490" s="44" t="str">
        <f>IFERROR(IF((ISERROR(FIND("-P",Relaciones!A469))),"",IF(Relaciones!I469="","",Relaciones!I469)),"")</f>
        <v/>
      </c>
      <c r="F490" s="75"/>
    </row>
    <row r="491" ht="18.0" customHeight="1">
      <c r="A491" s="48" t="str">
        <f>IFERROR(IF((ISERROR(FIND("-P",Relaciones!A470))),"",IF(Relaciones!A470="","",Relaciones!A470)),"")</f>
        <v/>
      </c>
      <c r="B491" s="48" t="str">
        <f>IFERROR(IF((ISERROR(FIND("-P",Relaciones!A470))),"",IF(Relaciones!D470="","",Relaciones!D470)),"")</f>
        <v/>
      </c>
      <c r="C491" s="76" t="str">
        <f>IFERROR(IF((ISERROR(FIND("-P",Relaciones!A470))),"",IF(Relaciones!G470="","",Relaciones!G470)),"")</f>
        <v/>
      </c>
      <c r="D491" s="47" t="str">
        <f>IFERROR(IF((ISERROR(FIND("-P",Relaciones!A470))),"",IF(Relaciones!H470="","",Relaciones!H470)),"")</f>
        <v/>
      </c>
      <c r="E491" s="47" t="str">
        <f>IFERROR(IF((ISERROR(FIND("-P",Relaciones!A470))),"",IF(Relaciones!I470="","",Relaciones!I470)),"")</f>
        <v/>
      </c>
      <c r="F491" s="75"/>
    </row>
    <row r="492" ht="18.0" customHeight="1">
      <c r="A492" s="45" t="str">
        <f>IFERROR(IF((ISERROR(FIND("-P",Relaciones!A471))),"",IF(Relaciones!A471="","",Relaciones!A471)),"")</f>
        <v/>
      </c>
      <c r="B492" s="45" t="str">
        <f>IFERROR(IF((ISERROR(FIND("-P",Relaciones!A471))),"",IF(Relaciones!D471="","",Relaciones!D471)),"")</f>
        <v/>
      </c>
      <c r="C492" s="77" t="str">
        <f>IFERROR(IF((ISERROR(FIND("-P",Relaciones!A471))),"",IF(Relaciones!G471="","",Relaciones!G471)),"")</f>
        <v/>
      </c>
      <c r="D492" s="44" t="str">
        <f>IFERROR(IF((ISERROR(FIND("-P",Relaciones!A471))),"",IF(Relaciones!H471="","",Relaciones!H471)),"")</f>
        <v/>
      </c>
      <c r="E492" s="44" t="str">
        <f>IFERROR(IF((ISERROR(FIND("-P",Relaciones!A471))),"",IF(Relaciones!I471="","",Relaciones!I471)),"")</f>
        <v/>
      </c>
      <c r="F492" s="75"/>
    </row>
    <row r="493" ht="18.0" customHeight="1">
      <c r="A493" s="48" t="str">
        <f>IFERROR(IF((ISERROR(FIND("-P",Relaciones!A472))),"",IF(Relaciones!A472="","",Relaciones!A472)),"")</f>
        <v/>
      </c>
      <c r="B493" s="48" t="str">
        <f>IFERROR(IF((ISERROR(FIND("-P",Relaciones!A472))),"",IF(Relaciones!D472="","",Relaciones!D472)),"")</f>
        <v/>
      </c>
      <c r="C493" s="76" t="str">
        <f>IFERROR(IF((ISERROR(FIND("-P",Relaciones!A472))),"",IF(Relaciones!G472="","",Relaciones!G472)),"")</f>
        <v/>
      </c>
      <c r="D493" s="47" t="str">
        <f>IFERROR(IF((ISERROR(FIND("-P",Relaciones!A472))),"",IF(Relaciones!H472="","",Relaciones!H472)),"")</f>
        <v/>
      </c>
      <c r="E493" s="47" t="str">
        <f>IFERROR(IF((ISERROR(FIND("-P",Relaciones!A472))),"",IF(Relaciones!I472="","",Relaciones!I472)),"")</f>
        <v/>
      </c>
      <c r="F493" s="75"/>
    </row>
    <row r="494" ht="18.0" customHeight="1">
      <c r="A494" s="45" t="str">
        <f>IFERROR(IF((ISERROR(FIND("-P",Relaciones!A473))),"",IF(Relaciones!A473="","",Relaciones!A473)),"")</f>
        <v/>
      </c>
      <c r="B494" s="45" t="str">
        <f>IFERROR(IF((ISERROR(FIND("-P",Relaciones!A473))),"",IF(Relaciones!D473="","",Relaciones!D473)),"")</f>
        <v/>
      </c>
      <c r="C494" s="77" t="str">
        <f>IFERROR(IF((ISERROR(FIND("-P",Relaciones!A473))),"",IF(Relaciones!G473="","",Relaciones!G473)),"")</f>
        <v/>
      </c>
      <c r="D494" s="44" t="str">
        <f>IFERROR(IF((ISERROR(FIND("-P",Relaciones!A473))),"",IF(Relaciones!H473="","",Relaciones!H473)),"")</f>
        <v/>
      </c>
      <c r="E494" s="44" t="str">
        <f>IFERROR(IF((ISERROR(FIND("-P",Relaciones!A473))),"",IF(Relaciones!I473="","",Relaciones!I473)),"")</f>
        <v/>
      </c>
      <c r="F494" s="75"/>
    </row>
    <row r="495" ht="18.0" customHeight="1">
      <c r="A495" s="48" t="str">
        <f>IFERROR(IF((ISERROR(FIND("-P",Relaciones!A474))),"",IF(Relaciones!A474="","",Relaciones!A474)),"")</f>
        <v/>
      </c>
      <c r="B495" s="48" t="str">
        <f>IFERROR(IF((ISERROR(FIND("-P",Relaciones!A474))),"",IF(Relaciones!D474="","",Relaciones!D474)),"")</f>
        <v/>
      </c>
      <c r="C495" s="76" t="str">
        <f>IFERROR(IF((ISERROR(FIND("-P",Relaciones!A474))),"",IF(Relaciones!G474="","",Relaciones!G474)),"")</f>
        <v/>
      </c>
      <c r="D495" s="47" t="str">
        <f>IFERROR(IF((ISERROR(FIND("-P",Relaciones!A474))),"",IF(Relaciones!H474="","",Relaciones!H474)),"")</f>
        <v/>
      </c>
      <c r="E495" s="47" t="str">
        <f>IFERROR(IF((ISERROR(FIND("-P",Relaciones!A474))),"",IF(Relaciones!I474="","",Relaciones!I474)),"")</f>
        <v/>
      </c>
      <c r="F495" s="75"/>
    </row>
    <row r="496" ht="18.0" customHeight="1">
      <c r="A496" s="45" t="str">
        <f>IFERROR(IF((ISERROR(FIND("-P",Relaciones!A475))),"",IF(Relaciones!A475="","",Relaciones!A475)),"")</f>
        <v/>
      </c>
      <c r="B496" s="45" t="str">
        <f>IFERROR(IF((ISERROR(FIND("-P",Relaciones!A475))),"",IF(Relaciones!D475="","",Relaciones!D475)),"")</f>
        <v/>
      </c>
      <c r="C496" s="77" t="str">
        <f>IFERROR(IF((ISERROR(FIND("-P",Relaciones!A475))),"",IF(Relaciones!G475="","",Relaciones!G475)),"")</f>
        <v/>
      </c>
      <c r="D496" s="44" t="str">
        <f>IFERROR(IF((ISERROR(FIND("-P",Relaciones!A475))),"",IF(Relaciones!H475="","",Relaciones!H475)),"")</f>
        <v/>
      </c>
      <c r="E496" s="44" t="str">
        <f>IFERROR(IF((ISERROR(FIND("-P",Relaciones!A475))),"",IF(Relaciones!I475="","",Relaciones!I475)),"")</f>
        <v/>
      </c>
      <c r="F496" s="75"/>
    </row>
    <row r="497" ht="18.0" customHeight="1">
      <c r="A497" s="48" t="str">
        <f>IFERROR(IF((ISERROR(FIND("-P",Relaciones!A476))),"",IF(Relaciones!A476="","",Relaciones!A476)),"")</f>
        <v/>
      </c>
      <c r="B497" s="48" t="str">
        <f>IFERROR(IF((ISERROR(FIND("-P",Relaciones!A476))),"",IF(Relaciones!D476="","",Relaciones!D476)),"")</f>
        <v/>
      </c>
      <c r="C497" s="76" t="str">
        <f>IFERROR(IF((ISERROR(FIND("-P",Relaciones!A476))),"",IF(Relaciones!G476="","",Relaciones!G476)),"")</f>
        <v/>
      </c>
      <c r="D497" s="47" t="str">
        <f>IFERROR(IF((ISERROR(FIND("-P",Relaciones!A476))),"",IF(Relaciones!H476="","",Relaciones!H476)),"")</f>
        <v/>
      </c>
      <c r="E497" s="47" t="str">
        <f>IFERROR(IF((ISERROR(FIND("-P",Relaciones!A476))),"",IF(Relaciones!I476="","",Relaciones!I476)),"")</f>
        <v/>
      </c>
      <c r="F497" s="75"/>
    </row>
    <row r="498" ht="18.0" customHeight="1">
      <c r="A498" s="45" t="str">
        <f>IFERROR(IF((ISERROR(FIND("-P",Relaciones!A477))),"",IF(Relaciones!A477="","",Relaciones!A477)),"")</f>
        <v/>
      </c>
      <c r="B498" s="45" t="str">
        <f>IFERROR(IF((ISERROR(FIND("-P",Relaciones!A477))),"",IF(Relaciones!D477="","",Relaciones!D477)),"")</f>
        <v/>
      </c>
      <c r="C498" s="77" t="str">
        <f>IFERROR(IF((ISERROR(FIND("-P",Relaciones!A477))),"",IF(Relaciones!G477="","",Relaciones!G477)),"")</f>
        <v/>
      </c>
      <c r="D498" s="44" t="str">
        <f>IFERROR(IF((ISERROR(FIND("-P",Relaciones!A477))),"",IF(Relaciones!H477="","",Relaciones!H477)),"")</f>
        <v/>
      </c>
      <c r="E498" s="44" t="str">
        <f>IFERROR(IF((ISERROR(FIND("-P",Relaciones!A477))),"",IF(Relaciones!I477="","",Relaciones!I477)),"")</f>
        <v/>
      </c>
      <c r="F498" s="75"/>
    </row>
    <row r="499" ht="18.0" customHeight="1">
      <c r="A499" s="48" t="str">
        <f>IFERROR(IF((ISERROR(FIND("-P",Relaciones!A478))),"",IF(Relaciones!A478="","",Relaciones!A478)),"")</f>
        <v/>
      </c>
      <c r="B499" s="48" t="str">
        <f>IFERROR(IF((ISERROR(FIND("-P",Relaciones!A478))),"",IF(Relaciones!D478="","",Relaciones!D478)),"")</f>
        <v/>
      </c>
      <c r="C499" s="76" t="str">
        <f>IFERROR(IF((ISERROR(FIND("-P",Relaciones!A478))),"",IF(Relaciones!G478="","",Relaciones!G478)),"")</f>
        <v/>
      </c>
      <c r="D499" s="47" t="str">
        <f>IFERROR(IF((ISERROR(FIND("-P",Relaciones!A478))),"",IF(Relaciones!H478="","",Relaciones!H478)),"")</f>
        <v/>
      </c>
      <c r="E499" s="47" t="str">
        <f>IFERROR(IF((ISERROR(FIND("-P",Relaciones!A478))),"",IF(Relaciones!I478="","",Relaciones!I478)),"")</f>
        <v/>
      </c>
      <c r="F499" s="75"/>
    </row>
    <row r="500" ht="18.0" customHeight="1">
      <c r="A500" s="45" t="str">
        <f>IFERROR(IF((ISERROR(FIND("-P",Relaciones!A479))),"",IF(Relaciones!A479="","",Relaciones!A479)),"")</f>
        <v/>
      </c>
      <c r="B500" s="45" t="str">
        <f>IFERROR(IF((ISERROR(FIND("-P",Relaciones!A479))),"",IF(Relaciones!D479="","",Relaciones!D479)),"")</f>
        <v/>
      </c>
      <c r="C500" s="77" t="str">
        <f>IFERROR(IF((ISERROR(FIND("-P",Relaciones!A479))),"",IF(Relaciones!G479="","",Relaciones!G479)),"")</f>
        <v/>
      </c>
      <c r="D500" s="44" t="str">
        <f>IFERROR(IF((ISERROR(FIND("-P",Relaciones!A479))),"",IF(Relaciones!H479="","",Relaciones!H479)),"")</f>
        <v/>
      </c>
      <c r="E500" s="44" t="str">
        <f>IFERROR(IF((ISERROR(FIND("-P",Relaciones!A479))),"",IF(Relaciones!I479="","",Relaciones!I479)),"")</f>
        <v/>
      </c>
      <c r="F500" s="75"/>
    </row>
    <row r="501" ht="18.0" customHeight="1">
      <c r="A501" s="48" t="str">
        <f>IFERROR(IF((ISERROR(FIND("-P",Relaciones!A480))),"",IF(Relaciones!A480="","",Relaciones!A480)),"")</f>
        <v/>
      </c>
      <c r="B501" s="48" t="str">
        <f>IFERROR(IF((ISERROR(FIND("-P",Relaciones!A480))),"",IF(Relaciones!D480="","",Relaciones!D480)),"")</f>
        <v/>
      </c>
      <c r="C501" s="76" t="str">
        <f>IFERROR(IF((ISERROR(FIND("-P",Relaciones!A480))),"",IF(Relaciones!G480="","",Relaciones!G480)),"")</f>
        <v/>
      </c>
      <c r="D501" s="47" t="str">
        <f>IFERROR(IF((ISERROR(FIND("-P",Relaciones!A480))),"",IF(Relaciones!H480="","",Relaciones!H480)),"")</f>
        <v/>
      </c>
      <c r="E501" s="47" t="str">
        <f>IFERROR(IF((ISERROR(FIND("-P",Relaciones!A480))),"",IF(Relaciones!I480="","",Relaciones!I480)),"")</f>
        <v/>
      </c>
      <c r="F501" s="75"/>
    </row>
    <row r="502" ht="18.0" customHeight="1">
      <c r="A502" s="45" t="str">
        <f>IFERROR(IF((ISERROR(FIND("-P",Relaciones!A481))),"",IF(Relaciones!A481="","",Relaciones!A481)),"")</f>
        <v/>
      </c>
      <c r="B502" s="45" t="str">
        <f>IFERROR(IF((ISERROR(FIND("-P",Relaciones!A481))),"",IF(Relaciones!D481="","",Relaciones!D481)),"")</f>
        <v/>
      </c>
      <c r="C502" s="77" t="str">
        <f>IFERROR(IF((ISERROR(FIND("-P",Relaciones!A481))),"",IF(Relaciones!G481="","",Relaciones!G481)),"")</f>
        <v/>
      </c>
      <c r="D502" s="44" t="str">
        <f>IFERROR(IF((ISERROR(FIND("-P",Relaciones!A481))),"",IF(Relaciones!H481="","",Relaciones!H481)),"")</f>
        <v/>
      </c>
      <c r="E502" s="44" t="str">
        <f>IFERROR(IF((ISERROR(FIND("-P",Relaciones!A481))),"",IF(Relaciones!I481="","",Relaciones!I481)),"")</f>
        <v/>
      </c>
      <c r="F502" s="75"/>
    </row>
    <row r="503" ht="18.0" customHeight="1">
      <c r="A503" s="48" t="str">
        <f>IFERROR(IF((ISERROR(FIND("-P",Relaciones!A482))),"",IF(Relaciones!A482="","",Relaciones!A482)),"")</f>
        <v/>
      </c>
      <c r="B503" s="48" t="str">
        <f>IFERROR(IF((ISERROR(FIND("-P",Relaciones!A482))),"",IF(Relaciones!D482="","",Relaciones!D482)),"")</f>
        <v/>
      </c>
      <c r="C503" s="76" t="str">
        <f>IFERROR(IF((ISERROR(FIND("-P",Relaciones!A482))),"",IF(Relaciones!G482="","",Relaciones!G482)),"")</f>
        <v/>
      </c>
      <c r="D503" s="47" t="str">
        <f>IFERROR(IF((ISERROR(FIND("-P",Relaciones!A482))),"",IF(Relaciones!H482="","",Relaciones!H482)),"")</f>
        <v/>
      </c>
      <c r="E503" s="47" t="str">
        <f>IFERROR(IF((ISERROR(FIND("-P",Relaciones!A482))),"",IF(Relaciones!I482="","",Relaciones!I482)),"")</f>
        <v/>
      </c>
      <c r="F503" s="75"/>
    </row>
    <row r="504" ht="18.0" customHeight="1">
      <c r="A504" s="45" t="str">
        <f>IFERROR(IF((ISERROR(FIND("-P",Relaciones!A483))),"",IF(Relaciones!A483="","",Relaciones!A483)),"")</f>
        <v/>
      </c>
      <c r="B504" s="45" t="str">
        <f>IFERROR(IF((ISERROR(FIND("-P",Relaciones!A483))),"",IF(Relaciones!D483="","",Relaciones!D483)),"")</f>
        <v/>
      </c>
      <c r="C504" s="77" t="str">
        <f>IFERROR(IF((ISERROR(FIND("-P",Relaciones!A483))),"",IF(Relaciones!G483="","",Relaciones!G483)),"")</f>
        <v/>
      </c>
      <c r="D504" s="44" t="str">
        <f>IFERROR(IF((ISERROR(FIND("-P",Relaciones!A483))),"",IF(Relaciones!H483="","",Relaciones!H483)),"")</f>
        <v/>
      </c>
      <c r="E504" s="44" t="str">
        <f>IFERROR(IF((ISERROR(FIND("-P",Relaciones!A483))),"",IF(Relaciones!I483="","",Relaciones!I483)),"")</f>
        <v/>
      </c>
      <c r="F504" s="75"/>
    </row>
    <row r="505" ht="18.0" customHeight="1">
      <c r="A505" s="48" t="str">
        <f>IFERROR(IF((ISERROR(FIND("-P",Relaciones!A484))),"",IF(Relaciones!A484="","",Relaciones!A484)),"")</f>
        <v/>
      </c>
      <c r="B505" s="48" t="str">
        <f>IFERROR(IF((ISERROR(FIND("-P",Relaciones!A484))),"",IF(Relaciones!D484="","",Relaciones!D484)),"")</f>
        <v/>
      </c>
      <c r="C505" s="76" t="str">
        <f>IFERROR(IF((ISERROR(FIND("-P",Relaciones!A484))),"",IF(Relaciones!G484="","",Relaciones!G484)),"")</f>
        <v/>
      </c>
      <c r="D505" s="47" t="str">
        <f>IFERROR(IF((ISERROR(FIND("-P",Relaciones!A484))),"",IF(Relaciones!H484="","",Relaciones!H484)),"")</f>
        <v/>
      </c>
      <c r="E505" s="47" t="str">
        <f>IFERROR(IF((ISERROR(FIND("-P",Relaciones!A484))),"",IF(Relaciones!I484="","",Relaciones!I484)),"")</f>
        <v/>
      </c>
      <c r="F505" s="75"/>
    </row>
    <row r="506" ht="18.0" customHeight="1">
      <c r="A506" s="45" t="str">
        <f>IFERROR(IF((ISERROR(FIND("-P",Relaciones!A485))),"",IF(Relaciones!A485="","",Relaciones!A485)),"")</f>
        <v/>
      </c>
      <c r="B506" s="45" t="str">
        <f>IFERROR(IF((ISERROR(FIND("-P",Relaciones!A485))),"",IF(Relaciones!D485="","",Relaciones!D485)),"")</f>
        <v/>
      </c>
      <c r="C506" s="77" t="str">
        <f>IFERROR(IF((ISERROR(FIND("-P",Relaciones!A485))),"",IF(Relaciones!G485="","",Relaciones!G485)),"")</f>
        <v/>
      </c>
      <c r="D506" s="44" t="str">
        <f>IFERROR(IF((ISERROR(FIND("-P",Relaciones!A485))),"",IF(Relaciones!H485="","",Relaciones!H485)),"")</f>
        <v/>
      </c>
      <c r="E506" s="44" t="str">
        <f>IFERROR(IF((ISERROR(FIND("-P",Relaciones!A485))),"",IF(Relaciones!I485="","",Relaciones!I485)),"")</f>
        <v/>
      </c>
      <c r="F506" s="75"/>
    </row>
    <row r="507" ht="18.0" customHeight="1">
      <c r="A507" s="48" t="str">
        <f>IFERROR(IF((ISERROR(FIND("-P",Relaciones!A486))),"",IF(Relaciones!A486="","",Relaciones!A486)),"")</f>
        <v/>
      </c>
      <c r="B507" s="48" t="str">
        <f>IFERROR(IF((ISERROR(FIND("-P",Relaciones!A486))),"",IF(Relaciones!D486="","",Relaciones!D486)),"")</f>
        <v/>
      </c>
      <c r="C507" s="76" t="str">
        <f>IFERROR(IF((ISERROR(FIND("-P",Relaciones!A486))),"",IF(Relaciones!G486="","",Relaciones!G486)),"")</f>
        <v/>
      </c>
      <c r="D507" s="47" t="str">
        <f>IFERROR(IF((ISERROR(FIND("-P",Relaciones!A486))),"",IF(Relaciones!H486="","",Relaciones!H486)),"")</f>
        <v/>
      </c>
      <c r="E507" s="47" t="str">
        <f>IFERROR(IF((ISERROR(FIND("-P",Relaciones!A486))),"",IF(Relaciones!I486="","",Relaciones!I486)),"")</f>
        <v/>
      </c>
      <c r="F507" s="75"/>
    </row>
    <row r="508" ht="18.0" customHeight="1">
      <c r="A508" s="45" t="str">
        <f>IFERROR(IF((ISERROR(FIND("-P",Relaciones!A487))),"",IF(Relaciones!A487="","",Relaciones!A487)),"")</f>
        <v/>
      </c>
      <c r="B508" s="45" t="str">
        <f>IFERROR(IF((ISERROR(FIND("-P",Relaciones!A487))),"",IF(Relaciones!D487="","",Relaciones!D487)),"")</f>
        <v/>
      </c>
      <c r="C508" s="77" t="str">
        <f>IFERROR(IF((ISERROR(FIND("-P",Relaciones!A487))),"",IF(Relaciones!G487="","",Relaciones!G487)),"")</f>
        <v/>
      </c>
      <c r="D508" s="44" t="str">
        <f>IFERROR(IF((ISERROR(FIND("-P",Relaciones!A487))),"",IF(Relaciones!H487="","",Relaciones!H487)),"")</f>
        <v/>
      </c>
      <c r="E508" s="44" t="str">
        <f>IFERROR(IF((ISERROR(FIND("-P",Relaciones!A487))),"",IF(Relaciones!I487="","",Relaciones!I487)),"")</f>
        <v/>
      </c>
      <c r="F508" s="75"/>
    </row>
    <row r="509" ht="18.0" customHeight="1">
      <c r="A509" s="48" t="str">
        <f>IFERROR(IF((ISERROR(FIND("-P",Relaciones!A488))),"",IF(Relaciones!A488="","",Relaciones!A488)),"")</f>
        <v/>
      </c>
      <c r="B509" s="48" t="str">
        <f>IFERROR(IF((ISERROR(FIND("-P",Relaciones!A488))),"",IF(Relaciones!D488="","",Relaciones!D488)),"")</f>
        <v/>
      </c>
      <c r="C509" s="76" t="str">
        <f>IFERROR(IF((ISERROR(FIND("-P",Relaciones!A488))),"",IF(Relaciones!G488="","",Relaciones!G488)),"")</f>
        <v/>
      </c>
      <c r="D509" s="47" t="str">
        <f>IFERROR(IF((ISERROR(FIND("-P",Relaciones!A488))),"",IF(Relaciones!H488="","",Relaciones!H488)),"")</f>
        <v/>
      </c>
      <c r="E509" s="47" t="str">
        <f>IFERROR(IF((ISERROR(FIND("-P",Relaciones!A488))),"",IF(Relaciones!I488="","",Relaciones!I488)),"")</f>
        <v/>
      </c>
      <c r="F509" s="75"/>
    </row>
    <row r="510" ht="18.0" customHeight="1">
      <c r="A510" s="45" t="str">
        <f>IFERROR(IF((ISERROR(FIND("-P",Relaciones!A489))),"",IF(Relaciones!A489="","",Relaciones!A489)),"")</f>
        <v/>
      </c>
      <c r="B510" s="45" t="str">
        <f>IFERROR(IF((ISERROR(FIND("-P",Relaciones!A489))),"",IF(Relaciones!D489="","",Relaciones!D489)),"")</f>
        <v/>
      </c>
      <c r="C510" s="77" t="str">
        <f>IFERROR(IF((ISERROR(FIND("-P",Relaciones!A489))),"",IF(Relaciones!G489="","",Relaciones!G489)),"")</f>
        <v/>
      </c>
      <c r="D510" s="44" t="str">
        <f>IFERROR(IF((ISERROR(FIND("-P",Relaciones!A489))),"",IF(Relaciones!H489="","",Relaciones!H489)),"")</f>
        <v/>
      </c>
      <c r="E510" s="44" t="str">
        <f>IFERROR(IF((ISERROR(FIND("-P",Relaciones!A489))),"",IF(Relaciones!I489="","",Relaciones!I489)),"")</f>
        <v/>
      </c>
      <c r="F510" s="75"/>
    </row>
    <row r="511" ht="18.0" customHeight="1">
      <c r="A511" s="48" t="str">
        <f>IFERROR(IF((ISERROR(FIND("-P",Relaciones!A490))),"",IF(Relaciones!A490="","",Relaciones!A490)),"")</f>
        <v/>
      </c>
      <c r="B511" s="48" t="str">
        <f>IFERROR(IF((ISERROR(FIND("-P",Relaciones!A490))),"",IF(Relaciones!D490="","",Relaciones!D490)),"")</f>
        <v/>
      </c>
      <c r="C511" s="76" t="str">
        <f>IFERROR(IF((ISERROR(FIND("-P",Relaciones!A490))),"",IF(Relaciones!G490="","",Relaciones!G490)),"")</f>
        <v/>
      </c>
      <c r="D511" s="47" t="str">
        <f>IFERROR(IF((ISERROR(FIND("-P",Relaciones!A490))),"",IF(Relaciones!H490="","",Relaciones!H490)),"")</f>
        <v/>
      </c>
      <c r="E511" s="47" t="str">
        <f>IFERROR(IF((ISERROR(FIND("-P",Relaciones!A490))),"",IF(Relaciones!I490="","",Relaciones!I490)),"")</f>
        <v/>
      </c>
      <c r="F511" s="75"/>
    </row>
    <row r="512" ht="18.0" customHeight="1">
      <c r="A512" s="45" t="str">
        <f>IFERROR(IF((ISERROR(FIND("-P",Relaciones!A491))),"",IF(Relaciones!A491="","",Relaciones!A491)),"")</f>
        <v/>
      </c>
      <c r="B512" s="45" t="str">
        <f>IFERROR(IF((ISERROR(FIND("-P",Relaciones!A491))),"",IF(Relaciones!D491="","",Relaciones!D491)),"")</f>
        <v/>
      </c>
      <c r="C512" s="77" t="str">
        <f>IFERROR(IF((ISERROR(FIND("-P",Relaciones!A491))),"",IF(Relaciones!G491="","",Relaciones!G491)),"")</f>
        <v/>
      </c>
      <c r="D512" s="44" t="str">
        <f>IFERROR(IF((ISERROR(FIND("-P",Relaciones!A491))),"",IF(Relaciones!H491="","",Relaciones!H491)),"")</f>
        <v/>
      </c>
      <c r="E512" s="44" t="str">
        <f>IFERROR(IF((ISERROR(FIND("-P",Relaciones!A491))),"",IF(Relaciones!I491="","",Relaciones!I491)),"")</f>
        <v/>
      </c>
      <c r="F512" s="75"/>
    </row>
    <row r="513" ht="18.0" customHeight="1">
      <c r="A513" s="48" t="str">
        <f>IFERROR(IF((ISERROR(FIND("-P",Relaciones!A492))),"",IF(Relaciones!A492="","",Relaciones!A492)),"")</f>
        <v/>
      </c>
      <c r="B513" s="48" t="str">
        <f>IFERROR(IF((ISERROR(FIND("-P",Relaciones!A492))),"",IF(Relaciones!D492="","",Relaciones!D492)),"")</f>
        <v/>
      </c>
      <c r="C513" s="76" t="str">
        <f>IFERROR(IF((ISERROR(FIND("-P",Relaciones!A492))),"",IF(Relaciones!G492="","",Relaciones!G492)),"")</f>
        <v/>
      </c>
      <c r="D513" s="47" t="str">
        <f>IFERROR(IF((ISERROR(FIND("-P",Relaciones!A492))),"",IF(Relaciones!H492="","",Relaciones!H492)),"")</f>
        <v/>
      </c>
      <c r="E513" s="47" t="str">
        <f>IFERROR(IF((ISERROR(FIND("-P",Relaciones!A492))),"",IF(Relaciones!I492="","",Relaciones!I492)),"")</f>
        <v/>
      </c>
      <c r="F513" s="75"/>
    </row>
    <row r="514" ht="18.0" customHeight="1">
      <c r="A514" s="45" t="str">
        <f>IFERROR(IF((ISERROR(FIND("-P",Relaciones!A493))),"",IF(Relaciones!A493="","",Relaciones!A493)),"")</f>
        <v/>
      </c>
      <c r="B514" s="45" t="str">
        <f>IFERROR(IF((ISERROR(FIND("-P",Relaciones!A493))),"",IF(Relaciones!D493="","",Relaciones!D493)),"")</f>
        <v/>
      </c>
      <c r="C514" s="77" t="str">
        <f>IFERROR(IF((ISERROR(FIND("-P",Relaciones!A493))),"",IF(Relaciones!G493="","",Relaciones!G493)),"")</f>
        <v/>
      </c>
      <c r="D514" s="44" t="str">
        <f>IFERROR(IF((ISERROR(FIND("-P",Relaciones!A493))),"",IF(Relaciones!H493="","",Relaciones!H493)),"")</f>
        <v/>
      </c>
      <c r="E514" s="44" t="str">
        <f>IFERROR(IF((ISERROR(FIND("-P",Relaciones!A493))),"",IF(Relaciones!I493="","",Relaciones!I493)),"")</f>
        <v/>
      </c>
      <c r="F514" s="75"/>
    </row>
    <row r="515" ht="18.0" customHeight="1">
      <c r="A515" s="48" t="str">
        <f>IFERROR(IF((ISERROR(FIND("-P",Relaciones!A494))),"",IF(Relaciones!A494="","",Relaciones!A494)),"")</f>
        <v/>
      </c>
      <c r="B515" s="48" t="str">
        <f>IFERROR(IF((ISERROR(FIND("-P",Relaciones!A494))),"",IF(Relaciones!D494="","",Relaciones!D494)),"")</f>
        <v/>
      </c>
      <c r="C515" s="76" t="str">
        <f>IFERROR(IF((ISERROR(FIND("-P",Relaciones!A494))),"",IF(Relaciones!G494="","",Relaciones!G494)),"")</f>
        <v/>
      </c>
      <c r="D515" s="47" t="str">
        <f>IFERROR(IF((ISERROR(FIND("-P",Relaciones!A494))),"",IF(Relaciones!H494="","",Relaciones!H494)),"")</f>
        <v/>
      </c>
      <c r="E515" s="47" t="str">
        <f>IFERROR(IF((ISERROR(FIND("-P",Relaciones!A494))),"",IF(Relaciones!I494="","",Relaciones!I494)),"")</f>
        <v/>
      </c>
      <c r="F515" s="75"/>
    </row>
    <row r="516" ht="18.0" customHeight="1">
      <c r="A516" s="45" t="str">
        <f>IFERROR(IF((ISERROR(FIND("-P",Relaciones!A495))),"",IF(Relaciones!A495="","",Relaciones!A495)),"")</f>
        <v/>
      </c>
      <c r="B516" s="45" t="str">
        <f>IFERROR(IF((ISERROR(FIND("-P",Relaciones!A495))),"",IF(Relaciones!D495="","",Relaciones!D495)),"")</f>
        <v/>
      </c>
      <c r="C516" s="77" t="str">
        <f>IFERROR(IF((ISERROR(FIND("-P",Relaciones!A495))),"",IF(Relaciones!G495="","",Relaciones!G495)),"")</f>
        <v/>
      </c>
      <c r="D516" s="44" t="str">
        <f>IFERROR(IF((ISERROR(FIND("-P",Relaciones!A495))),"",IF(Relaciones!H495="","",Relaciones!H495)),"")</f>
        <v/>
      </c>
      <c r="E516" s="44" t="str">
        <f>IFERROR(IF((ISERROR(FIND("-P",Relaciones!A495))),"",IF(Relaciones!I495="","",Relaciones!I495)),"")</f>
        <v/>
      </c>
      <c r="F516" s="75"/>
    </row>
    <row r="517" ht="18.0" customHeight="1">
      <c r="A517" s="48" t="str">
        <f>IFERROR(IF((ISERROR(FIND("-P",Relaciones!A496))),"",IF(Relaciones!A496="","",Relaciones!A496)),"")</f>
        <v/>
      </c>
      <c r="B517" s="48" t="str">
        <f>IFERROR(IF((ISERROR(FIND("-P",Relaciones!A496))),"",IF(Relaciones!D496="","",Relaciones!D496)),"")</f>
        <v/>
      </c>
      <c r="C517" s="76" t="str">
        <f>IFERROR(IF((ISERROR(FIND("-P",Relaciones!A496))),"",IF(Relaciones!G496="","",Relaciones!G496)),"")</f>
        <v/>
      </c>
      <c r="D517" s="47" t="str">
        <f>IFERROR(IF((ISERROR(FIND("-P",Relaciones!A496))),"",IF(Relaciones!H496="","",Relaciones!H496)),"")</f>
        <v/>
      </c>
      <c r="E517" s="47" t="str">
        <f>IFERROR(IF((ISERROR(FIND("-P",Relaciones!A496))),"",IF(Relaciones!I496="","",Relaciones!I496)),"")</f>
        <v/>
      </c>
      <c r="F517" s="75"/>
    </row>
    <row r="518" ht="18.0" customHeight="1">
      <c r="A518" s="45" t="str">
        <f>IFERROR(IF((ISERROR(FIND("-P",Relaciones!A497))),"",IF(Relaciones!A497="","",Relaciones!A497)),"")</f>
        <v/>
      </c>
      <c r="B518" s="45" t="str">
        <f>IFERROR(IF((ISERROR(FIND("-P",Relaciones!A497))),"",IF(Relaciones!D497="","",Relaciones!D497)),"")</f>
        <v/>
      </c>
      <c r="C518" s="77" t="str">
        <f>IFERROR(IF((ISERROR(FIND("-P",Relaciones!A497))),"",IF(Relaciones!G497="","",Relaciones!G497)),"")</f>
        <v/>
      </c>
      <c r="D518" s="44" t="str">
        <f>IFERROR(IF((ISERROR(FIND("-P",Relaciones!A497))),"",IF(Relaciones!H497="","",Relaciones!H497)),"")</f>
        <v/>
      </c>
      <c r="E518" s="44" t="str">
        <f>IFERROR(IF((ISERROR(FIND("-P",Relaciones!A497))),"",IF(Relaciones!I497="","",Relaciones!I497)),"")</f>
        <v/>
      </c>
      <c r="F518" s="75"/>
    </row>
    <row r="519" ht="18.0" customHeight="1">
      <c r="A519" s="48" t="str">
        <f>IFERROR(IF((ISERROR(FIND("-P",Relaciones!A498))),"",IF(Relaciones!A498="","",Relaciones!A498)),"")</f>
        <v/>
      </c>
      <c r="B519" s="48" t="str">
        <f>IFERROR(IF((ISERROR(FIND("-P",Relaciones!A498))),"",IF(Relaciones!D498="","",Relaciones!D498)),"")</f>
        <v/>
      </c>
      <c r="C519" s="76" t="str">
        <f>IFERROR(IF((ISERROR(FIND("-P",Relaciones!A498))),"",IF(Relaciones!G498="","",Relaciones!G498)),"")</f>
        <v/>
      </c>
      <c r="D519" s="47" t="str">
        <f>IFERROR(IF((ISERROR(FIND("-P",Relaciones!A498))),"",IF(Relaciones!H498="","",Relaciones!H498)),"")</f>
        <v/>
      </c>
      <c r="E519" s="47" t="str">
        <f>IFERROR(IF((ISERROR(FIND("-P",Relaciones!A498))),"",IF(Relaciones!I498="","",Relaciones!I498)),"")</f>
        <v/>
      </c>
      <c r="F519" s="75"/>
    </row>
    <row r="520" ht="18.0" customHeight="1">
      <c r="A520" s="45" t="str">
        <f>IFERROR(IF((ISERROR(FIND("-P",Relaciones!A499))),"",IF(Relaciones!A499="","",Relaciones!A499)),"")</f>
        <v/>
      </c>
      <c r="B520" s="45" t="str">
        <f>IFERROR(IF((ISERROR(FIND("-P",Relaciones!A499))),"",IF(Relaciones!D499="","",Relaciones!D499)),"")</f>
        <v/>
      </c>
      <c r="C520" s="77" t="str">
        <f>IFERROR(IF((ISERROR(FIND("-P",Relaciones!A499))),"",IF(Relaciones!G499="","",Relaciones!G499)),"")</f>
        <v/>
      </c>
      <c r="D520" s="44" t="str">
        <f>IFERROR(IF((ISERROR(FIND("-P",Relaciones!A499))),"",IF(Relaciones!H499="","",Relaciones!H499)),"")</f>
        <v/>
      </c>
      <c r="E520" s="44" t="str">
        <f>IFERROR(IF((ISERROR(FIND("-P",Relaciones!A499))),"",IF(Relaciones!I499="","",Relaciones!I499)),"")</f>
        <v/>
      </c>
      <c r="F520" s="75"/>
    </row>
    <row r="521" ht="18.0" customHeight="1">
      <c r="A521" s="48" t="str">
        <f>IFERROR(IF((ISERROR(FIND("-P",Relaciones!A500))),"",IF(Relaciones!A500="","",Relaciones!A500)),"")</f>
        <v/>
      </c>
      <c r="B521" s="48" t="str">
        <f>IFERROR(IF((ISERROR(FIND("-P",Relaciones!A500))),"",IF(Relaciones!D500="","",Relaciones!D500)),"")</f>
        <v/>
      </c>
      <c r="C521" s="76" t="str">
        <f>IFERROR(IF((ISERROR(FIND("-P",Relaciones!A500))),"",IF(Relaciones!G500="","",Relaciones!G500)),"")</f>
        <v/>
      </c>
      <c r="D521" s="47" t="str">
        <f>IFERROR(IF((ISERROR(FIND("-P",Relaciones!A500))),"",IF(Relaciones!H500="","",Relaciones!H500)),"")</f>
        <v/>
      </c>
      <c r="E521" s="47" t="str">
        <f>IFERROR(IF((ISERROR(FIND("-P",Relaciones!A500))),"",IF(Relaciones!I500="","",Relaciones!I500)),"")</f>
        <v/>
      </c>
      <c r="F521" s="75"/>
    </row>
    <row r="522" ht="18.0" customHeight="1">
      <c r="A522" s="45" t="str">
        <f>IFERROR(IF((ISERROR(FIND("-P",Relaciones!A501))),"",IF(Relaciones!A501="","",Relaciones!A501)),"")</f>
        <v/>
      </c>
      <c r="B522" s="45" t="str">
        <f>IFERROR(IF((ISERROR(FIND("-P",Relaciones!A501))),"",IF(Relaciones!D501="","",Relaciones!D501)),"")</f>
        <v/>
      </c>
      <c r="C522" s="77" t="str">
        <f>IFERROR(IF((ISERROR(FIND("-P",Relaciones!A501))),"",IF(Relaciones!G501="","",Relaciones!G501)),"")</f>
        <v/>
      </c>
      <c r="D522" s="44" t="str">
        <f>IFERROR(IF((ISERROR(FIND("-P",Relaciones!A501))),"",IF(Relaciones!H501="","",Relaciones!H501)),"")</f>
        <v/>
      </c>
      <c r="E522" s="44" t="str">
        <f>IFERROR(IF((ISERROR(FIND("-P",Relaciones!A501))),"",IF(Relaciones!I501="","",Relaciones!I501)),"")</f>
        <v/>
      </c>
      <c r="F522" s="75"/>
    </row>
    <row r="523" ht="18.0" customHeight="1">
      <c r="A523" s="48" t="str">
        <f>IFERROR(IF((ISERROR(FIND("-P",Relaciones!A502))),"",IF(Relaciones!A502="","",Relaciones!A502)),"")</f>
        <v/>
      </c>
      <c r="B523" s="48" t="str">
        <f>IFERROR(IF((ISERROR(FIND("-P",Relaciones!A502))),"",IF(Relaciones!D502="","",Relaciones!D502)),"")</f>
        <v/>
      </c>
      <c r="C523" s="76" t="str">
        <f>IFERROR(IF((ISERROR(FIND("-P",Relaciones!A502))),"",IF(Relaciones!G502="","",Relaciones!G502)),"")</f>
        <v/>
      </c>
      <c r="D523" s="47" t="str">
        <f>IFERROR(IF((ISERROR(FIND("-P",Relaciones!A502))),"",IF(Relaciones!H502="","",Relaciones!H502)),"")</f>
        <v/>
      </c>
      <c r="E523" s="47" t="str">
        <f>IFERROR(IF((ISERROR(FIND("-P",Relaciones!A502))),"",IF(Relaciones!I502="","",Relaciones!I502)),"")</f>
        <v/>
      </c>
      <c r="F523" s="75"/>
    </row>
    <row r="524" ht="15.0" customHeight="1">
      <c r="A524" s="75"/>
      <c r="B524" s="75"/>
      <c r="C524" s="75"/>
      <c r="D524" s="75"/>
      <c r="E524" s="75"/>
      <c r="F524" s="75"/>
    </row>
    <row r="525" ht="15.0" customHeight="1">
      <c r="A525" s="75"/>
      <c r="B525" s="75"/>
      <c r="C525" s="75"/>
      <c r="D525" s="75"/>
      <c r="E525" s="75"/>
      <c r="F525" s="75"/>
    </row>
    <row r="526" ht="15.0" customHeight="1">
      <c r="A526" s="75"/>
      <c r="B526" s="75"/>
      <c r="C526" s="75"/>
      <c r="D526" s="75"/>
      <c r="E526" s="75"/>
      <c r="F526" s="75"/>
    </row>
    <row r="527" ht="15.0" customHeight="1">
      <c r="A527" s="75"/>
      <c r="B527" s="75"/>
      <c r="C527" s="75"/>
      <c r="D527" s="75"/>
      <c r="E527" s="75"/>
      <c r="F527" s="75"/>
    </row>
    <row r="528" ht="15.0" customHeight="1">
      <c r="A528" s="75"/>
      <c r="B528" s="75"/>
      <c r="C528" s="75"/>
      <c r="D528" s="75"/>
      <c r="E528" s="75"/>
      <c r="F528" s="75"/>
    </row>
    <row r="529" ht="14.25" customHeight="1">
      <c r="A529" s="20"/>
      <c r="B529" s="20"/>
      <c r="C529" s="20"/>
      <c r="D529" s="20"/>
      <c r="E529" s="20"/>
      <c r="F529" s="20"/>
    </row>
    <row r="530" ht="14.25" customHeight="1">
      <c r="A530" s="20"/>
      <c r="B530" s="20"/>
      <c r="C530" s="20"/>
      <c r="D530" s="20"/>
      <c r="E530" s="20"/>
      <c r="F530" s="20"/>
    </row>
    <row r="531" ht="14.25" customHeight="1">
      <c r="A531" s="20"/>
      <c r="B531" s="20"/>
      <c r="C531" s="20"/>
      <c r="D531" s="20"/>
      <c r="E531" s="20"/>
      <c r="F531" s="20"/>
    </row>
    <row r="532" ht="14.25" customHeight="1">
      <c r="A532" s="20"/>
      <c r="B532" s="20"/>
      <c r="C532" s="20"/>
      <c r="D532" s="20"/>
      <c r="E532" s="20"/>
      <c r="F532" s="20"/>
    </row>
    <row r="533" ht="14.25" customHeight="1">
      <c r="A533" s="20"/>
      <c r="B533" s="20"/>
      <c r="C533" s="20"/>
      <c r="D533" s="20"/>
      <c r="E533" s="20"/>
      <c r="F533" s="20"/>
    </row>
    <row r="534" ht="14.25" customHeight="1">
      <c r="A534" s="20"/>
      <c r="B534" s="20"/>
      <c r="C534" s="20"/>
      <c r="D534" s="20"/>
      <c r="E534" s="20"/>
      <c r="F534" s="20"/>
    </row>
    <row r="535" ht="14.25" customHeight="1">
      <c r="A535" s="20"/>
      <c r="B535" s="20"/>
      <c r="C535" s="20"/>
      <c r="D535" s="20"/>
      <c r="E535" s="20"/>
      <c r="F535" s="20"/>
    </row>
    <row r="536" ht="14.25" customHeight="1">
      <c r="A536" s="20"/>
      <c r="B536" s="20"/>
      <c r="C536" s="20"/>
      <c r="D536" s="20"/>
      <c r="E536" s="20"/>
      <c r="F536" s="20"/>
    </row>
    <row r="537" ht="14.25" customHeight="1">
      <c r="A537" s="20"/>
      <c r="B537" s="20"/>
      <c r="C537" s="20"/>
      <c r="D537" s="20"/>
      <c r="E537" s="20"/>
      <c r="F537" s="20"/>
    </row>
    <row r="538" ht="14.25" customHeight="1">
      <c r="A538" s="20"/>
      <c r="B538" s="20"/>
      <c r="C538" s="20"/>
      <c r="D538" s="20"/>
      <c r="E538" s="20"/>
      <c r="F538" s="20"/>
    </row>
    <row r="539" ht="14.25" customHeight="1">
      <c r="A539" s="20"/>
      <c r="B539" s="20"/>
      <c r="C539" s="20"/>
      <c r="D539" s="20"/>
      <c r="E539" s="20"/>
      <c r="F539" s="20"/>
    </row>
    <row r="540" ht="14.25" customHeight="1">
      <c r="A540" s="20"/>
      <c r="B540" s="20"/>
      <c r="C540" s="20"/>
      <c r="D540" s="20"/>
      <c r="E540" s="20"/>
      <c r="F540" s="20"/>
    </row>
    <row r="541" ht="14.25" customHeight="1">
      <c r="A541" s="20"/>
      <c r="B541" s="20"/>
      <c r="C541" s="20"/>
      <c r="D541" s="20"/>
      <c r="E541" s="20"/>
      <c r="F541" s="20"/>
    </row>
    <row r="542" ht="14.25" customHeight="1">
      <c r="A542" s="20"/>
      <c r="B542" s="20"/>
      <c r="C542" s="20"/>
      <c r="D542" s="20"/>
      <c r="E542" s="20"/>
      <c r="F542" s="20"/>
    </row>
    <row r="543" ht="14.25" customHeight="1">
      <c r="A543" s="20"/>
      <c r="B543" s="20"/>
      <c r="C543" s="20"/>
      <c r="D543" s="20"/>
      <c r="E543" s="20"/>
      <c r="F543" s="20"/>
    </row>
    <row r="544" ht="14.25" customHeight="1">
      <c r="A544" s="20"/>
      <c r="B544" s="20"/>
      <c r="C544" s="20"/>
      <c r="D544" s="20"/>
      <c r="E544" s="20"/>
      <c r="F544" s="20"/>
    </row>
    <row r="545" ht="14.25" customHeight="1">
      <c r="A545" s="20"/>
      <c r="B545" s="20"/>
      <c r="C545" s="20"/>
      <c r="D545" s="20"/>
      <c r="E545" s="20"/>
      <c r="F545" s="20"/>
    </row>
    <row r="546" ht="14.25" customHeight="1">
      <c r="A546" s="20"/>
      <c r="B546" s="20"/>
      <c r="C546" s="20"/>
      <c r="D546" s="20"/>
      <c r="E546" s="20"/>
      <c r="F546" s="20"/>
    </row>
    <row r="547" ht="14.25" customHeight="1">
      <c r="A547" s="20"/>
      <c r="B547" s="20"/>
      <c r="C547" s="20"/>
      <c r="D547" s="20"/>
      <c r="E547" s="20"/>
      <c r="F547" s="20"/>
    </row>
    <row r="548" ht="14.25" customHeight="1">
      <c r="A548" s="20"/>
      <c r="B548" s="20"/>
      <c r="C548" s="20"/>
      <c r="D548" s="20"/>
      <c r="E548" s="20"/>
      <c r="F548" s="20"/>
    </row>
    <row r="549" ht="14.25" customHeight="1">
      <c r="A549" s="20"/>
      <c r="B549" s="20"/>
      <c r="C549" s="20"/>
      <c r="D549" s="20"/>
      <c r="E549" s="20"/>
      <c r="F549" s="20"/>
    </row>
    <row r="550" ht="14.25" customHeight="1">
      <c r="A550" s="20"/>
      <c r="B550" s="20"/>
      <c r="C550" s="20"/>
      <c r="D550" s="20"/>
      <c r="E550" s="20"/>
      <c r="F550" s="20"/>
    </row>
    <row r="551" ht="14.25" customHeight="1">
      <c r="A551" s="20"/>
      <c r="B551" s="20"/>
      <c r="C551" s="20"/>
      <c r="D551" s="20"/>
      <c r="E551" s="20"/>
      <c r="F551" s="20"/>
    </row>
    <row r="552" ht="14.25" customHeight="1">
      <c r="A552" s="20"/>
      <c r="B552" s="20"/>
      <c r="C552" s="20"/>
      <c r="D552" s="20"/>
      <c r="E552" s="20"/>
      <c r="F552" s="20"/>
    </row>
    <row r="553" ht="14.25" customHeight="1">
      <c r="A553" s="20"/>
      <c r="B553" s="20"/>
      <c r="C553" s="20"/>
      <c r="D553" s="20"/>
      <c r="E553" s="20"/>
      <c r="F553" s="20"/>
    </row>
    <row r="554" ht="14.25" customHeight="1">
      <c r="A554" s="20"/>
      <c r="B554" s="20"/>
      <c r="C554" s="20"/>
      <c r="D554" s="20"/>
      <c r="E554" s="20"/>
      <c r="F554" s="20"/>
    </row>
    <row r="555" ht="14.25" customHeight="1">
      <c r="A555" s="20"/>
      <c r="B555" s="20"/>
      <c r="C555" s="20"/>
      <c r="D555" s="20"/>
      <c r="E555" s="20"/>
      <c r="F555" s="20"/>
    </row>
    <row r="556" ht="14.25" customHeight="1">
      <c r="A556" s="20"/>
      <c r="B556" s="20"/>
      <c r="C556" s="20"/>
      <c r="D556" s="20"/>
      <c r="E556" s="20"/>
      <c r="F556" s="20"/>
    </row>
    <row r="557" ht="14.25" customHeight="1">
      <c r="A557" s="20"/>
      <c r="B557" s="20"/>
      <c r="C557" s="20"/>
      <c r="D557" s="20"/>
      <c r="E557" s="20"/>
      <c r="F557" s="20"/>
    </row>
    <row r="558" ht="14.25" customHeight="1">
      <c r="A558" s="20"/>
      <c r="B558" s="20"/>
      <c r="C558" s="20"/>
      <c r="D558" s="20"/>
      <c r="E558" s="20"/>
      <c r="F558" s="20"/>
    </row>
    <row r="559" ht="14.25" customHeight="1">
      <c r="A559" s="20"/>
      <c r="B559" s="20"/>
      <c r="C559" s="20"/>
      <c r="D559" s="20"/>
      <c r="E559" s="20"/>
      <c r="F559" s="20"/>
    </row>
    <row r="560" ht="14.25" customHeight="1">
      <c r="A560" s="20"/>
      <c r="B560" s="20"/>
      <c r="C560" s="20"/>
      <c r="D560" s="20"/>
      <c r="E560" s="20"/>
      <c r="F560" s="20"/>
    </row>
    <row r="561" ht="14.25" customHeight="1">
      <c r="A561" s="20"/>
      <c r="B561" s="20"/>
      <c r="C561" s="20"/>
      <c r="D561" s="20"/>
      <c r="E561" s="20"/>
      <c r="F561" s="20"/>
    </row>
    <row r="562" ht="14.25" customHeight="1">
      <c r="A562" s="20"/>
      <c r="B562" s="20"/>
      <c r="C562" s="20"/>
      <c r="D562" s="20"/>
      <c r="E562" s="20"/>
      <c r="F562" s="20"/>
    </row>
    <row r="563" ht="14.25" customHeight="1">
      <c r="A563" s="20"/>
      <c r="B563" s="20"/>
      <c r="C563" s="20"/>
      <c r="D563" s="20"/>
      <c r="E563" s="20"/>
      <c r="F563" s="20"/>
    </row>
    <row r="564" ht="14.25" customHeight="1">
      <c r="A564" s="20"/>
      <c r="B564" s="20"/>
      <c r="C564" s="20"/>
      <c r="D564" s="20"/>
      <c r="E564" s="20"/>
      <c r="F564" s="20"/>
    </row>
    <row r="565" ht="14.25" customHeight="1">
      <c r="A565" s="20"/>
      <c r="B565" s="20"/>
      <c r="C565" s="20"/>
      <c r="D565" s="20"/>
      <c r="E565" s="20"/>
      <c r="F565" s="20"/>
    </row>
    <row r="566" ht="14.25" customHeight="1">
      <c r="A566" s="20"/>
      <c r="B566" s="20"/>
      <c r="C566" s="20"/>
      <c r="D566" s="20"/>
      <c r="E566" s="20"/>
      <c r="F566" s="20"/>
    </row>
    <row r="567" ht="14.25" customHeight="1">
      <c r="A567" s="20"/>
      <c r="B567" s="20"/>
      <c r="C567" s="20"/>
      <c r="D567" s="20"/>
      <c r="E567" s="20"/>
      <c r="F567" s="20"/>
    </row>
    <row r="568" ht="14.25" customHeight="1">
      <c r="A568" s="20"/>
      <c r="B568" s="20"/>
      <c r="C568" s="20"/>
      <c r="D568" s="20"/>
      <c r="E568" s="20"/>
      <c r="F568" s="20"/>
    </row>
    <row r="569" ht="14.25" customHeight="1">
      <c r="A569" s="20"/>
      <c r="B569" s="20"/>
      <c r="C569" s="20"/>
      <c r="D569" s="20"/>
      <c r="E569" s="20"/>
      <c r="F569" s="20"/>
    </row>
    <row r="570" ht="14.25" customHeight="1">
      <c r="A570" s="20"/>
      <c r="B570" s="20"/>
      <c r="C570" s="20"/>
      <c r="D570" s="20"/>
      <c r="E570" s="20"/>
      <c r="F570" s="20"/>
    </row>
    <row r="571" ht="14.25" customHeight="1">
      <c r="A571" s="20"/>
      <c r="B571" s="20"/>
      <c r="C571" s="20"/>
      <c r="D571" s="20"/>
      <c r="E571" s="20"/>
      <c r="F571" s="20"/>
    </row>
    <row r="572" ht="14.25" customHeight="1">
      <c r="A572" s="20"/>
      <c r="B572" s="20"/>
      <c r="C572" s="20"/>
      <c r="D572" s="20"/>
      <c r="E572" s="20"/>
      <c r="F572" s="20"/>
    </row>
    <row r="573" ht="14.25" customHeight="1">
      <c r="A573" s="20"/>
      <c r="B573" s="20"/>
      <c r="C573" s="20"/>
      <c r="D573" s="20"/>
      <c r="E573" s="20"/>
      <c r="F573" s="20"/>
    </row>
    <row r="574" ht="14.25" customHeight="1">
      <c r="A574" s="20"/>
      <c r="B574" s="20"/>
      <c r="C574" s="20"/>
      <c r="D574" s="20"/>
      <c r="E574" s="20"/>
      <c r="F574" s="20"/>
    </row>
    <row r="575" ht="14.25" customHeight="1">
      <c r="A575" s="20"/>
      <c r="B575" s="20"/>
      <c r="C575" s="20"/>
      <c r="D575" s="20"/>
      <c r="E575" s="20"/>
      <c r="F575" s="20"/>
    </row>
    <row r="576" ht="14.25" customHeight="1">
      <c r="A576" s="20"/>
      <c r="B576" s="20"/>
      <c r="C576" s="20"/>
      <c r="D576" s="20"/>
      <c r="E576" s="20"/>
      <c r="F576" s="20"/>
    </row>
    <row r="577" ht="14.25" customHeight="1">
      <c r="A577" s="20"/>
      <c r="B577" s="20"/>
      <c r="C577" s="20"/>
      <c r="D577" s="20"/>
      <c r="E577" s="20"/>
      <c r="F577" s="20"/>
    </row>
    <row r="578" ht="14.25" customHeight="1">
      <c r="A578" s="20"/>
      <c r="B578" s="20"/>
      <c r="C578" s="20"/>
      <c r="D578" s="20"/>
      <c r="E578" s="20"/>
      <c r="F578" s="20"/>
    </row>
    <row r="579" ht="14.25" customHeight="1">
      <c r="A579" s="20"/>
      <c r="B579" s="20"/>
      <c r="C579" s="20"/>
      <c r="D579" s="20"/>
      <c r="E579" s="20"/>
      <c r="F579" s="20"/>
    </row>
    <row r="580" ht="14.25" customHeight="1">
      <c r="A580" s="20"/>
      <c r="B580" s="20"/>
      <c r="C580" s="20"/>
      <c r="D580" s="20"/>
      <c r="E580" s="20"/>
      <c r="F580" s="20"/>
    </row>
    <row r="581" ht="14.25" customHeight="1">
      <c r="A581" s="20"/>
      <c r="B581" s="20"/>
      <c r="C581" s="20"/>
      <c r="D581" s="20"/>
      <c r="E581" s="20"/>
      <c r="F581" s="20"/>
    </row>
    <row r="582" ht="14.25" customHeight="1">
      <c r="A582" s="20"/>
      <c r="B582" s="20"/>
      <c r="C582" s="20"/>
      <c r="D582" s="20"/>
      <c r="E582" s="20"/>
      <c r="F582" s="20"/>
    </row>
    <row r="583" ht="14.25" customHeight="1">
      <c r="A583" s="20"/>
      <c r="B583" s="20"/>
      <c r="C583" s="20"/>
      <c r="D583" s="20"/>
      <c r="E583" s="20"/>
      <c r="F583" s="20"/>
    </row>
    <row r="584" ht="14.25" customHeight="1">
      <c r="A584" s="20"/>
      <c r="B584" s="20"/>
      <c r="C584" s="20"/>
      <c r="D584" s="20"/>
      <c r="E584" s="20"/>
      <c r="F584" s="20"/>
    </row>
    <row r="585" ht="14.25" customHeight="1">
      <c r="A585" s="20"/>
      <c r="B585" s="20"/>
      <c r="C585" s="20"/>
      <c r="D585" s="20"/>
      <c r="E585" s="20"/>
      <c r="F585" s="20"/>
    </row>
    <row r="586" ht="14.25" customHeight="1">
      <c r="A586" s="20"/>
      <c r="B586" s="20"/>
      <c r="C586" s="20"/>
      <c r="D586" s="20"/>
      <c r="E586" s="20"/>
      <c r="F586" s="20"/>
    </row>
    <row r="587" ht="14.25" customHeight="1">
      <c r="A587" s="20"/>
      <c r="B587" s="20"/>
      <c r="C587" s="20"/>
      <c r="D587" s="20"/>
      <c r="E587" s="20"/>
      <c r="F587" s="20"/>
    </row>
    <row r="588" ht="14.25" customHeight="1">
      <c r="A588" s="20"/>
      <c r="B588" s="20"/>
      <c r="C588" s="20"/>
      <c r="D588" s="20"/>
      <c r="E588" s="20"/>
      <c r="F588" s="20"/>
    </row>
    <row r="589" ht="14.25" customHeight="1">
      <c r="A589" s="20"/>
      <c r="B589" s="20"/>
      <c r="C589" s="20"/>
      <c r="D589" s="20"/>
      <c r="E589" s="20"/>
      <c r="F589" s="20"/>
    </row>
    <row r="590" ht="14.25" customHeight="1">
      <c r="A590" s="20"/>
      <c r="B590" s="20"/>
      <c r="C590" s="20"/>
      <c r="D590" s="20"/>
      <c r="E590" s="20"/>
      <c r="F590" s="20"/>
    </row>
    <row r="591" ht="14.25" customHeight="1">
      <c r="A591" s="20"/>
      <c r="B591" s="20"/>
      <c r="C591" s="20"/>
      <c r="D591" s="20"/>
      <c r="E591" s="20"/>
      <c r="F591" s="20"/>
    </row>
    <row r="592" ht="14.25" customHeight="1">
      <c r="A592" s="20"/>
      <c r="B592" s="20"/>
      <c r="C592" s="20"/>
      <c r="D592" s="20"/>
      <c r="E592" s="20"/>
      <c r="F592" s="20"/>
    </row>
    <row r="593" ht="14.25" customHeight="1">
      <c r="A593" s="20"/>
      <c r="B593" s="20"/>
      <c r="C593" s="20"/>
      <c r="D593" s="20"/>
      <c r="E593" s="20"/>
      <c r="F593" s="20"/>
    </row>
    <row r="594" ht="14.25" customHeight="1">
      <c r="A594" s="20"/>
      <c r="B594" s="20"/>
      <c r="C594" s="20"/>
      <c r="D594" s="20"/>
      <c r="E594" s="20"/>
      <c r="F594" s="20"/>
    </row>
    <row r="595" ht="14.25" customHeight="1">
      <c r="A595" s="20"/>
      <c r="B595" s="20"/>
      <c r="C595" s="20"/>
      <c r="D595" s="20"/>
      <c r="E595" s="20"/>
      <c r="F595" s="20"/>
    </row>
    <row r="596" ht="14.25" customHeight="1">
      <c r="A596" s="20"/>
      <c r="B596" s="20"/>
      <c r="C596" s="20"/>
      <c r="D596" s="20"/>
      <c r="E596" s="20"/>
      <c r="F596" s="20"/>
    </row>
    <row r="597" ht="14.25" customHeight="1">
      <c r="A597" s="20"/>
      <c r="B597" s="20"/>
      <c r="C597" s="20"/>
      <c r="D597" s="20"/>
      <c r="E597" s="20"/>
      <c r="F597" s="20"/>
    </row>
    <row r="598" ht="14.25" customHeight="1">
      <c r="A598" s="20"/>
      <c r="B598" s="20"/>
      <c r="C598" s="20"/>
      <c r="D598" s="20"/>
      <c r="E598" s="20"/>
      <c r="F598" s="20"/>
    </row>
    <row r="599" ht="14.25" customHeight="1">
      <c r="A599" s="20"/>
      <c r="B599" s="20"/>
      <c r="C599" s="20"/>
      <c r="D599" s="20"/>
      <c r="E599" s="20"/>
      <c r="F599" s="20"/>
    </row>
    <row r="600" ht="14.25" customHeight="1">
      <c r="A600" s="20"/>
      <c r="B600" s="20"/>
      <c r="C600" s="20"/>
      <c r="D600" s="20"/>
      <c r="E600" s="20"/>
      <c r="F600" s="20"/>
    </row>
    <row r="601" ht="14.25" customHeight="1">
      <c r="A601" s="20"/>
      <c r="B601" s="20"/>
      <c r="C601" s="20"/>
      <c r="D601" s="20"/>
      <c r="E601" s="20"/>
      <c r="F601" s="20"/>
    </row>
    <row r="602" ht="14.25" customHeight="1">
      <c r="A602" s="20"/>
      <c r="B602" s="20"/>
      <c r="C602" s="20"/>
      <c r="D602" s="20"/>
      <c r="E602" s="20"/>
      <c r="F602" s="20"/>
    </row>
    <row r="603" ht="14.25" customHeight="1">
      <c r="A603" s="20"/>
      <c r="B603" s="20"/>
      <c r="C603" s="20"/>
      <c r="D603" s="20"/>
      <c r="E603" s="20"/>
      <c r="F603" s="20"/>
    </row>
    <row r="604" ht="14.25" customHeight="1">
      <c r="A604" s="20"/>
      <c r="B604" s="20"/>
      <c r="C604" s="20"/>
      <c r="D604" s="20"/>
      <c r="E604" s="20"/>
      <c r="F604" s="20"/>
    </row>
    <row r="605" ht="14.25" customHeight="1">
      <c r="A605" s="20"/>
      <c r="B605" s="20"/>
      <c r="C605" s="20"/>
      <c r="D605" s="20"/>
      <c r="E605" s="20"/>
      <c r="F605" s="20"/>
    </row>
    <row r="606" ht="14.25" customHeight="1">
      <c r="A606" s="20"/>
      <c r="B606" s="20"/>
      <c r="C606" s="20"/>
      <c r="D606" s="20"/>
      <c r="E606" s="20"/>
      <c r="F606" s="20"/>
    </row>
    <row r="607" ht="14.25" customHeight="1">
      <c r="A607" s="20"/>
      <c r="B607" s="20"/>
      <c r="C607" s="20"/>
      <c r="D607" s="20"/>
      <c r="E607" s="20"/>
      <c r="F607" s="20"/>
    </row>
    <row r="608" ht="14.25" customHeight="1">
      <c r="A608" s="20"/>
      <c r="B608" s="20"/>
      <c r="C608" s="20"/>
      <c r="D608" s="20"/>
      <c r="E608" s="20"/>
      <c r="F608" s="20"/>
    </row>
    <row r="609" ht="14.25" customHeight="1">
      <c r="A609" s="20"/>
      <c r="B609" s="20"/>
      <c r="C609" s="20"/>
      <c r="D609" s="20"/>
      <c r="E609" s="20"/>
      <c r="F609" s="20"/>
    </row>
    <row r="610" ht="14.25" customHeight="1">
      <c r="A610" s="20"/>
      <c r="B610" s="20"/>
      <c r="C610" s="20"/>
      <c r="D610" s="20"/>
      <c r="E610" s="20"/>
      <c r="F610" s="20"/>
    </row>
    <row r="611" ht="14.25" customHeight="1">
      <c r="A611" s="20"/>
      <c r="B611" s="20"/>
      <c r="C611" s="20"/>
      <c r="D611" s="20"/>
      <c r="E611" s="20"/>
      <c r="F611" s="20"/>
    </row>
    <row r="612" ht="14.25" customHeight="1">
      <c r="A612" s="20"/>
      <c r="B612" s="20"/>
      <c r="C612" s="20"/>
      <c r="D612" s="20"/>
      <c r="E612" s="20"/>
      <c r="F612" s="20"/>
    </row>
    <row r="613" ht="14.25" customHeight="1">
      <c r="A613" s="20"/>
      <c r="B613" s="20"/>
      <c r="C613" s="20"/>
      <c r="D613" s="20"/>
      <c r="E613" s="20"/>
      <c r="F613" s="20"/>
    </row>
    <row r="614" ht="14.25" customHeight="1">
      <c r="A614" s="20"/>
      <c r="B614" s="20"/>
      <c r="C614" s="20"/>
      <c r="D614" s="20"/>
      <c r="E614" s="20"/>
      <c r="F614" s="20"/>
    </row>
    <row r="615" ht="14.25" customHeight="1">
      <c r="A615" s="20"/>
      <c r="B615" s="20"/>
      <c r="C615" s="20"/>
      <c r="D615" s="20"/>
      <c r="E615" s="20"/>
      <c r="F615" s="20"/>
    </row>
    <row r="616" ht="14.25" customHeight="1">
      <c r="A616" s="20"/>
      <c r="B616" s="20"/>
      <c r="C616" s="20"/>
      <c r="D616" s="20"/>
      <c r="E616" s="20"/>
      <c r="F616" s="20"/>
    </row>
    <row r="617" ht="14.25" customHeight="1">
      <c r="A617" s="20"/>
      <c r="B617" s="20"/>
      <c r="C617" s="20"/>
      <c r="D617" s="20"/>
      <c r="E617" s="20"/>
      <c r="F617" s="20"/>
    </row>
    <row r="618" ht="14.25" customHeight="1">
      <c r="A618" s="20"/>
      <c r="B618" s="20"/>
      <c r="C618" s="20"/>
      <c r="D618" s="20"/>
      <c r="E618" s="20"/>
      <c r="F618" s="20"/>
    </row>
    <row r="619" ht="14.25" customHeight="1">
      <c r="A619" s="20"/>
      <c r="B619" s="20"/>
      <c r="C619" s="20"/>
      <c r="D619" s="20"/>
      <c r="E619" s="20"/>
      <c r="F619" s="20"/>
    </row>
    <row r="620" ht="14.25" customHeight="1">
      <c r="A620" s="20"/>
      <c r="B620" s="20"/>
      <c r="C620" s="20"/>
      <c r="D620" s="20"/>
      <c r="E620" s="20"/>
      <c r="F620" s="20"/>
    </row>
    <row r="621" ht="14.25" customHeight="1">
      <c r="A621" s="20"/>
      <c r="B621" s="20"/>
      <c r="C621" s="20"/>
      <c r="D621" s="20"/>
      <c r="E621" s="20"/>
      <c r="F621" s="20"/>
    </row>
    <row r="622" ht="14.25" customHeight="1">
      <c r="A622" s="20"/>
      <c r="B622" s="20"/>
      <c r="C622" s="20"/>
      <c r="D622" s="20"/>
      <c r="E622" s="20"/>
      <c r="F622" s="20"/>
    </row>
    <row r="623" ht="14.25" customHeight="1">
      <c r="A623" s="20"/>
      <c r="B623" s="20"/>
      <c r="C623" s="20"/>
      <c r="D623" s="20"/>
      <c r="E623" s="20"/>
      <c r="F623" s="20"/>
    </row>
    <row r="624" ht="14.25" customHeight="1">
      <c r="A624" s="20"/>
      <c r="B624" s="20"/>
      <c r="C624" s="20"/>
      <c r="D624" s="20"/>
      <c r="E624" s="20"/>
      <c r="F624" s="20"/>
    </row>
    <row r="625" ht="14.25" customHeight="1">
      <c r="A625" s="20"/>
      <c r="B625" s="20"/>
      <c r="C625" s="20"/>
      <c r="D625" s="20"/>
      <c r="E625" s="20"/>
      <c r="F625" s="20"/>
    </row>
    <row r="626" ht="14.25" customHeight="1">
      <c r="A626" s="20"/>
      <c r="B626" s="20"/>
      <c r="C626" s="20"/>
      <c r="D626" s="20"/>
      <c r="E626" s="20"/>
      <c r="F626" s="20"/>
    </row>
    <row r="627" ht="14.25" customHeight="1">
      <c r="A627" s="20"/>
      <c r="B627" s="20"/>
      <c r="C627" s="20"/>
      <c r="D627" s="20"/>
      <c r="E627" s="20"/>
      <c r="F627" s="20"/>
    </row>
    <row r="628" ht="14.25" customHeight="1">
      <c r="A628" s="20"/>
      <c r="B628" s="20"/>
      <c r="C628" s="20"/>
      <c r="D628" s="20"/>
      <c r="E628" s="20"/>
      <c r="F628" s="20"/>
    </row>
    <row r="629" ht="14.25" customHeight="1">
      <c r="A629" s="20"/>
      <c r="B629" s="20"/>
      <c r="C629" s="20"/>
      <c r="D629" s="20"/>
      <c r="E629" s="20"/>
      <c r="F629" s="20"/>
    </row>
    <row r="630" ht="14.25" customHeight="1">
      <c r="A630" s="20"/>
      <c r="B630" s="20"/>
      <c r="C630" s="20"/>
      <c r="D630" s="20"/>
      <c r="E630" s="20"/>
      <c r="F630" s="20"/>
    </row>
    <row r="631" ht="14.25" customHeight="1">
      <c r="A631" s="20"/>
      <c r="B631" s="20"/>
      <c r="C631" s="20"/>
      <c r="D631" s="20"/>
      <c r="E631" s="20"/>
      <c r="F631" s="20"/>
    </row>
    <row r="632" ht="14.25" customHeight="1">
      <c r="A632" s="20"/>
      <c r="B632" s="20"/>
      <c r="C632" s="20"/>
      <c r="D632" s="20"/>
      <c r="E632" s="20"/>
      <c r="F632" s="20"/>
    </row>
    <row r="633" ht="14.25" customHeight="1">
      <c r="A633" s="20"/>
      <c r="B633" s="20"/>
      <c r="C633" s="20"/>
      <c r="D633" s="20"/>
      <c r="E633" s="20"/>
      <c r="F633" s="20"/>
    </row>
    <row r="634" ht="14.25" customHeight="1">
      <c r="A634" s="20"/>
      <c r="B634" s="20"/>
      <c r="C634" s="20"/>
      <c r="D634" s="20"/>
      <c r="E634" s="20"/>
      <c r="F634" s="20"/>
    </row>
    <row r="635" ht="14.25" customHeight="1">
      <c r="A635" s="20"/>
      <c r="B635" s="20"/>
      <c r="C635" s="20"/>
      <c r="D635" s="20"/>
      <c r="E635" s="20"/>
      <c r="F635" s="20"/>
    </row>
    <row r="636" ht="14.25" customHeight="1">
      <c r="A636" s="20"/>
      <c r="B636" s="20"/>
      <c r="C636" s="20"/>
      <c r="D636" s="20"/>
      <c r="E636" s="20"/>
      <c r="F636" s="20"/>
    </row>
    <row r="637" ht="14.25" customHeight="1">
      <c r="A637" s="20"/>
      <c r="B637" s="20"/>
      <c r="C637" s="20"/>
      <c r="D637" s="20"/>
      <c r="E637" s="20"/>
      <c r="F637" s="20"/>
    </row>
    <row r="638" ht="14.25" customHeight="1">
      <c r="A638" s="20"/>
      <c r="B638" s="20"/>
      <c r="C638" s="20"/>
      <c r="D638" s="20"/>
      <c r="E638" s="20"/>
      <c r="F638" s="20"/>
    </row>
    <row r="639" ht="14.25" customHeight="1">
      <c r="A639" s="20"/>
      <c r="B639" s="20"/>
      <c r="C639" s="20"/>
      <c r="D639" s="20"/>
      <c r="E639" s="20"/>
      <c r="F639" s="20"/>
    </row>
    <row r="640" ht="14.25" customHeight="1">
      <c r="A640" s="20"/>
      <c r="B640" s="20"/>
      <c r="C640" s="20"/>
      <c r="D640" s="20"/>
      <c r="E640" s="20"/>
      <c r="F640" s="20"/>
    </row>
    <row r="641" ht="14.25" customHeight="1">
      <c r="A641" s="20"/>
      <c r="B641" s="20"/>
      <c r="C641" s="20"/>
      <c r="D641" s="20"/>
      <c r="E641" s="20"/>
      <c r="F641" s="20"/>
    </row>
    <row r="642" ht="14.25" customHeight="1">
      <c r="A642" s="20"/>
      <c r="B642" s="20"/>
      <c r="C642" s="20"/>
      <c r="D642" s="20"/>
      <c r="E642" s="20"/>
      <c r="F642" s="20"/>
    </row>
    <row r="643" ht="14.25" customHeight="1">
      <c r="A643" s="20"/>
      <c r="B643" s="20"/>
      <c r="C643" s="20"/>
      <c r="D643" s="20"/>
      <c r="E643" s="20"/>
      <c r="F643" s="20"/>
    </row>
    <row r="644" ht="14.25" customHeight="1">
      <c r="A644" s="20"/>
      <c r="B644" s="20"/>
      <c r="C644" s="20"/>
      <c r="D644" s="20"/>
      <c r="E644" s="20"/>
      <c r="F644" s="20"/>
    </row>
    <row r="645" ht="14.25" customHeight="1">
      <c r="A645" s="20"/>
      <c r="B645" s="20"/>
      <c r="C645" s="20"/>
      <c r="D645" s="20"/>
      <c r="E645" s="20"/>
      <c r="F645" s="20"/>
    </row>
    <row r="646" ht="14.25" customHeight="1">
      <c r="A646" s="20"/>
      <c r="B646" s="20"/>
      <c r="C646" s="20"/>
      <c r="D646" s="20"/>
      <c r="E646" s="20"/>
      <c r="F646" s="20"/>
    </row>
    <row r="647" ht="14.25" customHeight="1">
      <c r="A647" s="20"/>
      <c r="B647" s="20"/>
      <c r="C647" s="20"/>
      <c r="D647" s="20"/>
      <c r="E647" s="20"/>
      <c r="F647" s="20"/>
    </row>
    <row r="648" ht="14.25" customHeight="1">
      <c r="A648" s="20"/>
      <c r="B648" s="20"/>
      <c r="C648" s="20"/>
      <c r="D648" s="20"/>
      <c r="E648" s="20"/>
      <c r="F648" s="20"/>
    </row>
    <row r="649" ht="14.25" customHeight="1">
      <c r="A649" s="20"/>
      <c r="B649" s="20"/>
      <c r="C649" s="20"/>
      <c r="D649" s="20"/>
      <c r="E649" s="20"/>
      <c r="F649" s="20"/>
    </row>
    <row r="650" ht="14.25" customHeight="1">
      <c r="A650" s="20"/>
      <c r="B650" s="20"/>
      <c r="C650" s="20"/>
      <c r="D650" s="20"/>
      <c r="E650" s="20"/>
      <c r="F650" s="20"/>
    </row>
    <row r="651" ht="14.25" customHeight="1">
      <c r="A651" s="20"/>
      <c r="B651" s="20"/>
      <c r="C651" s="20"/>
      <c r="D651" s="20"/>
      <c r="E651" s="20"/>
      <c r="F651" s="20"/>
    </row>
    <row r="652" ht="14.25" customHeight="1">
      <c r="A652" s="20"/>
      <c r="B652" s="20"/>
      <c r="C652" s="20"/>
      <c r="D652" s="20"/>
      <c r="E652" s="20"/>
      <c r="F652" s="20"/>
    </row>
    <row r="653" ht="14.25" customHeight="1">
      <c r="A653" s="20"/>
      <c r="B653" s="20"/>
      <c r="C653" s="20"/>
      <c r="D653" s="20"/>
      <c r="E653" s="20"/>
      <c r="F653" s="20"/>
    </row>
    <row r="654" ht="14.25" customHeight="1">
      <c r="A654" s="20"/>
      <c r="B654" s="20"/>
      <c r="C654" s="20"/>
      <c r="D654" s="20"/>
      <c r="E654" s="20"/>
      <c r="F654" s="20"/>
    </row>
    <row r="655" ht="14.25" customHeight="1">
      <c r="A655" s="20"/>
      <c r="B655" s="20"/>
      <c r="C655" s="20"/>
      <c r="D655" s="20"/>
      <c r="E655" s="20"/>
      <c r="F655" s="20"/>
    </row>
    <row r="656" ht="14.25" customHeight="1">
      <c r="A656" s="20"/>
      <c r="B656" s="20"/>
      <c r="C656" s="20"/>
      <c r="D656" s="20"/>
      <c r="E656" s="20"/>
      <c r="F656" s="20"/>
    </row>
    <row r="657" ht="14.25" customHeight="1">
      <c r="A657" s="20"/>
      <c r="B657" s="20"/>
      <c r="C657" s="20"/>
      <c r="D657" s="20"/>
      <c r="E657" s="20"/>
      <c r="F657" s="20"/>
    </row>
    <row r="658" ht="14.25" customHeight="1">
      <c r="A658" s="20"/>
      <c r="B658" s="20"/>
      <c r="C658" s="20"/>
      <c r="D658" s="20"/>
      <c r="E658" s="20"/>
      <c r="F658" s="20"/>
    </row>
    <row r="659" ht="14.25" customHeight="1">
      <c r="A659" s="20"/>
      <c r="B659" s="20"/>
      <c r="C659" s="20"/>
      <c r="D659" s="20"/>
      <c r="E659" s="20"/>
      <c r="F659" s="20"/>
    </row>
    <row r="660" ht="14.25" customHeight="1">
      <c r="A660" s="20"/>
      <c r="B660" s="20"/>
      <c r="C660" s="20"/>
      <c r="D660" s="20"/>
      <c r="E660" s="20"/>
      <c r="F660" s="20"/>
    </row>
    <row r="661" ht="14.25" customHeight="1">
      <c r="A661" s="20"/>
      <c r="B661" s="20"/>
      <c r="C661" s="20"/>
      <c r="D661" s="20"/>
      <c r="E661" s="20"/>
      <c r="F661" s="20"/>
    </row>
    <row r="662" ht="14.25" customHeight="1">
      <c r="A662" s="20"/>
      <c r="B662" s="20"/>
      <c r="C662" s="20"/>
      <c r="D662" s="20"/>
      <c r="E662" s="20"/>
      <c r="F662" s="20"/>
    </row>
    <row r="663" ht="14.25" customHeight="1">
      <c r="A663" s="20"/>
      <c r="B663" s="20"/>
      <c r="C663" s="20"/>
      <c r="D663" s="20"/>
      <c r="E663" s="20"/>
      <c r="F663" s="20"/>
    </row>
    <row r="664" ht="14.25" customHeight="1">
      <c r="A664" s="20"/>
      <c r="B664" s="20"/>
      <c r="C664" s="20"/>
      <c r="D664" s="20"/>
      <c r="E664" s="20"/>
      <c r="F664" s="20"/>
    </row>
    <row r="665" ht="14.25" customHeight="1">
      <c r="A665" s="20"/>
      <c r="B665" s="20"/>
      <c r="C665" s="20"/>
      <c r="D665" s="20"/>
      <c r="E665" s="20"/>
      <c r="F665" s="20"/>
    </row>
    <row r="666" ht="14.25" customHeight="1">
      <c r="A666" s="20"/>
      <c r="B666" s="20"/>
      <c r="C666" s="20"/>
      <c r="D666" s="20"/>
      <c r="E666" s="20"/>
      <c r="F666" s="20"/>
    </row>
    <row r="667" ht="14.25" customHeight="1">
      <c r="A667" s="20"/>
      <c r="B667" s="20"/>
      <c r="C667" s="20"/>
      <c r="D667" s="20"/>
      <c r="E667" s="20"/>
      <c r="F667" s="20"/>
    </row>
    <row r="668" ht="14.25" customHeight="1">
      <c r="A668" s="20"/>
      <c r="B668" s="20"/>
      <c r="C668" s="20"/>
      <c r="D668" s="20"/>
      <c r="E668" s="20"/>
      <c r="F668" s="20"/>
    </row>
    <row r="669" ht="14.25" customHeight="1">
      <c r="A669" s="20"/>
      <c r="B669" s="20"/>
      <c r="C669" s="20"/>
      <c r="D669" s="20"/>
      <c r="E669" s="20"/>
      <c r="F669" s="20"/>
    </row>
    <row r="670" ht="14.25" customHeight="1">
      <c r="A670" s="20"/>
      <c r="B670" s="20"/>
      <c r="C670" s="20"/>
      <c r="D670" s="20"/>
      <c r="E670" s="20"/>
      <c r="F670" s="20"/>
    </row>
    <row r="671" ht="14.25" customHeight="1">
      <c r="A671" s="20"/>
      <c r="B671" s="20"/>
      <c r="C671" s="20"/>
      <c r="D671" s="20"/>
      <c r="E671" s="20"/>
      <c r="F671" s="20"/>
    </row>
    <row r="672" ht="14.25" customHeight="1">
      <c r="A672" s="20"/>
      <c r="B672" s="20"/>
      <c r="C672" s="20"/>
      <c r="D672" s="20"/>
      <c r="E672" s="20"/>
      <c r="F672" s="20"/>
    </row>
    <row r="673" ht="14.25" customHeight="1">
      <c r="A673" s="20"/>
      <c r="B673" s="20"/>
      <c r="C673" s="20"/>
      <c r="D673" s="20"/>
      <c r="E673" s="20"/>
      <c r="F673" s="20"/>
    </row>
    <row r="674" ht="14.25" customHeight="1">
      <c r="A674" s="20"/>
      <c r="B674" s="20"/>
      <c r="C674" s="20"/>
      <c r="D674" s="20"/>
      <c r="E674" s="20"/>
      <c r="F674" s="20"/>
    </row>
    <row r="675" ht="14.25" customHeight="1">
      <c r="A675" s="20"/>
      <c r="B675" s="20"/>
      <c r="C675" s="20"/>
      <c r="D675" s="20"/>
      <c r="E675" s="20"/>
      <c r="F675" s="20"/>
    </row>
    <row r="676" ht="14.25" customHeight="1">
      <c r="A676" s="20"/>
      <c r="B676" s="20"/>
      <c r="C676" s="20"/>
      <c r="D676" s="20"/>
      <c r="E676" s="20"/>
      <c r="F676" s="20"/>
    </row>
    <row r="677" ht="14.25" customHeight="1">
      <c r="A677" s="20"/>
      <c r="B677" s="20"/>
      <c r="C677" s="20"/>
      <c r="D677" s="20"/>
      <c r="E677" s="20"/>
      <c r="F677" s="20"/>
    </row>
    <row r="678" ht="14.25" customHeight="1">
      <c r="A678" s="20"/>
      <c r="B678" s="20"/>
      <c r="C678" s="20"/>
      <c r="D678" s="20"/>
      <c r="E678" s="20"/>
      <c r="F678" s="20"/>
    </row>
    <row r="679" ht="14.25" customHeight="1">
      <c r="A679" s="20"/>
      <c r="B679" s="20"/>
      <c r="C679" s="20"/>
      <c r="D679" s="20"/>
      <c r="E679" s="20"/>
      <c r="F679" s="20"/>
    </row>
    <row r="680" ht="14.25" customHeight="1">
      <c r="A680" s="20"/>
      <c r="B680" s="20"/>
      <c r="C680" s="20"/>
      <c r="D680" s="20"/>
      <c r="E680" s="20"/>
      <c r="F680" s="20"/>
    </row>
    <row r="681" ht="14.25" customHeight="1">
      <c r="A681" s="20"/>
      <c r="B681" s="20"/>
      <c r="C681" s="20"/>
      <c r="D681" s="20"/>
      <c r="E681" s="20"/>
      <c r="F681" s="20"/>
    </row>
    <row r="682" ht="14.25" customHeight="1">
      <c r="A682" s="20"/>
      <c r="B682" s="20"/>
      <c r="C682" s="20"/>
      <c r="D682" s="20"/>
      <c r="E682" s="20"/>
      <c r="F682" s="20"/>
    </row>
    <row r="683" ht="14.25" customHeight="1">
      <c r="A683" s="20"/>
      <c r="B683" s="20"/>
      <c r="C683" s="20"/>
      <c r="D683" s="20"/>
      <c r="E683" s="20"/>
      <c r="F683" s="20"/>
    </row>
    <row r="684" ht="14.25" customHeight="1">
      <c r="A684" s="20"/>
      <c r="B684" s="20"/>
      <c r="C684" s="20"/>
      <c r="D684" s="20"/>
      <c r="E684" s="20"/>
      <c r="F684" s="20"/>
    </row>
    <row r="685" ht="14.25" customHeight="1">
      <c r="A685" s="20"/>
      <c r="B685" s="20"/>
      <c r="C685" s="20"/>
      <c r="D685" s="20"/>
      <c r="E685" s="20"/>
      <c r="F685" s="20"/>
    </row>
    <row r="686" ht="14.25" customHeight="1">
      <c r="A686" s="20"/>
      <c r="B686" s="20"/>
      <c r="C686" s="20"/>
      <c r="D686" s="20"/>
      <c r="E686" s="20"/>
      <c r="F686" s="20"/>
    </row>
    <row r="687" ht="14.25" customHeight="1">
      <c r="A687" s="20"/>
      <c r="B687" s="20"/>
      <c r="C687" s="20"/>
      <c r="D687" s="20"/>
      <c r="E687" s="20"/>
      <c r="F687" s="20"/>
    </row>
    <row r="688" ht="14.25" customHeight="1">
      <c r="A688" s="20"/>
      <c r="B688" s="20"/>
      <c r="C688" s="20"/>
      <c r="D688" s="20"/>
      <c r="E688" s="20"/>
      <c r="F688" s="20"/>
    </row>
    <row r="689" ht="14.25" customHeight="1">
      <c r="A689" s="20"/>
      <c r="B689" s="20"/>
      <c r="C689" s="20"/>
      <c r="D689" s="20"/>
      <c r="E689" s="20"/>
      <c r="F689" s="20"/>
    </row>
    <row r="690" ht="14.25" customHeight="1">
      <c r="A690" s="20"/>
      <c r="B690" s="20"/>
      <c r="C690" s="20"/>
      <c r="D690" s="20"/>
      <c r="E690" s="20"/>
      <c r="F690" s="20"/>
    </row>
    <row r="691" ht="14.25" customHeight="1">
      <c r="A691" s="20"/>
      <c r="B691" s="20"/>
      <c r="C691" s="20"/>
      <c r="D691" s="20"/>
      <c r="E691" s="20"/>
      <c r="F691" s="20"/>
    </row>
    <row r="692" ht="14.25" customHeight="1">
      <c r="A692" s="20"/>
      <c r="B692" s="20"/>
      <c r="C692" s="20"/>
      <c r="D692" s="20"/>
      <c r="E692" s="20"/>
      <c r="F692" s="20"/>
    </row>
    <row r="693" ht="14.25" customHeight="1">
      <c r="A693" s="20"/>
      <c r="B693" s="20"/>
      <c r="C693" s="20"/>
      <c r="D693" s="20"/>
      <c r="E693" s="20"/>
      <c r="F693" s="20"/>
    </row>
    <row r="694" ht="14.25" customHeight="1">
      <c r="A694" s="20"/>
      <c r="B694" s="20"/>
      <c r="C694" s="20"/>
      <c r="D694" s="20"/>
      <c r="E694" s="20"/>
      <c r="F694" s="20"/>
    </row>
    <row r="695" ht="14.25" customHeight="1">
      <c r="A695" s="20"/>
      <c r="B695" s="20"/>
      <c r="C695" s="20"/>
      <c r="D695" s="20"/>
      <c r="E695" s="20"/>
      <c r="F695" s="20"/>
    </row>
    <row r="696" ht="14.25" customHeight="1">
      <c r="A696" s="20"/>
      <c r="B696" s="20"/>
      <c r="C696" s="20"/>
      <c r="D696" s="20"/>
      <c r="E696" s="20"/>
      <c r="F696" s="20"/>
    </row>
    <row r="697" ht="14.25" customHeight="1">
      <c r="A697" s="20"/>
      <c r="B697" s="20"/>
      <c r="C697" s="20"/>
      <c r="D697" s="20"/>
      <c r="E697" s="20"/>
      <c r="F697" s="20"/>
    </row>
    <row r="698" ht="14.25" customHeight="1">
      <c r="A698" s="20"/>
      <c r="B698" s="20"/>
      <c r="C698" s="20"/>
      <c r="D698" s="20"/>
      <c r="E698" s="20"/>
      <c r="F698" s="20"/>
    </row>
    <row r="699" ht="14.25" customHeight="1">
      <c r="A699" s="20"/>
      <c r="B699" s="20"/>
      <c r="C699" s="20"/>
      <c r="D699" s="20"/>
      <c r="E699" s="20"/>
      <c r="F699" s="20"/>
    </row>
    <row r="700" ht="14.25" customHeight="1">
      <c r="A700" s="20"/>
      <c r="B700" s="20"/>
      <c r="C700" s="20"/>
      <c r="D700" s="20"/>
      <c r="E700" s="20"/>
      <c r="F700" s="20"/>
    </row>
    <row r="701" ht="14.25" customHeight="1">
      <c r="A701" s="20"/>
      <c r="B701" s="20"/>
      <c r="C701" s="20"/>
      <c r="D701" s="20"/>
      <c r="E701" s="20"/>
      <c r="F701" s="20"/>
    </row>
    <row r="702" ht="14.25" customHeight="1">
      <c r="A702" s="20"/>
      <c r="B702" s="20"/>
      <c r="C702" s="20"/>
      <c r="D702" s="20"/>
      <c r="E702" s="20"/>
      <c r="F702" s="20"/>
    </row>
    <row r="703" ht="14.25" customHeight="1">
      <c r="A703" s="20"/>
      <c r="B703" s="20"/>
      <c r="C703" s="20"/>
      <c r="D703" s="20"/>
      <c r="E703" s="20"/>
      <c r="F703" s="20"/>
    </row>
    <row r="704" ht="14.25" customHeight="1">
      <c r="A704" s="20"/>
      <c r="B704" s="20"/>
      <c r="C704" s="20"/>
      <c r="D704" s="20"/>
      <c r="E704" s="20"/>
      <c r="F704" s="20"/>
    </row>
    <row r="705" ht="14.25" customHeight="1">
      <c r="A705" s="20"/>
      <c r="B705" s="20"/>
      <c r="C705" s="20"/>
      <c r="D705" s="20"/>
      <c r="E705" s="20"/>
      <c r="F705" s="20"/>
    </row>
    <row r="706" ht="14.25" customHeight="1">
      <c r="A706" s="20"/>
      <c r="B706" s="20"/>
      <c r="C706" s="20"/>
      <c r="D706" s="20"/>
      <c r="E706" s="20"/>
      <c r="F706" s="20"/>
    </row>
    <row r="707" ht="14.25" customHeight="1">
      <c r="A707" s="20"/>
      <c r="B707" s="20"/>
      <c r="C707" s="20"/>
      <c r="D707" s="20"/>
      <c r="E707" s="20"/>
      <c r="F707" s="20"/>
    </row>
    <row r="708" ht="14.25" customHeight="1">
      <c r="A708" s="20"/>
      <c r="B708" s="20"/>
      <c r="C708" s="20"/>
      <c r="D708" s="20"/>
      <c r="E708" s="20"/>
      <c r="F708" s="20"/>
    </row>
    <row r="709" ht="14.25" customHeight="1">
      <c r="A709" s="20"/>
      <c r="B709" s="20"/>
      <c r="C709" s="20"/>
      <c r="D709" s="20"/>
      <c r="E709" s="20"/>
      <c r="F709" s="20"/>
    </row>
    <row r="710" ht="14.25" customHeight="1">
      <c r="A710" s="20"/>
      <c r="B710" s="20"/>
      <c r="C710" s="20"/>
      <c r="D710" s="20"/>
      <c r="E710" s="20"/>
      <c r="F710" s="20"/>
    </row>
    <row r="711" ht="14.25" customHeight="1">
      <c r="A711" s="20"/>
      <c r="B711" s="20"/>
      <c r="C711" s="20"/>
      <c r="D711" s="20"/>
      <c r="E711" s="20"/>
      <c r="F711" s="20"/>
    </row>
    <row r="712" ht="14.25" customHeight="1">
      <c r="A712" s="20"/>
      <c r="B712" s="20"/>
      <c r="C712" s="20"/>
      <c r="D712" s="20"/>
      <c r="E712" s="20"/>
      <c r="F712" s="20"/>
    </row>
    <row r="713" ht="14.25" customHeight="1">
      <c r="A713" s="20"/>
      <c r="B713" s="20"/>
      <c r="C713" s="20"/>
      <c r="D713" s="20"/>
      <c r="E713" s="20"/>
      <c r="F713" s="20"/>
    </row>
    <row r="714" ht="14.25" customHeight="1">
      <c r="A714" s="20"/>
      <c r="B714" s="20"/>
      <c r="C714" s="20"/>
      <c r="D714" s="20"/>
      <c r="E714" s="20"/>
      <c r="F714" s="20"/>
    </row>
    <row r="715" ht="14.25" customHeight="1">
      <c r="A715" s="20"/>
      <c r="B715" s="20"/>
      <c r="C715" s="20"/>
      <c r="D715" s="20"/>
      <c r="E715" s="20"/>
      <c r="F715" s="20"/>
    </row>
    <row r="716" ht="14.25" customHeight="1">
      <c r="A716" s="20"/>
      <c r="B716" s="20"/>
      <c r="C716" s="20"/>
      <c r="D716" s="20"/>
      <c r="E716" s="20"/>
      <c r="F716" s="20"/>
    </row>
    <row r="717" ht="14.25" customHeight="1">
      <c r="A717" s="20"/>
      <c r="B717" s="20"/>
      <c r="C717" s="20"/>
      <c r="D717" s="20"/>
      <c r="E717" s="20"/>
      <c r="F717" s="20"/>
    </row>
    <row r="718" ht="14.25" customHeight="1">
      <c r="A718" s="20"/>
      <c r="B718" s="20"/>
      <c r="C718" s="20"/>
      <c r="D718" s="20"/>
      <c r="E718" s="20"/>
      <c r="F718" s="20"/>
    </row>
    <row r="719" ht="14.25" customHeight="1">
      <c r="A719" s="20"/>
      <c r="B719" s="20"/>
      <c r="C719" s="20"/>
      <c r="D719" s="20"/>
      <c r="E719" s="20"/>
      <c r="F719" s="20"/>
    </row>
    <row r="720" ht="14.25" customHeight="1">
      <c r="A720" s="20"/>
      <c r="B720" s="20"/>
      <c r="C720" s="20"/>
      <c r="D720" s="20"/>
      <c r="E720" s="20"/>
      <c r="F720" s="20"/>
    </row>
    <row r="721" ht="14.25" customHeight="1">
      <c r="A721" s="20"/>
      <c r="B721" s="20"/>
      <c r="C721" s="20"/>
      <c r="D721" s="20"/>
      <c r="E721" s="20"/>
      <c r="F721" s="20"/>
    </row>
    <row r="722" ht="14.25" customHeight="1">
      <c r="A722" s="20"/>
      <c r="B722" s="20"/>
      <c r="C722" s="20"/>
      <c r="D722" s="20"/>
      <c r="E722" s="20"/>
      <c r="F722" s="20"/>
    </row>
    <row r="723" ht="14.25" customHeight="1">
      <c r="A723" s="20"/>
      <c r="B723" s="20"/>
      <c r="C723" s="20"/>
      <c r="D723" s="20"/>
      <c r="E723" s="20"/>
      <c r="F723" s="20"/>
    </row>
    <row r="724" ht="14.25" customHeight="1">
      <c r="A724" s="20"/>
      <c r="B724" s="20"/>
      <c r="C724" s="20"/>
      <c r="D724" s="20"/>
      <c r="E724" s="20"/>
      <c r="F724" s="20"/>
    </row>
    <row r="725" ht="14.25" customHeight="1">
      <c r="A725" s="20"/>
      <c r="B725" s="20"/>
      <c r="C725" s="20"/>
      <c r="D725" s="20"/>
      <c r="E725" s="20"/>
      <c r="F725" s="20"/>
    </row>
    <row r="726" ht="14.25" customHeight="1">
      <c r="A726" s="20"/>
      <c r="B726" s="20"/>
      <c r="C726" s="20"/>
      <c r="D726" s="20"/>
      <c r="E726" s="20"/>
      <c r="F726" s="20"/>
    </row>
    <row r="727" ht="14.25" customHeight="1">
      <c r="A727" s="20"/>
      <c r="B727" s="20"/>
      <c r="C727" s="20"/>
      <c r="D727" s="20"/>
      <c r="E727" s="20"/>
      <c r="F727" s="20"/>
    </row>
    <row r="728" ht="14.25" customHeight="1">
      <c r="A728" s="20"/>
      <c r="B728" s="20"/>
      <c r="C728" s="20"/>
      <c r="D728" s="20"/>
      <c r="E728" s="20"/>
      <c r="F728" s="20"/>
    </row>
    <row r="729" ht="14.25" customHeight="1">
      <c r="A729" s="20"/>
      <c r="B729" s="20"/>
      <c r="C729" s="20"/>
      <c r="D729" s="20"/>
      <c r="E729" s="20"/>
      <c r="F729" s="20"/>
    </row>
    <row r="730" ht="14.25" customHeight="1">
      <c r="A730" s="20"/>
      <c r="B730" s="20"/>
      <c r="C730" s="20"/>
      <c r="D730" s="20"/>
      <c r="E730" s="20"/>
      <c r="F730" s="20"/>
    </row>
    <row r="731" ht="14.25" customHeight="1">
      <c r="A731" s="20"/>
      <c r="B731" s="20"/>
      <c r="C731" s="20"/>
      <c r="D731" s="20"/>
      <c r="E731" s="20"/>
      <c r="F731" s="20"/>
    </row>
    <row r="732" ht="14.25" customHeight="1">
      <c r="A732" s="20"/>
      <c r="B732" s="20"/>
      <c r="C732" s="20"/>
      <c r="D732" s="20"/>
      <c r="E732" s="20"/>
      <c r="F732" s="20"/>
    </row>
    <row r="733" ht="14.25" customHeight="1">
      <c r="A733" s="20"/>
      <c r="B733" s="20"/>
      <c r="C733" s="20"/>
      <c r="D733" s="20"/>
      <c r="E733" s="20"/>
      <c r="F733" s="20"/>
    </row>
    <row r="734" ht="14.25" customHeight="1">
      <c r="A734" s="20"/>
      <c r="B734" s="20"/>
      <c r="C734" s="20"/>
      <c r="D734" s="20"/>
      <c r="E734" s="20"/>
      <c r="F734" s="20"/>
    </row>
    <row r="735" ht="14.25" customHeight="1">
      <c r="A735" s="20"/>
      <c r="B735" s="20"/>
      <c r="C735" s="20"/>
      <c r="D735" s="20"/>
      <c r="E735" s="20"/>
      <c r="F735" s="20"/>
    </row>
    <row r="736" ht="14.25" customHeight="1">
      <c r="A736" s="20"/>
      <c r="B736" s="20"/>
      <c r="C736" s="20"/>
      <c r="D736" s="20"/>
      <c r="E736" s="20"/>
      <c r="F736" s="20"/>
    </row>
    <row r="737" ht="14.25" customHeight="1">
      <c r="A737" s="20"/>
      <c r="B737" s="20"/>
      <c r="C737" s="20"/>
      <c r="D737" s="20"/>
      <c r="E737" s="20"/>
      <c r="F737" s="20"/>
    </row>
    <row r="738" ht="14.25" customHeight="1">
      <c r="A738" s="20"/>
      <c r="B738" s="20"/>
      <c r="C738" s="20"/>
      <c r="D738" s="20"/>
      <c r="E738" s="20"/>
      <c r="F738" s="20"/>
    </row>
    <row r="739" ht="14.25" customHeight="1">
      <c r="A739" s="20"/>
      <c r="B739" s="20"/>
      <c r="C739" s="20"/>
      <c r="D739" s="20"/>
      <c r="E739" s="20"/>
      <c r="F739" s="20"/>
    </row>
    <row r="740" ht="14.25" customHeight="1">
      <c r="A740" s="20"/>
      <c r="B740" s="20"/>
      <c r="C740" s="20"/>
      <c r="D740" s="20"/>
      <c r="E740" s="20"/>
      <c r="F740" s="20"/>
    </row>
    <row r="741" ht="14.25" customHeight="1">
      <c r="A741" s="20"/>
      <c r="B741" s="20"/>
      <c r="C741" s="20"/>
      <c r="D741" s="20"/>
      <c r="E741" s="20"/>
      <c r="F741" s="20"/>
    </row>
    <row r="742" ht="14.25" customHeight="1">
      <c r="A742" s="20"/>
      <c r="B742" s="20"/>
      <c r="C742" s="20"/>
      <c r="D742" s="20"/>
      <c r="E742" s="20"/>
      <c r="F742" s="20"/>
    </row>
    <row r="743" ht="14.25" customHeight="1">
      <c r="A743" s="20"/>
      <c r="B743" s="20"/>
      <c r="C743" s="20"/>
      <c r="D743" s="20"/>
      <c r="E743" s="20"/>
      <c r="F743" s="20"/>
    </row>
    <row r="744" ht="14.25" customHeight="1">
      <c r="A744" s="20"/>
      <c r="B744" s="20"/>
      <c r="C744" s="20"/>
      <c r="D744" s="20"/>
      <c r="E744" s="20"/>
      <c r="F744" s="20"/>
    </row>
    <row r="745" ht="14.25" customHeight="1">
      <c r="A745" s="20"/>
      <c r="B745" s="20"/>
      <c r="C745" s="20"/>
      <c r="D745" s="20"/>
      <c r="E745" s="20"/>
      <c r="F745" s="20"/>
    </row>
    <row r="746" ht="14.25" customHeight="1">
      <c r="A746" s="20"/>
      <c r="B746" s="20"/>
      <c r="C746" s="20"/>
      <c r="D746" s="20"/>
      <c r="E746" s="20"/>
      <c r="F746" s="20"/>
    </row>
    <row r="747" ht="14.25" customHeight="1">
      <c r="A747" s="20"/>
      <c r="B747" s="20"/>
      <c r="C747" s="20"/>
      <c r="D747" s="20"/>
      <c r="E747" s="20"/>
      <c r="F747" s="20"/>
    </row>
    <row r="748" ht="14.25" customHeight="1">
      <c r="A748" s="20"/>
      <c r="B748" s="20"/>
      <c r="C748" s="20"/>
      <c r="D748" s="20"/>
      <c r="E748" s="20"/>
      <c r="F748" s="20"/>
    </row>
    <row r="749" ht="14.25" customHeight="1">
      <c r="A749" s="20"/>
      <c r="B749" s="20"/>
      <c r="C749" s="20"/>
      <c r="D749" s="20"/>
      <c r="E749" s="20"/>
      <c r="F749" s="20"/>
    </row>
    <row r="750" ht="14.25" customHeight="1">
      <c r="A750" s="20"/>
      <c r="B750" s="20"/>
      <c r="C750" s="20"/>
      <c r="D750" s="20"/>
      <c r="E750" s="20"/>
      <c r="F750" s="20"/>
    </row>
    <row r="751" ht="14.25" customHeight="1">
      <c r="A751" s="20"/>
      <c r="B751" s="20"/>
      <c r="C751" s="20"/>
      <c r="D751" s="20"/>
      <c r="E751" s="20"/>
      <c r="F751" s="20"/>
    </row>
    <row r="752" ht="14.25" customHeight="1">
      <c r="A752" s="20"/>
      <c r="B752" s="20"/>
      <c r="C752" s="20"/>
      <c r="D752" s="20"/>
      <c r="E752" s="20"/>
      <c r="F752" s="20"/>
    </row>
    <row r="753" ht="14.25" customHeight="1">
      <c r="A753" s="20"/>
      <c r="B753" s="20"/>
      <c r="C753" s="20"/>
      <c r="D753" s="20"/>
      <c r="E753" s="20"/>
      <c r="F753" s="20"/>
    </row>
    <row r="754" ht="14.25" customHeight="1">
      <c r="A754" s="20"/>
      <c r="B754" s="20"/>
      <c r="C754" s="20"/>
      <c r="D754" s="20"/>
      <c r="E754" s="20"/>
      <c r="F754" s="20"/>
    </row>
    <row r="755" ht="14.25" customHeight="1">
      <c r="A755" s="20"/>
      <c r="B755" s="20"/>
      <c r="C755" s="20"/>
      <c r="D755" s="20"/>
      <c r="E755" s="20"/>
      <c r="F755" s="20"/>
    </row>
    <row r="756" ht="14.25" customHeight="1">
      <c r="A756" s="20"/>
      <c r="B756" s="20"/>
      <c r="C756" s="20"/>
      <c r="D756" s="20"/>
      <c r="E756" s="20"/>
      <c r="F756" s="20"/>
    </row>
    <row r="757" ht="14.25" customHeight="1">
      <c r="A757" s="20"/>
      <c r="B757" s="20"/>
      <c r="C757" s="20"/>
      <c r="D757" s="20"/>
      <c r="E757" s="20"/>
      <c r="F757" s="20"/>
    </row>
    <row r="758" ht="14.25" customHeight="1">
      <c r="A758" s="20"/>
      <c r="B758" s="20"/>
      <c r="C758" s="20"/>
      <c r="D758" s="20"/>
      <c r="E758" s="20"/>
      <c r="F758" s="20"/>
    </row>
    <row r="759" ht="14.25" customHeight="1">
      <c r="A759" s="20"/>
      <c r="B759" s="20"/>
      <c r="C759" s="20"/>
      <c r="D759" s="20"/>
      <c r="E759" s="20"/>
      <c r="F759" s="20"/>
    </row>
    <row r="760" ht="14.25" customHeight="1">
      <c r="A760" s="20"/>
      <c r="B760" s="20"/>
      <c r="C760" s="20"/>
      <c r="D760" s="20"/>
      <c r="E760" s="20"/>
      <c r="F760" s="20"/>
    </row>
    <row r="761" ht="14.25" customHeight="1">
      <c r="A761" s="20"/>
      <c r="B761" s="20"/>
      <c r="C761" s="20"/>
      <c r="D761" s="20"/>
      <c r="E761" s="20"/>
      <c r="F761" s="20"/>
    </row>
    <row r="762" ht="14.25" customHeight="1">
      <c r="A762" s="20"/>
      <c r="B762" s="20"/>
      <c r="C762" s="20"/>
      <c r="D762" s="20"/>
      <c r="E762" s="20"/>
      <c r="F762" s="20"/>
    </row>
    <row r="763" ht="14.25" customHeight="1">
      <c r="A763" s="20"/>
      <c r="B763" s="20"/>
      <c r="C763" s="20"/>
      <c r="D763" s="20"/>
      <c r="E763" s="20"/>
      <c r="F763" s="20"/>
    </row>
    <row r="764" ht="14.25" customHeight="1">
      <c r="A764" s="20"/>
      <c r="B764" s="20"/>
      <c r="C764" s="20"/>
      <c r="D764" s="20"/>
      <c r="E764" s="20"/>
      <c r="F764" s="20"/>
    </row>
    <row r="765" ht="14.25" customHeight="1">
      <c r="A765" s="20"/>
      <c r="B765" s="20"/>
      <c r="C765" s="20"/>
      <c r="D765" s="20"/>
      <c r="E765" s="20"/>
      <c r="F765" s="20"/>
    </row>
    <row r="766" ht="14.25" customHeight="1">
      <c r="A766" s="20"/>
      <c r="B766" s="20"/>
      <c r="C766" s="20"/>
      <c r="D766" s="20"/>
      <c r="E766" s="20"/>
      <c r="F766" s="20"/>
    </row>
    <row r="767" ht="14.25" customHeight="1">
      <c r="A767" s="20"/>
      <c r="B767" s="20"/>
      <c r="C767" s="20"/>
      <c r="D767" s="20"/>
      <c r="E767" s="20"/>
      <c r="F767" s="20"/>
    </row>
    <row r="768" ht="14.25" customHeight="1">
      <c r="A768" s="20"/>
      <c r="B768" s="20"/>
      <c r="C768" s="20"/>
      <c r="D768" s="20"/>
      <c r="E768" s="20"/>
      <c r="F768" s="20"/>
    </row>
    <row r="769" ht="14.25" customHeight="1">
      <c r="A769" s="20"/>
      <c r="B769" s="20"/>
      <c r="C769" s="20"/>
      <c r="D769" s="20"/>
      <c r="E769" s="20"/>
      <c r="F769" s="20"/>
    </row>
    <row r="770" ht="14.25" customHeight="1">
      <c r="A770" s="20"/>
      <c r="B770" s="20"/>
      <c r="C770" s="20"/>
      <c r="D770" s="20"/>
      <c r="E770" s="20"/>
      <c r="F770" s="20"/>
    </row>
    <row r="771" ht="14.25" customHeight="1">
      <c r="A771" s="20"/>
      <c r="B771" s="20"/>
      <c r="C771" s="20"/>
      <c r="D771" s="20"/>
      <c r="E771" s="20"/>
      <c r="F771" s="20"/>
    </row>
    <row r="772" ht="14.25" customHeight="1">
      <c r="A772" s="20"/>
      <c r="B772" s="20"/>
      <c r="C772" s="20"/>
      <c r="D772" s="20"/>
      <c r="E772" s="20"/>
      <c r="F772" s="20"/>
    </row>
    <row r="773" ht="14.25" customHeight="1">
      <c r="A773" s="20"/>
      <c r="B773" s="20"/>
      <c r="C773" s="20"/>
      <c r="D773" s="20"/>
      <c r="E773" s="20"/>
      <c r="F773" s="20"/>
    </row>
    <row r="774" ht="14.25" customHeight="1">
      <c r="A774" s="20"/>
      <c r="B774" s="20"/>
      <c r="C774" s="20"/>
      <c r="D774" s="20"/>
      <c r="E774" s="20"/>
      <c r="F774" s="20"/>
    </row>
    <row r="775" ht="14.25" customHeight="1">
      <c r="A775" s="20"/>
      <c r="B775" s="20"/>
      <c r="C775" s="20"/>
      <c r="D775" s="20"/>
      <c r="E775" s="20"/>
      <c r="F775" s="20"/>
    </row>
    <row r="776" ht="14.25" customHeight="1">
      <c r="A776" s="20"/>
      <c r="B776" s="20"/>
      <c r="C776" s="20"/>
      <c r="D776" s="20"/>
      <c r="E776" s="20"/>
      <c r="F776" s="20"/>
    </row>
    <row r="777" ht="14.25" customHeight="1">
      <c r="A777" s="20"/>
      <c r="B777" s="20"/>
      <c r="C777" s="20"/>
      <c r="D777" s="20"/>
      <c r="E777" s="20"/>
      <c r="F777" s="20"/>
    </row>
    <row r="778" ht="14.25" customHeight="1">
      <c r="A778" s="20"/>
      <c r="B778" s="20"/>
      <c r="C778" s="20"/>
      <c r="D778" s="20"/>
      <c r="E778" s="20"/>
      <c r="F778" s="20"/>
    </row>
    <row r="779" ht="14.25" customHeight="1">
      <c r="A779" s="20"/>
      <c r="B779" s="20"/>
      <c r="C779" s="20"/>
      <c r="D779" s="20"/>
      <c r="E779" s="20"/>
      <c r="F779" s="20"/>
    </row>
    <row r="780" ht="14.25" customHeight="1">
      <c r="A780" s="20"/>
      <c r="B780" s="20"/>
      <c r="C780" s="20"/>
      <c r="D780" s="20"/>
      <c r="E780" s="20"/>
      <c r="F780" s="20"/>
    </row>
    <row r="781" ht="14.25" customHeight="1">
      <c r="A781" s="20"/>
      <c r="B781" s="20"/>
      <c r="C781" s="20"/>
      <c r="D781" s="20"/>
      <c r="E781" s="20"/>
      <c r="F781" s="20"/>
    </row>
    <row r="782" ht="14.25" customHeight="1">
      <c r="A782" s="20"/>
      <c r="B782" s="20"/>
      <c r="C782" s="20"/>
      <c r="D782" s="20"/>
      <c r="E782" s="20"/>
      <c r="F782" s="20"/>
    </row>
    <row r="783" ht="14.25" customHeight="1">
      <c r="A783" s="20"/>
      <c r="B783" s="20"/>
      <c r="C783" s="20"/>
      <c r="D783" s="20"/>
      <c r="E783" s="20"/>
      <c r="F783" s="20"/>
    </row>
    <row r="784" ht="14.25" customHeight="1">
      <c r="A784" s="20"/>
      <c r="B784" s="20"/>
      <c r="C784" s="20"/>
      <c r="D784" s="20"/>
      <c r="E784" s="20"/>
      <c r="F784" s="20"/>
    </row>
    <row r="785" ht="14.25" customHeight="1">
      <c r="A785" s="20"/>
      <c r="B785" s="20"/>
      <c r="C785" s="20"/>
      <c r="D785" s="20"/>
      <c r="E785" s="20"/>
      <c r="F785" s="20"/>
    </row>
    <row r="786" ht="14.25" customHeight="1">
      <c r="A786" s="20"/>
      <c r="B786" s="20"/>
      <c r="C786" s="20"/>
      <c r="D786" s="20"/>
      <c r="E786" s="20"/>
      <c r="F786" s="20"/>
    </row>
    <row r="787" ht="14.25" customHeight="1">
      <c r="A787" s="20"/>
      <c r="B787" s="20"/>
      <c r="C787" s="20"/>
      <c r="D787" s="20"/>
      <c r="E787" s="20"/>
      <c r="F787" s="20"/>
    </row>
    <row r="788" ht="14.25" customHeight="1">
      <c r="A788" s="20"/>
      <c r="B788" s="20"/>
      <c r="C788" s="20"/>
      <c r="D788" s="20"/>
      <c r="E788" s="20"/>
      <c r="F788" s="20"/>
    </row>
    <row r="789" ht="14.25" customHeight="1">
      <c r="A789" s="20"/>
      <c r="B789" s="20"/>
      <c r="C789" s="20"/>
      <c r="D789" s="20"/>
      <c r="E789" s="20"/>
      <c r="F789" s="20"/>
    </row>
    <row r="790" ht="14.25" customHeight="1">
      <c r="A790" s="20"/>
      <c r="B790" s="20"/>
      <c r="C790" s="20"/>
      <c r="D790" s="20"/>
      <c r="E790" s="20"/>
      <c r="F790" s="20"/>
    </row>
    <row r="791" ht="14.25" customHeight="1">
      <c r="A791" s="20"/>
      <c r="B791" s="20"/>
      <c r="C791" s="20"/>
      <c r="D791" s="20"/>
      <c r="E791" s="20"/>
      <c r="F791" s="20"/>
    </row>
    <row r="792" ht="14.25" customHeight="1">
      <c r="A792" s="20"/>
      <c r="B792" s="20"/>
      <c r="C792" s="20"/>
      <c r="D792" s="20"/>
      <c r="E792" s="20"/>
      <c r="F792" s="20"/>
    </row>
    <row r="793" ht="14.25" customHeight="1">
      <c r="A793" s="20"/>
      <c r="B793" s="20"/>
      <c r="C793" s="20"/>
      <c r="D793" s="20"/>
      <c r="E793" s="20"/>
      <c r="F793" s="20"/>
    </row>
    <row r="794" ht="14.25" customHeight="1">
      <c r="A794" s="20"/>
      <c r="B794" s="20"/>
      <c r="C794" s="20"/>
      <c r="D794" s="20"/>
      <c r="E794" s="20"/>
      <c r="F794" s="20"/>
    </row>
    <row r="795" ht="14.25" customHeight="1">
      <c r="A795" s="20"/>
      <c r="B795" s="20"/>
      <c r="C795" s="20"/>
      <c r="D795" s="20"/>
      <c r="E795" s="20"/>
      <c r="F795" s="20"/>
    </row>
    <row r="796" ht="14.25" customHeight="1">
      <c r="A796" s="20"/>
      <c r="B796" s="20"/>
      <c r="C796" s="20"/>
      <c r="D796" s="20"/>
      <c r="E796" s="20"/>
      <c r="F796" s="20"/>
    </row>
    <row r="797" ht="14.25" customHeight="1">
      <c r="A797" s="20"/>
      <c r="B797" s="20"/>
      <c r="C797" s="20"/>
      <c r="D797" s="20"/>
      <c r="E797" s="20"/>
      <c r="F797" s="20"/>
    </row>
    <row r="798" ht="14.25" customHeight="1">
      <c r="A798" s="20"/>
      <c r="B798" s="20"/>
      <c r="C798" s="20"/>
      <c r="D798" s="20"/>
      <c r="E798" s="20"/>
      <c r="F798" s="20"/>
    </row>
    <row r="799" ht="14.25" customHeight="1">
      <c r="A799" s="20"/>
      <c r="B799" s="20"/>
      <c r="C799" s="20"/>
      <c r="D799" s="20"/>
      <c r="E799" s="20"/>
      <c r="F799" s="20"/>
    </row>
    <row r="800" ht="14.25" customHeight="1">
      <c r="A800" s="20"/>
      <c r="B800" s="20"/>
      <c r="C800" s="20"/>
      <c r="D800" s="20"/>
      <c r="E800" s="20"/>
      <c r="F800" s="20"/>
    </row>
    <row r="801" ht="14.25" customHeight="1">
      <c r="A801" s="20"/>
      <c r="B801" s="20"/>
      <c r="C801" s="20"/>
      <c r="D801" s="20"/>
      <c r="E801" s="20"/>
      <c r="F801" s="20"/>
    </row>
    <row r="802" ht="14.25" customHeight="1">
      <c r="A802" s="20"/>
      <c r="B802" s="20"/>
      <c r="C802" s="20"/>
      <c r="D802" s="20"/>
      <c r="E802" s="20"/>
      <c r="F802" s="20"/>
    </row>
    <row r="803" ht="14.25" customHeight="1">
      <c r="A803" s="20"/>
      <c r="B803" s="20"/>
      <c r="C803" s="20"/>
      <c r="D803" s="20"/>
      <c r="E803" s="20"/>
      <c r="F803" s="20"/>
    </row>
    <row r="804" ht="14.25" customHeight="1">
      <c r="A804" s="20"/>
      <c r="B804" s="20"/>
      <c r="C804" s="20"/>
      <c r="D804" s="20"/>
      <c r="E804" s="20"/>
      <c r="F804" s="20"/>
    </row>
    <row r="805" ht="14.25" customHeight="1">
      <c r="A805" s="20"/>
      <c r="B805" s="20"/>
      <c r="C805" s="20"/>
      <c r="D805" s="20"/>
      <c r="E805" s="20"/>
      <c r="F805" s="20"/>
    </row>
    <row r="806" ht="14.25" customHeight="1">
      <c r="A806" s="20"/>
      <c r="B806" s="20"/>
      <c r="C806" s="20"/>
      <c r="D806" s="20"/>
      <c r="E806" s="20"/>
      <c r="F806" s="20"/>
    </row>
    <row r="807" ht="14.25" customHeight="1">
      <c r="A807" s="20"/>
      <c r="B807" s="20"/>
      <c r="C807" s="20"/>
      <c r="D807" s="20"/>
      <c r="E807" s="20"/>
      <c r="F807" s="20"/>
    </row>
    <row r="808" ht="14.25" customHeight="1">
      <c r="A808" s="20"/>
      <c r="B808" s="20"/>
      <c r="C808" s="20"/>
      <c r="D808" s="20"/>
      <c r="E808" s="20"/>
      <c r="F808" s="20"/>
    </row>
    <row r="809" ht="14.25" customHeight="1">
      <c r="A809" s="20"/>
      <c r="B809" s="20"/>
      <c r="C809" s="20"/>
      <c r="D809" s="20"/>
      <c r="E809" s="20"/>
      <c r="F809" s="20"/>
    </row>
    <row r="810" ht="14.25" customHeight="1">
      <c r="A810" s="20"/>
      <c r="B810" s="20"/>
      <c r="C810" s="20"/>
      <c r="D810" s="20"/>
      <c r="E810" s="20"/>
      <c r="F810" s="20"/>
    </row>
    <row r="811" ht="14.25" customHeight="1">
      <c r="A811" s="20"/>
      <c r="B811" s="20"/>
      <c r="C811" s="20"/>
      <c r="D811" s="20"/>
      <c r="E811" s="20"/>
      <c r="F811" s="20"/>
    </row>
    <row r="812" ht="14.25" customHeight="1">
      <c r="A812" s="20"/>
      <c r="B812" s="20"/>
      <c r="C812" s="20"/>
      <c r="D812" s="20"/>
      <c r="E812" s="20"/>
      <c r="F812" s="20"/>
    </row>
    <row r="813" ht="14.25" customHeight="1">
      <c r="A813" s="20"/>
      <c r="B813" s="20"/>
      <c r="C813" s="20"/>
      <c r="D813" s="20"/>
      <c r="E813" s="20"/>
      <c r="F813" s="20"/>
    </row>
    <row r="814" ht="14.25" customHeight="1">
      <c r="A814" s="20"/>
      <c r="B814" s="20"/>
      <c r="C814" s="20"/>
      <c r="D814" s="20"/>
      <c r="E814" s="20"/>
      <c r="F814" s="20"/>
    </row>
    <row r="815" ht="14.25" customHeight="1">
      <c r="A815" s="20"/>
      <c r="B815" s="20"/>
      <c r="C815" s="20"/>
      <c r="D815" s="20"/>
      <c r="E815" s="20"/>
      <c r="F815" s="20"/>
    </row>
    <row r="816" ht="14.25" customHeight="1">
      <c r="A816" s="20"/>
      <c r="B816" s="20"/>
      <c r="C816" s="20"/>
      <c r="D816" s="20"/>
      <c r="E816" s="20"/>
      <c r="F816" s="20"/>
    </row>
    <row r="817" ht="14.25" customHeight="1">
      <c r="A817" s="20"/>
      <c r="B817" s="20"/>
      <c r="C817" s="20"/>
      <c r="D817" s="20"/>
      <c r="E817" s="20"/>
      <c r="F817" s="20"/>
    </row>
    <row r="818" ht="14.25" customHeight="1">
      <c r="A818" s="20"/>
      <c r="B818" s="20"/>
      <c r="C818" s="20"/>
      <c r="D818" s="20"/>
      <c r="E818" s="20"/>
      <c r="F818" s="20"/>
    </row>
    <row r="819" ht="14.25" customHeight="1">
      <c r="A819" s="20"/>
      <c r="B819" s="20"/>
      <c r="C819" s="20"/>
      <c r="D819" s="20"/>
      <c r="E819" s="20"/>
      <c r="F819" s="20"/>
    </row>
    <row r="820" ht="14.25" customHeight="1">
      <c r="A820" s="20"/>
      <c r="B820" s="20"/>
      <c r="C820" s="20"/>
      <c r="D820" s="20"/>
      <c r="E820" s="20"/>
      <c r="F820" s="20"/>
    </row>
    <row r="821" ht="14.25" customHeight="1">
      <c r="A821" s="20"/>
      <c r="B821" s="20"/>
      <c r="C821" s="20"/>
      <c r="D821" s="20"/>
      <c r="E821" s="20"/>
      <c r="F821" s="20"/>
    </row>
    <row r="822" ht="14.25" customHeight="1">
      <c r="A822" s="20"/>
      <c r="B822" s="20"/>
      <c r="C822" s="20"/>
      <c r="D822" s="20"/>
      <c r="E822" s="20"/>
      <c r="F822" s="20"/>
    </row>
    <row r="823" ht="14.25" customHeight="1">
      <c r="A823" s="20"/>
      <c r="B823" s="20"/>
      <c r="C823" s="20"/>
      <c r="D823" s="20"/>
      <c r="E823" s="20"/>
      <c r="F823" s="20"/>
    </row>
    <row r="824" ht="14.25" customHeight="1">
      <c r="A824" s="20"/>
      <c r="B824" s="20"/>
      <c r="C824" s="20"/>
      <c r="D824" s="20"/>
      <c r="E824" s="20"/>
      <c r="F824" s="20"/>
    </row>
    <row r="825" ht="14.25" customHeight="1">
      <c r="A825" s="20"/>
      <c r="B825" s="20"/>
      <c r="C825" s="20"/>
      <c r="D825" s="20"/>
      <c r="E825" s="20"/>
      <c r="F825" s="20"/>
    </row>
    <row r="826" ht="14.25" customHeight="1">
      <c r="A826" s="20"/>
      <c r="B826" s="20"/>
      <c r="C826" s="20"/>
      <c r="D826" s="20"/>
      <c r="E826" s="20"/>
      <c r="F826" s="20"/>
    </row>
    <row r="827" ht="14.25" customHeight="1">
      <c r="A827" s="20"/>
      <c r="B827" s="20"/>
      <c r="C827" s="20"/>
      <c r="D827" s="20"/>
      <c r="E827" s="20"/>
      <c r="F827" s="20"/>
    </row>
    <row r="828" ht="14.25" customHeight="1">
      <c r="A828" s="20"/>
      <c r="B828" s="20"/>
      <c r="C828" s="20"/>
      <c r="D828" s="20"/>
      <c r="E828" s="20"/>
      <c r="F828" s="20"/>
    </row>
    <row r="829" ht="14.25" customHeight="1">
      <c r="A829" s="20"/>
      <c r="B829" s="20"/>
      <c r="C829" s="20"/>
      <c r="D829" s="20"/>
      <c r="E829" s="20"/>
      <c r="F829" s="20"/>
    </row>
    <row r="830" ht="14.25" customHeight="1">
      <c r="A830" s="20"/>
      <c r="B830" s="20"/>
      <c r="C830" s="20"/>
      <c r="D830" s="20"/>
      <c r="E830" s="20"/>
      <c r="F830" s="20"/>
    </row>
    <row r="831" ht="14.25" customHeight="1">
      <c r="A831" s="20"/>
      <c r="B831" s="20"/>
      <c r="C831" s="20"/>
      <c r="D831" s="20"/>
      <c r="E831" s="20"/>
      <c r="F831" s="20"/>
    </row>
    <row r="832" ht="14.25" customHeight="1">
      <c r="A832" s="20"/>
      <c r="B832" s="20"/>
      <c r="C832" s="20"/>
      <c r="D832" s="20"/>
      <c r="E832" s="20"/>
      <c r="F832" s="20"/>
    </row>
    <row r="833" ht="14.25" customHeight="1">
      <c r="A833" s="20"/>
      <c r="B833" s="20"/>
      <c r="C833" s="20"/>
      <c r="D833" s="20"/>
      <c r="E833" s="20"/>
      <c r="F833" s="20"/>
    </row>
    <row r="834" ht="14.25" customHeight="1">
      <c r="A834" s="20"/>
      <c r="B834" s="20"/>
      <c r="C834" s="20"/>
      <c r="D834" s="20"/>
      <c r="E834" s="20"/>
      <c r="F834" s="20"/>
    </row>
    <row r="835" ht="14.25" customHeight="1">
      <c r="A835" s="20"/>
      <c r="B835" s="20"/>
      <c r="C835" s="20"/>
      <c r="D835" s="20"/>
      <c r="E835" s="20"/>
      <c r="F835" s="20"/>
    </row>
    <row r="836" ht="14.25" customHeight="1">
      <c r="A836" s="20"/>
      <c r="B836" s="20"/>
      <c r="C836" s="20"/>
      <c r="D836" s="20"/>
      <c r="E836" s="20"/>
      <c r="F836" s="20"/>
    </row>
    <row r="837" ht="14.25" customHeight="1">
      <c r="A837" s="20"/>
      <c r="B837" s="20"/>
      <c r="C837" s="20"/>
      <c r="D837" s="20"/>
      <c r="E837" s="20"/>
      <c r="F837" s="20"/>
    </row>
    <row r="838" ht="14.25" customHeight="1">
      <c r="A838" s="20"/>
      <c r="B838" s="20"/>
      <c r="C838" s="20"/>
      <c r="D838" s="20"/>
      <c r="E838" s="20"/>
      <c r="F838" s="20"/>
    </row>
    <row r="839" ht="14.25" customHeight="1">
      <c r="A839" s="20"/>
      <c r="B839" s="20"/>
      <c r="C839" s="20"/>
      <c r="D839" s="20"/>
      <c r="E839" s="20"/>
      <c r="F839" s="20"/>
    </row>
    <row r="840" ht="14.25" customHeight="1">
      <c r="A840" s="20"/>
      <c r="B840" s="20"/>
      <c r="C840" s="20"/>
      <c r="D840" s="20"/>
      <c r="E840" s="20"/>
      <c r="F840" s="20"/>
    </row>
    <row r="841" ht="14.25" customHeight="1">
      <c r="A841" s="20"/>
      <c r="B841" s="20"/>
      <c r="C841" s="20"/>
      <c r="D841" s="20"/>
      <c r="E841" s="20"/>
      <c r="F841" s="20"/>
    </row>
    <row r="842" ht="14.25" customHeight="1">
      <c r="A842" s="20"/>
      <c r="B842" s="20"/>
      <c r="C842" s="20"/>
      <c r="D842" s="20"/>
      <c r="E842" s="20"/>
      <c r="F842" s="20"/>
    </row>
    <row r="843" ht="14.25" customHeight="1">
      <c r="A843" s="20"/>
      <c r="B843" s="20"/>
      <c r="C843" s="20"/>
      <c r="D843" s="20"/>
      <c r="E843" s="20"/>
      <c r="F843" s="20"/>
    </row>
    <row r="844" ht="14.25" customHeight="1">
      <c r="A844" s="20"/>
      <c r="B844" s="20"/>
      <c r="C844" s="20"/>
      <c r="D844" s="20"/>
      <c r="E844" s="20"/>
      <c r="F844" s="20"/>
    </row>
    <row r="845" ht="14.25" customHeight="1">
      <c r="A845" s="20"/>
      <c r="B845" s="20"/>
      <c r="C845" s="20"/>
      <c r="D845" s="20"/>
      <c r="E845" s="20"/>
      <c r="F845" s="20"/>
    </row>
    <row r="846" ht="14.25" customHeight="1">
      <c r="A846" s="20"/>
      <c r="B846" s="20"/>
      <c r="C846" s="20"/>
      <c r="D846" s="20"/>
      <c r="E846" s="20"/>
      <c r="F846" s="20"/>
    </row>
    <row r="847" ht="14.25" customHeight="1">
      <c r="A847" s="20"/>
      <c r="B847" s="20"/>
      <c r="C847" s="20"/>
      <c r="D847" s="20"/>
      <c r="E847" s="20"/>
      <c r="F847" s="20"/>
    </row>
    <row r="848" ht="14.25" customHeight="1">
      <c r="A848" s="20"/>
      <c r="B848" s="20"/>
      <c r="C848" s="20"/>
      <c r="D848" s="20"/>
      <c r="E848" s="20"/>
      <c r="F848" s="20"/>
    </row>
    <row r="849" ht="14.25" customHeight="1">
      <c r="A849" s="20"/>
      <c r="B849" s="20"/>
      <c r="C849" s="20"/>
      <c r="D849" s="20"/>
      <c r="E849" s="20"/>
      <c r="F849" s="20"/>
    </row>
    <row r="850" ht="14.25" customHeight="1">
      <c r="A850" s="20"/>
      <c r="B850" s="20"/>
      <c r="C850" s="20"/>
      <c r="D850" s="20"/>
      <c r="E850" s="20"/>
      <c r="F850" s="20"/>
    </row>
    <row r="851" ht="14.25" customHeight="1">
      <c r="A851" s="20"/>
      <c r="B851" s="20"/>
      <c r="C851" s="20"/>
      <c r="D851" s="20"/>
      <c r="E851" s="20"/>
      <c r="F851" s="20"/>
    </row>
    <row r="852" ht="14.25" customHeight="1">
      <c r="A852" s="20"/>
      <c r="B852" s="20"/>
      <c r="C852" s="20"/>
      <c r="D852" s="20"/>
      <c r="E852" s="20"/>
      <c r="F852" s="20"/>
    </row>
    <row r="853" ht="14.25" customHeight="1">
      <c r="A853" s="20"/>
      <c r="B853" s="20"/>
      <c r="C853" s="20"/>
      <c r="D853" s="20"/>
      <c r="E853" s="20"/>
      <c r="F853" s="20"/>
    </row>
    <row r="854" ht="14.25" customHeight="1">
      <c r="A854" s="20"/>
      <c r="B854" s="20"/>
      <c r="C854" s="20"/>
      <c r="D854" s="20"/>
      <c r="E854" s="20"/>
      <c r="F854" s="20"/>
    </row>
    <row r="855" ht="14.25" customHeight="1">
      <c r="A855" s="20"/>
      <c r="B855" s="20"/>
      <c r="C855" s="20"/>
      <c r="D855" s="20"/>
      <c r="E855" s="20"/>
      <c r="F855" s="20"/>
    </row>
    <row r="856" ht="14.25" customHeight="1">
      <c r="A856" s="20"/>
      <c r="B856" s="20"/>
      <c r="C856" s="20"/>
      <c r="D856" s="20"/>
      <c r="E856" s="20"/>
      <c r="F856" s="20"/>
    </row>
    <row r="857" ht="14.25" customHeight="1">
      <c r="A857" s="20"/>
      <c r="B857" s="20"/>
      <c r="C857" s="20"/>
      <c r="D857" s="20"/>
      <c r="E857" s="20"/>
      <c r="F857" s="20"/>
    </row>
    <row r="858" ht="14.25" customHeight="1">
      <c r="A858" s="20"/>
      <c r="B858" s="20"/>
      <c r="C858" s="20"/>
      <c r="D858" s="20"/>
      <c r="E858" s="20"/>
      <c r="F858" s="20"/>
    </row>
    <row r="859" ht="14.25" customHeight="1">
      <c r="A859" s="20"/>
      <c r="B859" s="20"/>
      <c r="C859" s="20"/>
      <c r="D859" s="20"/>
      <c r="E859" s="20"/>
      <c r="F859" s="20"/>
    </row>
    <row r="860" ht="14.25" customHeight="1">
      <c r="A860" s="20"/>
      <c r="B860" s="20"/>
      <c r="C860" s="20"/>
      <c r="D860" s="20"/>
      <c r="E860" s="20"/>
      <c r="F860" s="20"/>
    </row>
    <row r="861" ht="14.25" customHeight="1">
      <c r="A861" s="20"/>
      <c r="B861" s="20"/>
      <c r="C861" s="20"/>
      <c r="D861" s="20"/>
      <c r="E861" s="20"/>
      <c r="F861" s="20"/>
    </row>
    <row r="862" ht="14.25" customHeight="1">
      <c r="A862" s="20"/>
      <c r="B862" s="20"/>
      <c r="C862" s="20"/>
      <c r="D862" s="20"/>
      <c r="E862" s="20"/>
      <c r="F862" s="20"/>
    </row>
    <row r="863" ht="14.25" customHeight="1">
      <c r="A863" s="20"/>
      <c r="B863" s="20"/>
      <c r="C863" s="20"/>
      <c r="D863" s="20"/>
      <c r="E863" s="20"/>
      <c r="F863" s="20"/>
    </row>
    <row r="864" ht="14.25" customHeight="1">
      <c r="A864" s="20"/>
      <c r="B864" s="20"/>
      <c r="C864" s="20"/>
      <c r="D864" s="20"/>
      <c r="E864" s="20"/>
      <c r="F864" s="20"/>
    </row>
    <row r="865" ht="14.25" customHeight="1">
      <c r="A865" s="20"/>
      <c r="B865" s="20"/>
      <c r="C865" s="20"/>
      <c r="D865" s="20"/>
      <c r="E865" s="20"/>
      <c r="F865" s="20"/>
    </row>
    <row r="866" ht="14.25" customHeight="1">
      <c r="A866" s="20"/>
      <c r="B866" s="20"/>
      <c r="C866" s="20"/>
      <c r="D866" s="20"/>
      <c r="E866" s="20"/>
      <c r="F866" s="20"/>
    </row>
    <row r="867" ht="14.25" customHeight="1">
      <c r="A867" s="20"/>
      <c r="B867" s="20"/>
      <c r="C867" s="20"/>
      <c r="D867" s="20"/>
      <c r="E867" s="20"/>
      <c r="F867" s="20"/>
    </row>
    <row r="868" ht="14.25" customHeight="1">
      <c r="A868" s="20"/>
      <c r="B868" s="20"/>
      <c r="C868" s="20"/>
      <c r="D868" s="20"/>
      <c r="E868" s="20"/>
      <c r="F868" s="20"/>
    </row>
    <row r="869" ht="14.25" customHeight="1">
      <c r="A869" s="20"/>
      <c r="B869" s="20"/>
      <c r="C869" s="20"/>
      <c r="D869" s="20"/>
      <c r="E869" s="20"/>
      <c r="F869" s="20"/>
    </row>
    <row r="870" ht="14.25" customHeight="1">
      <c r="A870" s="20"/>
      <c r="B870" s="20"/>
      <c r="C870" s="20"/>
      <c r="D870" s="20"/>
      <c r="E870" s="20"/>
      <c r="F870" s="20"/>
    </row>
    <row r="871" ht="14.25" customHeight="1">
      <c r="A871" s="20"/>
      <c r="B871" s="20"/>
      <c r="C871" s="20"/>
      <c r="D871" s="20"/>
      <c r="E871" s="20"/>
      <c r="F871" s="20"/>
    </row>
    <row r="872" ht="14.25" customHeight="1">
      <c r="A872" s="20"/>
      <c r="B872" s="20"/>
      <c r="C872" s="20"/>
      <c r="D872" s="20"/>
      <c r="E872" s="20"/>
      <c r="F872" s="20"/>
    </row>
    <row r="873" ht="14.25" customHeight="1">
      <c r="A873" s="20"/>
      <c r="B873" s="20"/>
      <c r="C873" s="20"/>
      <c r="D873" s="20"/>
      <c r="E873" s="20"/>
      <c r="F873" s="20"/>
    </row>
    <row r="874" ht="14.25" customHeight="1">
      <c r="A874" s="20"/>
      <c r="B874" s="20"/>
      <c r="C874" s="20"/>
      <c r="D874" s="20"/>
      <c r="E874" s="20"/>
      <c r="F874" s="20"/>
    </row>
    <row r="875" ht="14.25" customHeight="1">
      <c r="A875" s="20"/>
      <c r="B875" s="20"/>
      <c r="C875" s="20"/>
      <c r="D875" s="20"/>
      <c r="E875" s="20"/>
      <c r="F875" s="20"/>
    </row>
    <row r="876" ht="14.25" customHeight="1">
      <c r="A876" s="20"/>
      <c r="B876" s="20"/>
      <c r="C876" s="20"/>
      <c r="D876" s="20"/>
      <c r="E876" s="20"/>
      <c r="F876" s="20"/>
    </row>
    <row r="877" ht="14.25" customHeight="1">
      <c r="A877" s="20"/>
      <c r="B877" s="20"/>
      <c r="C877" s="20"/>
      <c r="D877" s="20"/>
      <c r="E877" s="20"/>
      <c r="F877" s="20"/>
    </row>
    <row r="878" ht="14.25" customHeight="1">
      <c r="A878" s="20"/>
      <c r="B878" s="20"/>
      <c r="C878" s="20"/>
      <c r="D878" s="20"/>
      <c r="E878" s="20"/>
      <c r="F878" s="20"/>
    </row>
    <row r="879" ht="14.25" customHeight="1">
      <c r="A879" s="20"/>
      <c r="B879" s="20"/>
      <c r="C879" s="20"/>
      <c r="D879" s="20"/>
      <c r="E879" s="20"/>
      <c r="F879" s="20"/>
    </row>
    <row r="880" ht="14.25" customHeight="1">
      <c r="A880" s="20"/>
      <c r="B880" s="20"/>
      <c r="C880" s="20"/>
      <c r="D880" s="20"/>
      <c r="E880" s="20"/>
      <c r="F880" s="20"/>
    </row>
    <row r="881" ht="14.25" customHeight="1">
      <c r="A881" s="20"/>
      <c r="B881" s="20"/>
      <c r="C881" s="20"/>
      <c r="D881" s="20"/>
      <c r="E881" s="20"/>
      <c r="F881" s="20"/>
    </row>
    <row r="882" ht="14.25" customHeight="1">
      <c r="A882" s="20"/>
      <c r="B882" s="20"/>
      <c r="C882" s="20"/>
      <c r="D882" s="20"/>
      <c r="E882" s="20"/>
      <c r="F882" s="20"/>
    </row>
    <row r="883" ht="14.25" customHeight="1">
      <c r="A883" s="20"/>
      <c r="B883" s="20"/>
      <c r="C883" s="20"/>
      <c r="D883" s="20"/>
      <c r="E883" s="20"/>
      <c r="F883" s="20"/>
    </row>
    <row r="884" ht="14.25" customHeight="1">
      <c r="A884" s="20"/>
      <c r="B884" s="20"/>
      <c r="C884" s="20"/>
      <c r="D884" s="20"/>
      <c r="E884" s="20"/>
      <c r="F884" s="20"/>
    </row>
    <row r="885" ht="14.25" customHeight="1">
      <c r="A885" s="20"/>
      <c r="B885" s="20"/>
      <c r="C885" s="20"/>
      <c r="D885" s="20"/>
      <c r="E885" s="20"/>
      <c r="F885" s="20"/>
    </row>
    <row r="886" ht="14.25" customHeight="1">
      <c r="A886" s="20"/>
      <c r="B886" s="20"/>
      <c r="C886" s="20"/>
      <c r="D886" s="20"/>
      <c r="E886" s="20"/>
      <c r="F886" s="20"/>
    </row>
    <row r="887" ht="14.25" customHeight="1">
      <c r="A887" s="20"/>
      <c r="B887" s="20"/>
      <c r="C887" s="20"/>
      <c r="D887" s="20"/>
      <c r="E887" s="20"/>
      <c r="F887" s="20"/>
    </row>
    <row r="888" ht="14.25" customHeight="1">
      <c r="A888" s="20"/>
      <c r="B888" s="20"/>
      <c r="C888" s="20"/>
      <c r="D888" s="20"/>
      <c r="E888" s="20"/>
      <c r="F888" s="20"/>
    </row>
    <row r="889" ht="14.25" customHeight="1">
      <c r="A889" s="20"/>
      <c r="B889" s="20"/>
      <c r="C889" s="20"/>
      <c r="D889" s="20"/>
      <c r="E889" s="20"/>
      <c r="F889" s="20"/>
    </row>
    <row r="890" ht="14.25" customHeight="1">
      <c r="A890" s="20"/>
      <c r="B890" s="20"/>
      <c r="C890" s="20"/>
      <c r="D890" s="20"/>
      <c r="E890" s="20"/>
      <c r="F890" s="20"/>
    </row>
    <row r="891" ht="14.25" customHeight="1">
      <c r="A891" s="20"/>
      <c r="B891" s="20"/>
      <c r="C891" s="20"/>
      <c r="D891" s="20"/>
      <c r="E891" s="20"/>
      <c r="F891" s="20"/>
    </row>
    <row r="892" ht="14.25" customHeight="1">
      <c r="A892" s="20"/>
      <c r="B892" s="20"/>
      <c r="C892" s="20"/>
      <c r="D892" s="20"/>
      <c r="E892" s="20"/>
      <c r="F892" s="20"/>
    </row>
    <row r="893" ht="14.25" customHeight="1">
      <c r="A893" s="20"/>
      <c r="B893" s="20"/>
      <c r="C893" s="20"/>
      <c r="D893" s="20"/>
      <c r="E893" s="20"/>
      <c r="F893" s="20"/>
    </row>
    <row r="894" ht="14.25" customHeight="1">
      <c r="A894" s="20"/>
      <c r="B894" s="20"/>
      <c r="C894" s="20"/>
      <c r="D894" s="20"/>
      <c r="E894" s="20"/>
      <c r="F894" s="20"/>
    </row>
    <row r="895" ht="14.25" customHeight="1">
      <c r="A895" s="20"/>
      <c r="B895" s="20"/>
      <c r="C895" s="20"/>
      <c r="D895" s="20"/>
      <c r="E895" s="20"/>
      <c r="F895" s="20"/>
    </row>
    <row r="896" ht="14.25" customHeight="1">
      <c r="A896" s="20"/>
      <c r="B896" s="20"/>
      <c r="C896" s="20"/>
      <c r="D896" s="20"/>
      <c r="E896" s="20"/>
      <c r="F896" s="20"/>
    </row>
    <row r="897" ht="14.25" customHeight="1">
      <c r="A897" s="20"/>
      <c r="B897" s="20"/>
      <c r="C897" s="20"/>
      <c r="D897" s="20"/>
      <c r="E897" s="20"/>
      <c r="F897" s="20"/>
    </row>
    <row r="898" ht="14.25" customHeight="1">
      <c r="A898" s="20"/>
      <c r="B898" s="20"/>
      <c r="C898" s="20"/>
      <c r="D898" s="20"/>
      <c r="E898" s="20"/>
      <c r="F898" s="20"/>
    </row>
    <row r="899" ht="14.25" customHeight="1">
      <c r="A899" s="20"/>
      <c r="B899" s="20"/>
      <c r="C899" s="20"/>
      <c r="D899" s="20"/>
      <c r="E899" s="20"/>
      <c r="F899" s="20"/>
    </row>
    <row r="900" ht="14.25" customHeight="1">
      <c r="A900" s="20"/>
      <c r="B900" s="20"/>
      <c r="C900" s="20"/>
      <c r="D900" s="20"/>
      <c r="E900" s="20"/>
      <c r="F900" s="20"/>
    </row>
    <row r="901" ht="14.25" customHeight="1">
      <c r="A901" s="20"/>
      <c r="B901" s="20"/>
      <c r="C901" s="20"/>
      <c r="D901" s="20"/>
      <c r="E901" s="20"/>
      <c r="F901" s="20"/>
    </row>
    <row r="902" ht="14.25" customHeight="1">
      <c r="A902" s="20"/>
      <c r="B902" s="20"/>
      <c r="C902" s="20"/>
      <c r="D902" s="20"/>
      <c r="E902" s="20"/>
      <c r="F902" s="20"/>
    </row>
    <row r="903" ht="14.25" customHeight="1">
      <c r="A903" s="20"/>
      <c r="B903" s="20"/>
      <c r="C903" s="20"/>
      <c r="D903" s="20"/>
      <c r="E903" s="20"/>
      <c r="F903" s="20"/>
    </row>
    <row r="904" ht="14.25" customHeight="1">
      <c r="A904" s="20"/>
      <c r="B904" s="20"/>
      <c r="C904" s="20"/>
      <c r="D904" s="20"/>
      <c r="E904" s="20"/>
      <c r="F904" s="20"/>
    </row>
    <row r="905" ht="14.25" customHeight="1">
      <c r="A905" s="20"/>
      <c r="B905" s="20"/>
      <c r="C905" s="20"/>
      <c r="D905" s="20"/>
      <c r="E905" s="20"/>
      <c r="F905" s="20"/>
    </row>
    <row r="906" ht="14.25" customHeight="1">
      <c r="A906" s="20"/>
      <c r="B906" s="20"/>
      <c r="C906" s="20"/>
      <c r="D906" s="20"/>
      <c r="E906" s="20"/>
      <c r="F906" s="20"/>
    </row>
    <row r="907" ht="14.25" customHeight="1">
      <c r="A907" s="20"/>
      <c r="B907" s="20"/>
      <c r="C907" s="20"/>
      <c r="D907" s="20"/>
      <c r="E907" s="20"/>
      <c r="F907" s="20"/>
    </row>
    <row r="908" ht="14.25" customHeight="1">
      <c r="A908" s="20"/>
      <c r="B908" s="20"/>
      <c r="C908" s="20"/>
      <c r="D908" s="20"/>
      <c r="E908" s="20"/>
      <c r="F908" s="20"/>
    </row>
    <row r="909" ht="14.25" customHeight="1">
      <c r="A909" s="20"/>
      <c r="B909" s="20"/>
      <c r="C909" s="20"/>
      <c r="D909" s="20"/>
      <c r="E909" s="20"/>
      <c r="F909" s="20"/>
    </row>
    <row r="910" ht="14.25" customHeight="1">
      <c r="A910" s="20"/>
      <c r="B910" s="20"/>
      <c r="C910" s="20"/>
      <c r="D910" s="20"/>
      <c r="E910" s="20"/>
      <c r="F910" s="20"/>
    </row>
    <row r="911" ht="14.25" customHeight="1">
      <c r="A911" s="20"/>
      <c r="B911" s="20"/>
      <c r="C911" s="20"/>
      <c r="D911" s="20"/>
      <c r="E911" s="20"/>
      <c r="F911" s="20"/>
    </row>
    <row r="912" ht="14.25" customHeight="1">
      <c r="A912" s="20"/>
      <c r="B912" s="20"/>
      <c r="C912" s="20"/>
      <c r="D912" s="20"/>
      <c r="E912" s="20"/>
      <c r="F912" s="20"/>
    </row>
    <row r="913" ht="14.25" customHeight="1">
      <c r="A913" s="20"/>
      <c r="B913" s="20"/>
      <c r="C913" s="20"/>
      <c r="D913" s="20"/>
      <c r="E913" s="20"/>
      <c r="F913" s="20"/>
    </row>
    <row r="914" ht="14.25" customHeight="1">
      <c r="A914" s="20"/>
      <c r="B914" s="20"/>
      <c r="C914" s="20"/>
      <c r="D914" s="20"/>
      <c r="E914" s="20"/>
      <c r="F914" s="20"/>
    </row>
    <row r="915" ht="14.25" customHeight="1">
      <c r="A915" s="20"/>
      <c r="B915" s="20"/>
      <c r="C915" s="20"/>
      <c r="D915" s="20"/>
      <c r="E915" s="20"/>
      <c r="F915" s="20"/>
    </row>
    <row r="916" ht="14.25" customHeight="1">
      <c r="A916" s="20"/>
      <c r="B916" s="20"/>
      <c r="C916" s="20"/>
      <c r="D916" s="20"/>
      <c r="E916" s="20"/>
      <c r="F916" s="20"/>
    </row>
    <row r="917" ht="14.25" customHeight="1">
      <c r="A917" s="20"/>
      <c r="B917" s="20"/>
      <c r="C917" s="20"/>
      <c r="D917" s="20"/>
      <c r="E917" s="20"/>
      <c r="F917" s="20"/>
    </row>
    <row r="918" ht="14.25" customHeight="1">
      <c r="A918" s="20"/>
      <c r="B918" s="20"/>
      <c r="C918" s="20"/>
      <c r="D918" s="20"/>
      <c r="E918" s="20"/>
      <c r="F918" s="20"/>
    </row>
    <row r="919" ht="14.25" customHeight="1">
      <c r="A919" s="20"/>
      <c r="B919" s="20"/>
      <c r="C919" s="20"/>
      <c r="D919" s="20"/>
      <c r="E919" s="20"/>
      <c r="F919" s="20"/>
    </row>
    <row r="920" ht="14.25" customHeight="1">
      <c r="A920" s="20"/>
      <c r="B920" s="20"/>
      <c r="C920" s="20"/>
      <c r="D920" s="20"/>
      <c r="E920" s="20"/>
      <c r="F920" s="20"/>
    </row>
    <row r="921" ht="14.25" customHeight="1">
      <c r="A921" s="20"/>
      <c r="B921" s="20"/>
      <c r="C921" s="20"/>
      <c r="D921" s="20"/>
      <c r="E921" s="20"/>
      <c r="F921" s="20"/>
    </row>
    <row r="922" ht="14.25" customHeight="1">
      <c r="A922" s="20"/>
      <c r="B922" s="20"/>
      <c r="C922" s="20"/>
      <c r="D922" s="20"/>
      <c r="E922" s="20"/>
      <c r="F922" s="20"/>
    </row>
    <row r="923" ht="14.25" customHeight="1">
      <c r="A923" s="20"/>
      <c r="B923" s="20"/>
      <c r="C923" s="20"/>
      <c r="D923" s="20"/>
      <c r="E923" s="20"/>
      <c r="F923" s="20"/>
    </row>
    <row r="924" ht="14.25" customHeight="1">
      <c r="A924" s="20"/>
      <c r="B924" s="20"/>
      <c r="C924" s="20"/>
      <c r="D924" s="20"/>
      <c r="E924" s="20"/>
      <c r="F924" s="20"/>
    </row>
    <row r="925" ht="14.25" customHeight="1">
      <c r="A925" s="20"/>
      <c r="B925" s="20"/>
      <c r="C925" s="20"/>
      <c r="D925" s="20"/>
      <c r="E925" s="20"/>
      <c r="F925" s="20"/>
    </row>
    <row r="926" ht="14.25" customHeight="1">
      <c r="A926" s="20"/>
      <c r="B926" s="20"/>
      <c r="C926" s="20"/>
      <c r="D926" s="20"/>
      <c r="E926" s="20"/>
      <c r="F926" s="20"/>
    </row>
    <row r="927" ht="14.25" customHeight="1">
      <c r="A927" s="20"/>
      <c r="B927" s="20"/>
      <c r="C927" s="20"/>
      <c r="D927" s="20"/>
      <c r="E927" s="20"/>
      <c r="F927" s="20"/>
    </row>
    <row r="928" ht="14.25" customHeight="1">
      <c r="A928" s="20"/>
      <c r="B928" s="20"/>
      <c r="C928" s="20"/>
      <c r="D928" s="20"/>
      <c r="E928" s="20"/>
      <c r="F928" s="20"/>
    </row>
    <row r="929" ht="14.25" customHeight="1">
      <c r="A929" s="20"/>
      <c r="B929" s="20"/>
      <c r="C929" s="20"/>
      <c r="D929" s="20"/>
      <c r="E929" s="20"/>
      <c r="F929" s="20"/>
    </row>
    <row r="930" ht="14.25" customHeight="1">
      <c r="A930" s="20"/>
      <c r="B930" s="20"/>
      <c r="C930" s="20"/>
      <c r="D930" s="20"/>
      <c r="E930" s="20"/>
      <c r="F930" s="20"/>
    </row>
    <row r="931" ht="14.25" customHeight="1">
      <c r="A931" s="20"/>
      <c r="B931" s="20"/>
      <c r="C931" s="20"/>
      <c r="D931" s="20"/>
      <c r="E931" s="20"/>
      <c r="F931" s="20"/>
    </row>
    <row r="932" ht="14.25" customHeight="1">
      <c r="A932" s="20"/>
      <c r="B932" s="20"/>
      <c r="C932" s="20"/>
      <c r="D932" s="20"/>
      <c r="E932" s="20"/>
      <c r="F932" s="20"/>
    </row>
    <row r="933" ht="14.25" customHeight="1">
      <c r="A933" s="20"/>
      <c r="B933" s="20"/>
      <c r="C933" s="20"/>
      <c r="D933" s="20"/>
      <c r="E933" s="20"/>
      <c r="F933" s="20"/>
    </row>
    <row r="934" ht="14.25" customHeight="1">
      <c r="A934" s="20"/>
      <c r="B934" s="20"/>
      <c r="C934" s="20"/>
      <c r="D934" s="20"/>
      <c r="E934" s="20"/>
      <c r="F934" s="20"/>
    </row>
    <row r="935" ht="14.25" customHeight="1">
      <c r="A935" s="20"/>
      <c r="B935" s="20"/>
      <c r="C935" s="20"/>
      <c r="D935" s="20"/>
      <c r="E935" s="20"/>
      <c r="F935" s="20"/>
    </row>
    <row r="936" ht="14.25" customHeight="1">
      <c r="A936" s="20"/>
      <c r="B936" s="20"/>
      <c r="C936" s="20"/>
      <c r="D936" s="20"/>
      <c r="E936" s="20"/>
      <c r="F936" s="20"/>
    </row>
    <row r="937" ht="14.25" customHeight="1">
      <c r="A937" s="20"/>
      <c r="B937" s="20"/>
      <c r="C937" s="20"/>
      <c r="D937" s="20"/>
      <c r="E937" s="20"/>
      <c r="F937" s="20"/>
    </row>
    <row r="938" ht="14.25" customHeight="1">
      <c r="A938" s="20"/>
      <c r="B938" s="20"/>
      <c r="C938" s="20"/>
      <c r="D938" s="20"/>
      <c r="E938" s="20"/>
      <c r="F938" s="20"/>
    </row>
    <row r="939" ht="14.25" customHeight="1">
      <c r="A939" s="20"/>
      <c r="B939" s="20"/>
      <c r="C939" s="20"/>
      <c r="D939" s="20"/>
      <c r="E939" s="20"/>
      <c r="F939" s="20"/>
    </row>
    <row r="940" ht="14.25" customHeight="1">
      <c r="A940" s="20"/>
      <c r="B940" s="20"/>
      <c r="C940" s="20"/>
      <c r="D940" s="20"/>
      <c r="E940" s="20"/>
      <c r="F940" s="20"/>
    </row>
    <row r="941" ht="14.25" customHeight="1">
      <c r="A941" s="20"/>
      <c r="B941" s="20"/>
      <c r="C941" s="20"/>
      <c r="D941" s="20"/>
      <c r="E941" s="20"/>
      <c r="F941" s="20"/>
    </row>
    <row r="942" ht="14.25" customHeight="1">
      <c r="A942" s="20"/>
      <c r="B942" s="20"/>
      <c r="C942" s="20"/>
      <c r="D942" s="20"/>
      <c r="E942" s="20"/>
      <c r="F942" s="20"/>
    </row>
    <row r="943" ht="14.25" customHeight="1">
      <c r="A943" s="20"/>
      <c r="B943" s="20"/>
      <c r="C943" s="20"/>
      <c r="D943" s="20"/>
      <c r="E943" s="20"/>
      <c r="F943" s="20"/>
    </row>
    <row r="944" ht="14.25" customHeight="1">
      <c r="A944" s="20"/>
      <c r="B944" s="20"/>
      <c r="C944" s="20"/>
      <c r="D944" s="20"/>
      <c r="E944" s="20"/>
      <c r="F944" s="20"/>
    </row>
    <row r="945" ht="14.25" customHeight="1">
      <c r="A945" s="20"/>
      <c r="B945" s="20"/>
      <c r="C945" s="20"/>
      <c r="D945" s="20"/>
      <c r="E945" s="20"/>
      <c r="F945" s="20"/>
    </row>
    <row r="946" ht="14.25" customHeight="1">
      <c r="A946" s="20"/>
      <c r="B946" s="20"/>
      <c r="C946" s="20"/>
      <c r="D946" s="20"/>
      <c r="E946" s="20"/>
      <c r="F946" s="20"/>
    </row>
    <row r="947" ht="14.25" customHeight="1">
      <c r="A947" s="20"/>
      <c r="B947" s="20"/>
      <c r="C947" s="20"/>
      <c r="D947" s="20"/>
      <c r="E947" s="20"/>
      <c r="F947" s="20"/>
    </row>
    <row r="948" ht="14.25" customHeight="1">
      <c r="A948" s="20"/>
      <c r="B948" s="20"/>
      <c r="C948" s="20"/>
      <c r="D948" s="20"/>
      <c r="E948" s="20"/>
      <c r="F948" s="20"/>
    </row>
    <row r="949" ht="14.25" customHeight="1">
      <c r="A949" s="20"/>
      <c r="B949" s="20"/>
      <c r="C949" s="20"/>
      <c r="D949" s="20"/>
      <c r="E949" s="20"/>
      <c r="F949" s="20"/>
    </row>
    <row r="950" ht="14.25" customHeight="1">
      <c r="A950" s="20"/>
      <c r="B950" s="20"/>
      <c r="C950" s="20"/>
      <c r="D950" s="20"/>
      <c r="E950" s="20"/>
      <c r="F950" s="20"/>
    </row>
    <row r="951" ht="14.25" customHeight="1">
      <c r="A951" s="20"/>
      <c r="B951" s="20"/>
      <c r="C951" s="20"/>
      <c r="D951" s="20"/>
      <c r="E951" s="20"/>
      <c r="F951" s="20"/>
    </row>
    <row r="952" ht="14.25" customHeight="1">
      <c r="A952" s="20"/>
      <c r="B952" s="20"/>
      <c r="C952" s="20"/>
      <c r="D952" s="20"/>
      <c r="E952" s="20"/>
      <c r="F952" s="20"/>
    </row>
    <row r="953" ht="14.25" customHeight="1">
      <c r="A953" s="20"/>
      <c r="B953" s="20"/>
      <c r="C953" s="20"/>
      <c r="D953" s="20"/>
      <c r="E953" s="20"/>
      <c r="F953" s="20"/>
    </row>
    <row r="954" ht="14.25" customHeight="1">
      <c r="A954" s="20"/>
      <c r="B954" s="20"/>
      <c r="C954" s="20"/>
      <c r="D954" s="20"/>
      <c r="E954" s="20"/>
      <c r="F954" s="20"/>
    </row>
    <row r="955" ht="14.25" customHeight="1">
      <c r="A955" s="20"/>
      <c r="B955" s="20"/>
      <c r="C955" s="20"/>
      <c r="D955" s="20"/>
      <c r="E955" s="20"/>
      <c r="F955" s="20"/>
    </row>
    <row r="956" ht="14.25" customHeight="1">
      <c r="A956" s="20"/>
      <c r="B956" s="20"/>
      <c r="C956" s="20"/>
      <c r="D956" s="20"/>
      <c r="E956" s="20"/>
      <c r="F956" s="20"/>
    </row>
    <row r="957" ht="14.25" customHeight="1">
      <c r="A957" s="20"/>
      <c r="B957" s="20"/>
      <c r="C957" s="20"/>
      <c r="D957" s="20"/>
      <c r="E957" s="20"/>
      <c r="F957" s="20"/>
    </row>
    <row r="958" ht="14.25" customHeight="1">
      <c r="A958" s="20"/>
      <c r="B958" s="20"/>
      <c r="C958" s="20"/>
      <c r="D958" s="20"/>
      <c r="E958" s="20"/>
      <c r="F958" s="20"/>
    </row>
    <row r="959" ht="14.25" customHeight="1">
      <c r="A959" s="20"/>
      <c r="B959" s="20"/>
      <c r="C959" s="20"/>
      <c r="D959" s="20"/>
      <c r="E959" s="20"/>
      <c r="F959" s="20"/>
    </row>
    <row r="960" ht="14.25" customHeight="1">
      <c r="A960" s="20"/>
      <c r="B960" s="20"/>
      <c r="C960" s="20"/>
      <c r="D960" s="20"/>
      <c r="E960" s="20"/>
      <c r="F960" s="20"/>
    </row>
    <row r="961" ht="14.25" customHeight="1">
      <c r="A961" s="20"/>
      <c r="B961" s="20"/>
      <c r="C961" s="20"/>
      <c r="D961" s="20"/>
      <c r="E961" s="20"/>
      <c r="F961" s="20"/>
    </row>
    <row r="962" ht="14.25" customHeight="1">
      <c r="A962" s="20"/>
      <c r="B962" s="20"/>
      <c r="C962" s="20"/>
      <c r="D962" s="20"/>
      <c r="E962" s="20"/>
      <c r="F962" s="20"/>
    </row>
    <row r="963" ht="14.25" customHeight="1">
      <c r="A963" s="20"/>
      <c r="B963" s="20"/>
      <c r="C963" s="20"/>
      <c r="D963" s="20"/>
      <c r="E963" s="20"/>
      <c r="F963" s="20"/>
    </row>
    <row r="964" ht="14.25" customHeight="1">
      <c r="A964" s="20"/>
      <c r="B964" s="20"/>
      <c r="C964" s="20"/>
      <c r="D964" s="20"/>
      <c r="E964" s="20"/>
      <c r="F964" s="20"/>
    </row>
    <row r="965" ht="14.25" customHeight="1">
      <c r="A965" s="20"/>
      <c r="B965" s="20"/>
      <c r="C965" s="20"/>
      <c r="D965" s="20"/>
      <c r="E965" s="20"/>
      <c r="F965" s="20"/>
    </row>
    <row r="966" ht="14.25" customHeight="1">
      <c r="A966" s="20"/>
      <c r="B966" s="20"/>
      <c r="C966" s="20"/>
      <c r="D966" s="20"/>
      <c r="E966" s="20"/>
      <c r="F966" s="20"/>
    </row>
    <row r="967" ht="14.25" customHeight="1">
      <c r="A967" s="20"/>
      <c r="B967" s="20"/>
      <c r="C967" s="20"/>
      <c r="D967" s="20"/>
      <c r="E967" s="20"/>
      <c r="F967" s="20"/>
    </row>
    <row r="968" ht="14.25" customHeight="1">
      <c r="A968" s="20"/>
      <c r="B968" s="20"/>
      <c r="C968" s="20"/>
      <c r="D968" s="20"/>
      <c r="E968" s="20"/>
      <c r="F968" s="20"/>
    </row>
    <row r="969" ht="14.25" customHeight="1">
      <c r="A969" s="20"/>
      <c r="B969" s="20"/>
      <c r="C969" s="20"/>
      <c r="D969" s="20"/>
      <c r="E969" s="20"/>
      <c r="F969" s="20"/>
    </row>
    <row r="970" ht="14.25" customHeight="1">
      <c r="A970" s="20"/>
      <c r="B970" s="20"/>
      <c r="C970" s="20"/>
      <c r="D970" s="20"/>
      <c r="E970" s="20"/>
      <c r="F970" s="20"/>
    </row>
    <row r="971" ht="14.25" customHeight="1">
      <c r="A971" s="20"/>
      <c r="B971" s="20"/>
      <c r="C971" s="20"/>
      <c r="D971" s="20"/>
      <c r="E971" s="20"/>
      <c r="F971" s="20"/>
    </row>
    <row r="972" ht="14.25" customHeight="1">
      <c r="A972" s="20"/>
      <c r="B972" s="20"/>
      <c r="C972" s="20"/>
      <c r="D972" s="20"/>
      <c r="E972" s="20"/>
      <c r="F972" s="20"/>
    </row>
    <row r="973" ht="14.25" customHeight="1">
      <c r="A973" s="20"/>
      <c r="B973" s="20"/>
      <c r="C973" s="20"/>
      <c r="D973" s="20"/>
      <c r="E973" s="20"/>
      <c r="F973" s="20"/>
    </row>
    <row r="974" ht="14.25" customHeight="1">
      <c r="A974" s="20"/>
      <c r="B974" s="20"/>
      <c r="C974" s="20"/>
      <c r="D974" s="20"/>
      <c r="E974" s="20"/>
      <c r="F974" s="20"/>
    </row>
    <row r="975" ht="14.25" customHeight="1">
      <c r="A975" s="20"/>
      <c r="B975" s="20"/>
      <c r="C975" s="20"/>
      <c r="D975" s="20"/>
      <c r="E975" s="20"/>
      <c r="F975" s="20"/>
    </row>
    <row r="976" ht="14.25" customHeight="1">
      <c r="A976" s="20"/>
      <c r="B976" s="20"/>
      <c r="C976" s="20"/>
      <c r="D976" s="20"/>
      <c r="E976" s="20"/>
      <c r="F976" s="20"/>
    </row>
    <row r="977" ht="14.25" customHeight="1">
      <c r="A977" s="20"/>
      <c r="B977" s="20"/>
      <c r="C977" s="20"/>
      <c r="D977" s="20"/>
      <c r="E977" s="20"/>
      <c r="F977" s="20"/>
    </row>
    <row r="978" ht="14.25" customHeight="1">
      <c r="A978" s="20"/>
      <c r="B978" s="20"/>
      <c r="C978" s="20"/>
      <c r="D978" s="20"/>
      <c r="E978" s="20"/>
      <c r="F978" s="20"/>
    </row>
    <row r="979" ht="14.25" customHeight="1">
      <c r="A979" s="20"/>
      <c r="B979" s="20"/>
      <c r="C979" s="20"/>
      <c r="D979" s="20"/>
      <c r="E979" s="20"/>
      <c r="F979" s="20"/>
    </row>
    <row r="980" ht="14.25" customHeight="1">
      <c r="A980" s="20"/>
      <c r="B980" s="20"/>
      <c r="C980" s="20"/>
      <c r="D980" s="20"/>
      <c r="E980" s="20"/>
      <c r="F980" s="20"/>
    </row>
    <row r="981" ht="14.25" customHeight="1">
      <c r="A981" s="20"/>
      <c r="B981" s="20"/>
      <c r="C981" s="20"/>
      <c r="D981" s="20"/>
      <c r="E981" s="20"/>
      <c r="F981" s="20"/>
    </row>
    <row r="982" ht="14.25" customHeight="1">
      <c r="A982" s="20"/>
      <c r="B982" s="20"/>
      <c r="C982" s="20"/>
      <c r="D982" s="20"/>
      <c r="E982" s="20"/>
      <c r="F982" s="20"/>
    </row>
    <row r="983" ht="14.25" customHeight="1">
      <c r="A983" s="20"/>
      <c r="B983" s="20"/>
      <c r="C983" s="20"/>
      <c r="D983" s="20"/>
      <c r="E983" s="20"/>
      <c r="F983" s="20"/>
    </row>
    <row r="984" ht="14.25" customHeight="1">
      <c r="A984" s="20"/>
      <c r="B984" s="20"/>
      <c r="C984" s="20"/>
      <c r="D984" s="20"/>
      <c r="E984" s="20"/>
      <c r="F984" s="20"/>
    </row>
    <row r="985" ht="14.25" customHeight="1">
      <c r="A985" s="20"/>
      <c r="B985" s="20"/>
      <c r="C985" s="20"/>
      <c r="D985" s="20"/>
      <c r="E985" s="20"/>
      <c r="F985" s="20"/>
    </row>
    <row r="986" ht="14.25" customHeight="1">
      <c r="A986" s="20"/>
      <c r="B986" s="20"/>
      <c r="C986" s="20"/>
      <c r="D986" s="20"/>
      <c r="E986" s="20"/>
      <c r="F986" s="20"/>
    </row>
    <row r="987" ht="14.25" customHeight="1">
      <c r="A987" s="20"/>
      <c r="B987" s="20"/>
      <c r="C987" s="20"/>
      <c r="D987" s="20"/>
      <c r="E987" s="20"/>
      <c r="F987" s="20"/>
    </row>
    <row r="988" ht="14.25" customHeight="1">
      <c r="A988" s="20"/>
      <c r="B988" s="20"/>
      <c r="C988" s="20"/>
      <c r="D988" s="20"/>
      <c r="E988" s="20"/>
      <c r="F988" s="20"/>
    </row>
    <row r="989" ht="14.25" customHeight="1">
      <c r="A989" s="20"/>
      <c r="B989" s="20"/>
      <c r="C989" s="20"/>
      <c r="D989" s="20"/>
      <c r="E989" s="20"/>
      <c r="F989" s="20"/>
    </row>
    <row r="990" ht="14.25" customHeight="1">
      <c r="A990" s="20"/>
      <c r="B990" s="20"/>
      <c r="C990" s="20"/>
      <c r="D990" s="20"/>
      <c r="E990" s="20"/>
      <c r="F990" s="20"/>
    </row>
    <row r="991" ht="14.25" customHeight="1">
      <c r="A991" s="20"/>
      <c r="B991" s="20"/>
      <c r="C991" s="20"/>
      <c r="D991" s="20"/>
      <c r="E991" s="20"/>
      <c r="F991" s="20"/>
    </row>
    <row r="992" ht="14.25" customHeight="1">
      <c r="A992" s="20"/>
      <c r="B992" s="20"/>
      <c r="C992" s="20"/>
      <c r="D992" s="20"/>
      <c r="E992" s="20"/>
      <c r="F992" s="20"/>
    </row>
    <row r="993" ht="14.25" customHeight="1">
      <c r="A993" s="20"/>
      <c r="B993" s="20"/>
      <c r="C993" s="20"/>
      <c r="D993" s="20"/>
      <c r="E993" s="20"/>
      <c r="F993" s="20"/>
    </row>
    <row r="994" ht="14.25" customHeight="1">
      <c r="A994" s="20"/>
      <c r="B994" s="20"/>
      <c r="C994" s="20"/>
      <c r="D994" s="20"/>
      <c r="E994" s="20"/>
      <c r="F994" s="20"/>
    </row>
    <row r="995" ht="14.25" customHeight="1">
      <c r="A995" s="20"/>
      <c r="B995" s="20"/>
      <c r="C995" s="20"/>
      <c r="D995" s="20"/>
      <c r="E995" s="20"/>
      <c r="F995" s="20"/>
    </row>
    <row r="996" ht="14.25" customHeight="1">
      <c r="A996" s="20"/>
      <c r="B996" s="20"/>
      <c r="C996" s="20"/>
      <c r="D996" s="20"/>
      <c r="E996" s="20"/>
      <c r="F996" s="20"/>
    </row>
    <row r="997" ht="14.25" customHeight="1">
      <c r="A997" s="20"/>
      <c r="B997" s="20"/>
      <c r="C997" s="20"/>
      <c r="D997" s="20"/>
      <c r="E997" s="20"/>
      <c r="F997" s="20"/>
    </row>
    <row r="998" ht="14.25" customHeight="1">
      <c r="A998" s="20"/>
      <c r="B998" s="20"/>
      <c r="C998" s="20"/>
      <c r="D998" s="20"/>
      <c r="E998" s="20"/>
      <c r="F998" s="20"/>
    </row>
    <row r="999" ht="14.25" customHeight="1">
      <c r="A999" s="20"/>
      <c r="B999" s="20"/>
      <c r="C999" s="20"/>
      <c r="D999" s="20"/>
      <c r="E999" s="20"/>
      <c r="F999" s="20"/>
    </row>
    <row r="1000" ht="14.25" customHeight="1">
      <c r="A1000" s="20"/>
      <c r="B1000" s="20"/>
      <c r="C1000" s="20"/>
      <c r="D1000" s="20"/>
      <c r="E1000" s="20"/>
      <c r="F1000" s="20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7EE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18" width="7.43"/>
    <col customWidth="1" min="19" max="26" width="8.57"/>
  </cols>
  <sheetData>
    <row r="1" ht="33.75" customHeight="1">
      <c r="A1" s="50" t="s">
        <v>232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18.0" customHeight="1">
      <c r="A2" s="59" t="s">
        <v>233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ht="30.0" customHeight="1">
      <c r="A3" s="78" t="s">
        <v>234</v>
      </c>
      <c r="B3" s="79" t="s">
        <v>35</v>
      </c>
      <c r="C3" s="79" t="s">
        <v>65</v>
      </c>
      <c r="D3" s="79" t="s">
        <v>48</v>
      </c>
      <c r="E3" s="79" t="s">
        <v>71</v>
      </c>
      <c r="F3" s="79" t="s">
        <v>43</v>
      </c>
      <c r="G3" s="79" t="s">
        <v>89</v>
      </c>
      <c r="H3" s="79" t="s">
        <v>57</v>
      </c>
      <c r="I3" s="79" t="s">
        <v>61</v>
      </c>
      <c r="J3" s="79" t="s">
        <v>37</v>
      </c>
      <c r="K3" s="79" t="s">
        <v>75</v>
      </c>
      <c r="L3" s="79" t="s">
        <v>105</v>
      </c>
      <c r="M3" s="79" t="s">
        <v>79</v>
      </c>
      <c r="N3" s="79" t="s">
        <v>139</v>
      </c>
      <c r="O3" s="79" t="s">
        <v>125</v>
      </c>
      <c r="P3" s="79" t="s">
        <v>129</v>
      </c>
      <c r="Q3" s="79" t="s">
        <v>53</v>
      </c>
      <c r="R3" s="79" t="s">
        <v>135</v>
      </c>
    </row>
    <row r="4" ht="19.5" customHeight="1">
      <c r="A4" s="79" t="s">
        <v>35</v>
      </c>
      <c r="B4" s="80" t="s">
        <v>235</v>
      </c>
      <c r="C4" s="81"/>
      <c r="D4" s="82" t="s">
        <v>236</v>
      </c>
      <c r="E4" s="81"/>
      <c r="F4" s="82" t="s">
        <v>237</v>
      </c>
      <c r="G4" s="81"/>
      <c r="H4" s="83" t="s">
        <v>238</v>
      </c>
      <c r="I4" s="83" t="s">
        <v>238</v>
      </c>
      <c r="J4" s="83" t="s">
        <v>239</v>
      </c>
      <c r="K4" s="81"/>
      <c r="L4" s="81"/>
      <c r="M4" s="81"/>
      <c r="N4" s="81"/>
      <c r="O4" s="81"/>
      <c r="P4" s="81"/>
      <c r="Q4" s="82" t="s">
        <v>240</v>
      </c>
      <c r="R4" s="81"/>
    </row>
    <row r="5" ht="19.5" customHeight="1">
      <c r="A5" s="79" t="s">
        <v>65</v>
      </c>
      <c r="B5" s="82" t="s">
        <v>237</v>
      </c>
      <c r="C5" s="80" t="s">
        <v>235</v>
      </c>
      <c r="D5" s="83" t="s">
        <v>241</v>
      </c>
      <c r="E5" s="83" t="s">
        <v>241</v>
      </c>
      <c r="F5" s="81"/>
      <c r="G5" s="81"/>
      <c r="H5" s="81"/>
      <c r="I5" s="81"/>
      <c r="J5" s="81"/>
      <c r="K5" s="82" t="s">
        <v>236</v>
      </c>
      <c r="L5" s="81"/>
      <c r="M5" s="81"/>
      <c r="N5" s="81"/>
      <c r="O5" s="81"/>
      <c r="P5" s="81"/>
      <c r="Q5" s="81"/>
      <c r="R5" s="81"/>
    </row>
    <row r="6" ht="19.5" customHeight="1">
      <c r="A6" s="79" t="s">
        <v>48</v>
      </c>
      <c r="B6" s="81"/>
      <c r="C6" s="81"/>
      <c r="D6" s="80" t="s">
        <v>235</v>
      </c>
      <c r="E6" s="81"/>
      <c r="F6" s="83" t="s">
        <v>238</v>
      </c>
      <c r="G6" s="81"/>
      <c r="H6" s="81"/>
      <c r="I6" s="81"/>
      <c r="J6" s="81"/>
      <c r="K6" s="81"/>
      <c r="L6" s="81"/>
      <c r="M6" s="83" t="s">
        <v>238</v>
      </c>
      <c r="N6" s="81"/>
      <c r="O6" s="81"/>
      <c r="P6" s="81"/>
      <c r="Q6" s="81"/>
      <c r="R6" s="81"/>
    </row>
    <row r="7" ht="19.5" customHeight="1">
      <c r="A7" s="79" t="s">
        <v>71</v>
      </c>
      <c r="B7" s="82" t="s">
        <v>237</v>
      </c>
      <c r="C7" s="81"/>
      <c r="D7" s="81"/>
      <c r="E7" s="80" t="s">
        <v>235</v>
      </c>
      <c r="F7" s="81"/>
      <c r="G7" s="83" t="s">
        <v>241</v>
      </c>
      <c r="H7" s="83" t="s">
        <v>241</v>
      </c>
      <c r="I7" s="83" t="s">
        <v>241</v>
      </c>
      <c r="J7" s="81"/>
      <c r="K7" s="81"/>
      <c r="L7" s="81"/>
      <c r="M7" s="81"/>
      <c r="N7" s="81"/>
      <c r="O7" s="81"/>
      <c r="P7" s="81"/>
      <c r="Q7" s="82" t="s">
        <v>240</v>
      </c>
      <c r="R7" s="81"/>
    </row>
    <row r="8" ht="19.5" customHeight="1">
      <c r="A8" s="79" t="s">
        <v>43</v>
      </c>
      <c r="B8" s="83" t="s">
        <v>238</v>
      </c>
      <c r="C8" s="81"/>
      <c r="D8" s="83" t="s">
        <v>241</v>
      </c>
      <c r="E8" s="81"/>
      <c r="F8" s="80" t="s">
        <v>235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ht="19.5" customHeight="1">
      <c r="A9" s="79" t="s">
        <v>89</v>
      </c>
      <c r="B9" s="81"/>
      <c r="C9" s="81"/>
      <c r="D9" s="81"/>
      <c r="E9" s="81"/>
      <c r="F9" s="81"/>
      <c r="G9" s="80" t="s">
        <v>235</v>
      </c>
      <c r="H9" s="82" t="s">
        <v>237</v>
      </c>
      <c r="I9" s="82" t="s">
        <v>237</v>
      </c>
      <c r="J9" s="81"/>
      <c r="K9" s="81"/>
      <c r="L9" s="83" t="s">
        <v>238</v>
      </c>
      <c r="M9" s="81"/>
      <c r="N9" s="81"/>
      <c r="O9" s="81"/>
      <c r="P9" s="81"/>
      <c r="Q9" s="81"/>
      <c r="R9" s="81"/>
    </row>
    <row r="10" ht="19.5" customHeight="1">
      <c r="A10" s="79" t="s">
        <v>57</v>
      </c>
      <c r="B10" s="81"/>
      <c r="C10" s="81"/>
      <c r="D10" s="81"/>
      <c r="E10" s="81"/>
      <c r="F10" s="81"/>
      <c r="G10" s="81"/>
      <c r="H10" s="80" t="s">
        <v>235</v>
      </c>
      <c r="I10" s="82" t="s">
        <v>236</v>
      </c>
      <c r="J10" s="81"/>
      <c r="K10" s="81"/>
      <c r="L10" s="82" t="s">
        <v>236</v>
      </c>
      <c r="M10" s="81"/>
      <c r="N10" s="81"/>
      <c r="O10" s="81"/>
      <c r="P10" s="81"/>
      <c r="Q10" s="81"/>
      <c r="R10" s="81"/>
    </row>
    <row r="11" ht="19.5" customHeight="1">
      <c r="A11" s="79" t="s">
        <v>61</v>
      </c>
      <c r="B11" s="81"/>
      <c r="C11" s="81"/>
      <c r="D11" s="81"/>
      <c r="E11" s="81"/>
      <c r="F11" s="81"/>
      <c r="G11" s="81"/>
      <c r="H11" s="82" t="s">
        <v>236</v>
      </c>
      <c r="I11" s="80" t="s">
        <v>235</v>
      </c>
      <c r="J11" s="81"/>
      <c r="K11" s="81"/>
      <c r="L11" s="82" t="s">
        <v>236</v>
      </c>
      <c r="M11" s="81"/>
      <c r="N11" s="81"/>
      <c r="O11" s="81"/>
      <c r="P11" s="81"/>
      <c r="Q11" s="81"/>
      <c r="R11" s="81"/>
    </row>
    <row r="12" ht="19.5" customHeight="1">
      <c r="A12" s="79" t="s">
        <v>37</v>
      </c>
      <c r="B12" s="82" t="s">
        <v>237</v>
      </c>
      <c r="C12" s="81"/>
      <c r="D12" s="81"/>
      <c r="E12" s="81"/>
      <c r="F12" s="81"/>
      <c r="G12" s="83" t="s">
        <v>241</v>
      </c>
      <c r="H12" s="83" t="s">
        <v>241</v>
      </c>
      <c r="I12" s="83" t="s">
        <v>241</v>
      </c>
      <c r="J12" s="80" t="s">
        <v>235</v>
      </c>
      <c r="K12" s="81"/>
      <c r="L12" s="81"/>
      <c r="M12" s="81"/>
      <c r="N12" s="81"/>
      <c r="O12" s="83" t="s">
        <v>241</v>
      </c>
      <c r="P12" s="82" t="s">
        <v>237</v>
      </c>
      <c r="Q12" s="83" t="s">
        <v>241</v>
      </c>
      <c r="R12" s="81"/>
    </row>
    <row r="13" ht="19.5" customHeight="1">
      <c r="A13" s="79" t="s">
        <v>75</v>
      </c>
      <c r="B13" s="81"/>
      <c r="C13" s="82" t="s">
        <v>236</v>
      </c>
      <c r="D13" s="81"/>
      <c r="E13" s="81"/>
      <c r="F13" s="81"/>
      <c r="G13" s="81"/>
      <c r="H13" s="81"/>
      <c r="I13" s="81"/>
      <c r="J13" s="81"/>
      <c r="K13" s="80" t="s">
        <v>235</v>
      </c>
      <c r="L13" s="81"/>
      <c r="M13" s="83" t="s">
        <v>241</v>
      </c>
      <c r="N13" s="83" t="s">
        <v>241</v>
      </c>
      <c r="O13" s="81"/>
      <c r="P13" s="81"/>
      <c r="Q13" s="81"/>
      <c r="R13" s="82" t="s">
        <v>237</v>
      </c>
    </row>
    <row r="14" ht="19.5" customHeight="1">
      <c r="A14" s="79" t="s">
        <v>105</v>
      </c>
      <c r="B14" s="81"/>
      <c r="C14" s="81"/>
      <c r="D14" s="81"/>
      <c r="E14" s="81"/>
      <c r="F14" s="81"/>
      <c r="G14" s="83" t="s">
        <v>238</v>
      </c>
      <c r="H14" s="81"/>
      <c r="I14" s="81"/>
      <c r="J14" s="81"/>
      <c r="K14" s="81"/>
      <c r="L14" s="80" t="s">
        <v>235</v>
      </c>
      <c r="M14" s="81"/>
      <c r="N14" s="81"/>
      <c r="O14" s="81"/>
      <c r="P14" s="81"/>
      <c r="Q14" s="81"/>
      <c r="R14" s="81"/>
    </row>
    <row r="15" ht="19.5" customHeight="1">
      <c r="A15" s="79" t="s">
        <v>79</v>
      </c>
      <c r="B15" s="81"/>
      <c r="C15" s="81"/>
      <c r="D15" s="82" t="s">
        <v>237</v>
      </c>
      <c r="E15" s="81"/>
      <c r="F15" s="81"/>
      <c r="G15" s="81"/>
      <c r="H15" s="81"/>
      <c r="I15" s="81"/>
      <c r="J15" s="81"/>
      <c r="K15" s="81"/>
      <c r="L15" s="81"/>
      <c r="M15" s="80" t="s">
        <v>235</v>
      </c>
      <c r="N15" s="82" t="s">
        <v>236</v>
      </c>
      <c r="O15" s="81"/>
      <c r="P15" s="81"/>
      <c r="Q15" s="81"/>
      <c r="R15" s="81"/>
    </row>
    <row r="16" ht="19.5" customHeight="1">
      <c r="A16" s="79" t="s">
        <v>139</v>
      </c>
      <c r="B16" s="81"/>
      <c r="C16" s="81"/>
      <c r="D16" s="83" t="s">
        <v>241</v>
      </c>
      <c r="E16" s="81"/>
      <c r="F16" s="81"/>
      <c r="G16" s="81"/>
      <c r="H16" s="81"/>
      <c r="I16" s="81"/>
      <c r="J16" s="81"/>
      <c r="K16" s="81"/>
      <c r="L16" s="81"/>
      <c r="M16" s="81"/>
      <c r="N16" s="80" t="s">
        <v>235</v>
      </c>
      <c r="O16" s="81"/>
      <c r="P16" s="81"/>
      <c r="Q16" s="81"/>
      <c r="R16" s="82" t="s">
        <v>236</v>
      </c>
    </row>
    <row r="17" ht="19.5" customHeight="1">
      <c r="A17" s="79" t="s">
        <v>125</v>
      </c>
      <c r="B17" s="81"/>
      <c r="C17" s="83" t="s">
        <v>241</v>
      </c>
      <c r="D17" s="83" t="s">
        <v>241</v>
      </c>
      <c r="E17" s="81"/>
      <c r="F17" s="81"/>
      <c r="G17" s="81"/>
      <c r="H17" s="81"/>
      <c r="I17" s="81"/>
      <c r="J17" s="81"/>
      <c r="K17" s="81"/>
      <c r="L17" s="83" t="s">
        <v>241</v>
      </c>
      <c r="M17" s="81"/>
      <c r="N17" s="81"/>
      <c r="O17" s="80" t="s">
        <v>235</v>
      </c>
      <c r="P17" s="82" t="s">
        <v>237</v>
      </c>
      <c r="Q17" s="82" t="s">
        <v>237</v>
      </c>
      <c r="R17" s="81"/>
    </row>
    <row r="18" ht="19.5" customHeight="1">
      <c r="A18" s="79" t="s">
        <v>129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0" t="s">
        <v>235</v>
      </c>
      <c r="Q18" s="82" t="s">
        <v>237</v>
      </c>
      <c r="R18" s="81"/>
    </row>
    <row r="19" ht="19.5" customHeight="1">
      <c r="A19" s="79" t="s">
        <v>53</v>
      </c>
      <c r="B19" s="82" t="s">
        <v>237</v>
      </c>
      <c r="C19" s="81"/>
      <c r="D19" s="81"/>
      <c r="E19" s="82" t="s">
        <v>237</v>
      </c>
      <c r="F19" s="81"/>
      <c r="G19" s="82" t="s">
        <v>237</v>
      </c>
      <c r="H19" s="83" t="s">
        <v>241</v>
      </c>
      <c r="I19" s="83" t="s">
        <v>241</v>
      </c>
      <c r="J19" s="81"/>
      <c r="K19" s="81"/>
      <c r="L19" s="81"/>
      <c r="M19" s="81"/>
      <c r="N19" s="81"/>
      <c r="O19" s="81"/>
      <c r="P19" s="81"/>
      <c r="Q19" s="80" t="s">
        <v>235</v>
      </c>
      <c r="R19" s="82" t="s">
        <v>237</v>
      </c>
    </row>
    <row r="20" ht="19.5" customHeight="1">
      <c r="A20" s="79" t="s">
        <v>135</v>
      </c>
      <c r="B20" s="81"/>
      <c r="C20" s="83" t="s">
        <v>241</v>
      </c>
      <c r="D20" s="81"/>
      <c r="E20" s="81"/>
      <c r="F20" s="81"/>
      <c r="G20" s="81"/>
      <c r="H20" s="81"/>
      <c r="I20" s="81"/>
      <c r="J20" s="83" t="s">
        <v>241</v>
      </c>
      <c r="K20" s="83" t="s">
        <v>238</v>
      </c>
      <c r="L20" s="81"/>
      <c r="M20" s="81"/>
      <c r="N20" s="82" t="s">
        <v>237</v>
      </c>
      <c r="O20" s="81"/>
      <c r="P20" s="81"/>
      <c r="Q20" s="81"/>
      <c r="R20" s="80" t="s">
        <v>235</v>
      </c>
    </row>
    <row r="21" ht="15.0" customHeight="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</row>
    <row r="22" ht="19.5" customHeight="1">
      <c r="A22" s="85" t="s">
        <v>242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6"/>
    </row>
    <row r="23" ht="21.7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</row>
    <row r="24" ht="18.0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</row>
    <row r="25" ht="18.0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</row>
    <row r="26" ht="18.0" customHeight="1">
      <c r="A26" s="87" t="s">
        <v>48</v>
      </c>
      <c r="B26" s="88" t="s">
        <v>243</v>
      </c>
      <c r="C26" s="20"/>
      <c r="D26" s="20"/>
      <c r="E26" s="87" t="s">
        <v>79</v>
      </c>
      <c r="F26" s="88" t="s">
        <v>244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18.0" customHeight="1">
      <c r="A27" s="87" t="s">
        <v>71</v>
      </c>
      <c r="B27" s="88" t="s">
        <v>245</v>
      </c>
      <c r="C27" s="20"/>
      <c r="D27" s="20"/>
      <c r="E27" s="87" t="s">
        <v>139</v>
      </c>
      <c r="F27" s="88" t="s">
        <v>246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ht="18.0" customHeight="1">
      <c r="A28" s="87" t="s">
        <v>43</v>
      </c>
      <c r="B28" s="88" t="s">
        <v>247</v>
      </c>
      <c r="C28" s="20"/>
      <c r="D28" s="20"/>
      <c r="E28" s="87" t="s">
        <v>125</v>
      </c>
      <c r="F28" s="88" t="s">
        <v>248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ht="18.0" customHeight="1">
      <c r="A29" s="87" t="s">
        <v>89</v>
      </c>
      <c r="B29" s="88" t="s">
        <v>249</v>
      </c>
      <c r="C29" s="20"/>
      <c r="D29" s="20"/>
      <c r="E29" s="87" t="s">
        <v>129</v>
      </c>
      <c r="F29" s="88" t="s">
        <v>250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ht="18.0" customHeight="1">
      <c r="A30" s="87" t="s">
        <v>57</v>
      </c>
      <c r="B30" s="88" t="s">
        <v>251</v>
      </c>
      <c r="C30" s="20"/>
      <c r="D30" s="20"/>
      <c r="E30" s="87" t="s">
        <v>53</v>
      </c>
      <c r="F30" s="88" t="s">
        <v>252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ht="18.0" customHeight="1">
      <c r="A31" s="87" t="s">
        <v>61</v>
      </c>
      <c r="B31" s="88" t="s">
        <v>253</v>
      </c>
      <c r="C31" s="20"/>
      <c r="D31" s="20"/>
      <c r="E31" s="87" t="s">
        <v>135</v>
      </c>
      <c r="F31" s="88" t="s">
        <v>254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ht="18.0" customHeight="1">
      <c r="A32" s="87" t="s">
        <v>37</v>
      </c>
      <c r="B32" s="88" t="s">
        <v>255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</row>
  </sheetData>
  <mergeCells count="1">
    <mergeCell ref="A22:R2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0"/>
    <col customWidth="1" min="3" max="3" width="12.0"/>
    <col customWidth="1" min="4" max="4" width="14.0"/>
    <col customWidth="1" min="5" max="6" width="18.0"/>
    <col customWidth="1" min="7" max="26" width="8.57"/>
  </cols>
  <sheetData>
    <row r="1" ht="25.5" customHeight="1">
      <c r="A1" s="32" t="s">
        <v>224</v>
      </c>
      <c r="B1" s="32" t="s">
        <v>201</v>
      </c>
      <c r="C1" s="32" t="s">
        <v>203</v>
      </c>
      <c r="D1" s="32" t="s">
        <v>225</v>
      </c>
      <c r="E1" s="32" t="s">
        <v>226</v>
      </c>
      <c r="F1" s="32" t="s">
        <v>227</v>
      </c>
    </row>
    <row r="2" ht="19.5" customHeight="1">
      <c r="A2" s="89" t="str">
        <f>'Nodos y Métricas'!A4</f>
        <v>M1-P1</v>
      </c>
      <c r="B2" s="73" t="str">
        <f>'Nodos y Métricas'!B4</f>
        <v>Travesías del Conocimiento</v>
      </c>
      <c r="C2" s="74" t="str">
        <f>'Nodos y Métricas'!C4</f>
        <v>M1</v>
      </c>
      <c r="D2" s="74">
        <f>'Nodos y Métricas'!H4</f>
        <v>47</v>
      </c>
      <c r="E2" s="74" t="str">
        <f>'Nodos y Métricas'!I4</f>
        <v>Alta</v>
      </c>
      <c r="F2" s="74" t="str">
        <f>'Nodos y Métricas'!J4</f>
        <v>Prioridad Alta</v>
      </c>
    </row>
    <row r="3" ht="19.5" customHeight="1">
      <c r="A3" s="90" t="str">
        <f>'Nodos y Métricas'!A5</f>
        <v>M1-P2</v>
      </c>
      <c r="B3" s="70" t="str">
        <f>'Nodos y Métricas'!B5</f>
        <v>Aseguramiento de la Calidad (SIAC)</v>
      </c>
      <c r="C3" s="71" t="str">
        <f>'Nodos y Métricas'!C5</f>
        <v>M1</v>
      </c>
      <c r="D3" s="71">
        <f>'Nodos y Métricas'!H5</f>
        <v>27</v>
      </c>
      <c r="E3" s="71" t="str">
        <f>'Nodos y Métricas'!I5</f>
        <v>Media</v>
      </c>
      <c r="F3" s="71" t="str">
        <f>'Nodos y Métricas'!J5</f>
        <v>Prioridad Media</v>
      </c>
    </row>
    <row r="4" ht="19.5" customHeight="1">
      <c r="A4" s="89" t="str">
        <f>'Nodos y Métricas'!A6</f>
        <v>M1-P3</v>
      </c>
      <c r="B4" s="73" t="str">
        <f>'Nodos y Métricas'!B6</f>
        <v>Tránsito Vital</v>
      </c>
      <c r="C4" s="74" t="str">
        <f>'Nodos y Métricas'!C6</f>
        <v>M1</v>
      </c>
      <c r="D4" s="74">
        <f>'Nodos y Métricas'!H6</f>
        <v>28</v>
      </c>
      <c r="E4" s="74" t="str">
        <f>'Nodos y Métricas'!I6</f>
        <v>Alta</v>
      </c>
      <c r="F4" s="74" t="str">
        <f>'Nodos y Métricas'!J6</f>
        <v>Prioridad Alta</v>
      </c>
    </row>
    <row r="5" ht="19.5" customHeight="1">
      <c r="A5" s="90" t="str">
        <f>'Nodos y Métricas'!A7</f>
        <v>M1-P4</v>
      </c>
      <c r="B5" s="70" t="str">
        <f>'Nodos y Métricas'!B7</f>
        <v>Voces y Saberes</v>
      </c>
      <c r="C5" s="71" t="str">
        <f>'Nodos y Métricas'!C7</f>
        <v>M1</v>
      </c>
      <c r="D5" s="71">
        <f>'Nodos y Métricas'!H7</f>
        <v>27</v>
      </c>
      <c r="E5" s="71" t="str">
        <f>'Nodos y Métricas'!I7</f>
        <v>Media</v>
      </c>
      <c r="F5" s="71" t="str">
        <f>'Nodos y Métricas'!J7</f>
        <v>Prioridad Media</v>
      </c>
    </row>
    <row r="6" ht="19.5" customHeight="1">
      <c r="A6" s="89" t="str">
        <f>'Nodos y Métricas'!A8</f>
        <v>M1-P5</v>
      </c>
      <c r="B6" s="73" t="str">
        <f>'Nodos y Métricas'!B8</f>
        <v>Trayectorias de Futuro</v>
      </c>
      <c r="C6" s="74" t="str">
        <f>'Nodos y Métricas'!C8</f>
        <v>M1</v>
      </c>
      <c r="D6" s="74">
        <f>'Nodos y Métricas'!H8</f>
        <v>14</v>
      </c>
      <c r="E6" s="74" t="str">
        <f>'Nodos y Métricas'!I8</f>
        <v>Baja</v>
      </c>
      <c r="F6" s="74" t="str">
        <f>'Nodos y Métricas'!J8</f>
        <v>Prioridad Baja</v>
      </c>
    </row>
    <row r="7" ht="19.5" customHeight="1">
      <c r="A7" s="90" t="str">
        <f>'Nodos y Métricas'!A9</f>
        <v>M2-P1</v>
      </c>
      <c r="B7" s="70" t="str">
        <f>'Nodos y Métricas'!B9</f>
        <v>Redes del Conocimiento</v>
      </c>
      <c r="C7" s="71" t="str">
        <f>'Nodos y Métricas'!C9</f>
        <v>M2</v>
      </c>
      <c r="D7" s="71">
        <f>'Nodos y Métricas'!H9</f>
        <v>27</v>
      </c>
      <c r="E7" s="71" t="str">
        <f>'Nodos y Métricas'!I9</f>
        <v>Media</v>
      </c>
      <c r="F7" s="71" t="str">
        <f>'Nodos y Métricas'!J9</f>
        <v>Prioridad Media</v>
      </c>
    </row>
    <row r="8" ht="19.5" customHeight="1">
      <c r="A8" s="89" t="str">
        <f>'Nodos y Métricas'!A10</f>
        <v>M2-P2</v>
      </c>
      <c r="B8" s="73" t="str">
        <f>'Nodos y Métricas'!B10</f>
        <v>Misiones Académicas y Científicas</v>
      </c>
      <c r="C8" s="74" t="str">
        <f>'Nodos y Métricas'!C10</f>
        <v>M2</v>
      </c>
      <c r="D8" s="74">
        <f>'Nodos y Métricas'!H10</f>
        <v>32</v>
      </c>
      <c r="E8" s="74" t="str">
        <f>'Nodos y Métricas'!I10</f>
        <v>Alta</v>
      </c>
      <c r="F8" s="74" t="str">
        <f>'Nodos y Métricas'!J10</f>
        <v>Prioridad Alta</v>
      </c>
    </row>
    <row r="9" ht="19.5" customHeight="1">
      <c r="A9" s="90" t="str">
        <f>'Nodos y Métricas'!A11</f>
        <v>M2-P3</v>
      </c>
      <c r="B9" s="70" t="str">
        <f>'Nodos y Métricas'!B11</f>
        <v>Laboratorios Vivos de Innovación</v>
      </c>
      <c r="C9" s="71" t="str">
        <f>'Nodos y Métricas'!C11</f>
        <v>M2</v>
      </c>
      <c r="D9" s="71">
        <f>'Nodos y Métricas'!H11</f>
        <v>32</v>
      </c>
      <c r="E9" s="71" t="str">
        <f>'Nodos y Métricas'!I11</f>
        <v>Alta</v>
      </c>
      <c r="F9" s="71" t="str">
        <f>'Nodos y Métricas'!J11</f>
        <v>Prioridad Alta</v>
      </c>
    </row>
    <row r="10" ht="19.5" customHeight="1">
      <c r="A10" s="89" t="str">
        <f>'Nodos y Métricas'!A12</f>
        <v>M3-P1</v>
      </c>
      <c r="B10" s="73" t="str">
        <f>'Nodos y Métricas'!B12</f>
        <v>Viabilidad Financiera</v>
      </c>
      <c r="C10" s="74" t="str">
        <f>'Nodos y Métricas'!C12</f>
        <v>M3</v>
      </c>
      <c r="D10" s="74">
        <f>'Nodos y Métricas'!H12</f>
        <v>31</v>
      </c>
      <c r="E10" s="74" t="str">
        <f>'Nodos y Métricas'!I12</f>
        <v>Alta</v>
      </c>
      <c r="F10" s="74" t="str">
        <f>'Nodos y Métricas'!J12</f>
        <v>Prioridad Alta</v>
      </c>
    </row>
    <row r="11" ht="19.5" customHeight="1">
      <c r="A11" s="90" t="str">
        <f>'Nodos y Métricas'!A13</f>
        <v>M3-P2</v>
      </c>
      <c r="B11" s="70" t="str">
        <f>'Nodos y Métricas'!B13</f>
        <v>Autorregulación Institucional</v>
      </c>
      <c r="C11" s="71" t="str">
        <f>'Nodos y Métricas'!C13</f>
        <v>M3</v>
      </c>
      <c r="D11" s="71">
        <f>'Nodos y Métricas'!H13</f>
        <v>24</v>
      </c>
      <c r="E11" s="71" t="str">
        <f>'Nodos y Métricas'!I13</f>
        <v>Media</v>
      </c>
      <c r="F11" s="71" t="str">
        <f>'Nodos y Métricas'!J13</f>
        <v>Prioridad Media</v>
      </c>
    </row>
    <row r="12" ht="19.5" customHeight="1">
      <c r="A12" s="89" t="str">
        <f>'Nodos y Métricas'!A14</f>
        <v>M3-P3</v>
      </c>
      <c r="B12" s="73" t="str">
        <f>'Nodos y Métricas'!B14</f>
        <v>Alianzas y Cooperación para la Sostenibilidad</v>
      </c>
      <c r="C12" s="74" t="str">
        <f>'Nodos y Métricas'!C14</f>
        <v>M3</v>
      </c>
      <c r="D12" s="74">
        <f>'Nodos y Métricas'!H14</f>
        <v>19</v>
      </c>
      <c r="E12" s="74" t="str">
        <f>'Nodos y Métricas'!I14</f>
        <v>Baja</v>
      </c>
      <c r="F12" s="74" t="str">
        <f>'Nodos y Métricas'!J14</f>
        <v>Prioridad Baja</v>
      </c>
    </row>
    <row r="13" ht="19.5" customHeight="1">
      <c r="A13" s="90" t="str">
        <f>'Nodos y Métricas'!A15</f>
        <v>M4-P1</v>
      </c>
      <c r="B13" s="70" t="str">
        <f>'Nodos y Métricas'!B15</f>
        <v>Cuidado Colectivo</v>
      </c>
      <c r="C13" s="71" t="str">
        <f>'Nodos y Métricas'!C15</f>
        <v>M4</v>
      </c>
      <c r="D13" s="71">
        <f>'Nodos y Métricas'!H15</f>
        <v>16</v>
      </c>
      <c r="E13" s="71" t="str">
        <f>'Nodos y Métricas'!I15</f>
        <v>Baja</v>
      </c>
      <c r="F13" s="71" t="str">
        <f>'Nodos y Métricas'!J15</f>
        <v>Prioridad Baja</v>
      </c>
    </row>
    <row r="14" ht="19.5" customHeight="1">
      <c r="A14" s="89" t="str">
        <f>'Nodos y Métricas'!A16</f>
        <v>M4-P2</v>
      </c>
      <c r="B14" s="73" t="str">
        <f>'Nodos y Métricas'!B16</f>
        <v>Cultura del Servicio</v>
      </c>
      <c r="C14" s="74" t="str">
        <f>'Nodos y Métricas'!C16</f>
        <v>M4</v>
      </c>
      <c r="D14" s="74">
        <f>'Nodos y Métricas'!H16</f>
        <v>21</v>
      </c>
      <c r="E14" s="74" t="str">
        <f>'Nodos y Métricas'!I16</f>
        <v>Baja</v>
      </c>
      <c r="F14" s="74" t="str">
        <f>'Nodos y Métricas'!J16</f>
        <v>Prioridad Baja</v>
      </c>
    </row>
    <row r="15" ht="19.5" customHeight="1">
      <c r="A15" s="90" t="str">
        <f>'Nodos y Métricas'!A17</f>
        <v>M5-P1</v>
      </c>
      <c r="B15" s="70" t="str">
        <f>'Nodos y Métricas'!B17</f>
        <v>Madurez Digital Institucional</v>
      </c>
      <c r="C15" s="71" t="str">
        <f>'Nodos y Métricas'!C17</f>
        <v>M5</v>
      </c>
      <c r="D15" s="71">
        <f>'Nodos y Métricas'!H17</f>
        <v>22</v>
      </c>
      <c r="E15" s="71" t="str">
        <f>'Nodos y Métricas'!I17</f>
        <v>Media</v>
      </c>
      <c r="F15" s="71" t="str">
        <f>'Nodos y Métricas'!J17</f>
        <v>Prioridad Media</v>
      </c>
    </row>
    <row r="16" ht="19.5" customHeight="1">
      <c r="A16" s="89" t="str">
        <f>'Nodos y Métricas'!A18</f>
        <v>M5-P2</v>
      </c>
      <c r="B16" s="73" t="str">
        <f>'Nodos y Métricas'!B18</f>
        <v>Infraestructura Tecnológica</v>
      </c>
      <c r="C16" s="74" t="str">
        <f>'Nodos y Métricas'!C18</f>
        <v>M5</v>
      </c>
      <c r="D16" s="74">
        <f>'Nodos y Métricas'!H18</f>
        <v>15</v>
      </c>
      <c r="E16" s="74" t="str">
        <f>'Nodos y Métricas'!I18</f>
        <v>Baja</v>
      </c>
      <c r="F16" s="74" t="str">
        <f>'Nodos y Métricas'!J18</f>
        <v>Prioridad Baja</v>
      </c>
    </row>
    <row r="17" ht="19.5" customHeight="1">
      <c r="A17" s="90" t="str">
        <f>'Nodos y Métricas'!A19</f>
        <v>M5-P3</v>
      </c>
      <c r="B17" s="70" t="str">
        <f>'Nodos y Métricas'!B19</f>
        <v>Herramientas Digitales</v>
      </c>
      <c r="C17" s="71" t="str">
        <f>'Nodos y Métricas'!C19</f>
        <v>M5</v>
      </c>
      <c r="D17" s="71">
        <f>'Nodos y Métricas'!H19</f>
        <v>49</v>
      </c>
      <c r="E17" s="71" t="str">
        <f>'Nodos y Métricas'!I19</f>
        <v>Alta</v>
      </c>
      <c r="F17" s="71" t="str">
        <f>'Nodos y Métricas'!J19</f>
        <v>Prioridad Alta</v>
      </c>
    </row>
    <row r="18" ht="19.5" customHeight="1">
      <c r="A18" s="89" t="str">
        <f>'Nodos y Métricas'!A20</f>
        <v>M5-P4</v>
      </c>
      <c r="B18" s="73" t="str">
        <f>'Nodos y Métricas'!B20</f>
        <v>Universidad Ágil</v>
      </c>
      <c r="C18" s="74" t="str">
        <f>'Nodos y Métricas'!C20</f>
        <v>M5</v>
      </c>
      <c r="D18" s="74">
        <f>'Nodos y Métricas'!H20</f>
        <v>29</v>
      </c>
      <c r="E18" s="74" t="str">
        <f>'Nodos y Métricas'!I20</f>
        <v>Media</v>
      </c>
      <c r="F18" s="74" t="str">
        <f>'Nodos y Métricas'!J20</f>
        <v>Prioridad Media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A8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0.0"/>
    <col customWidth="1" min="4" max="4" width="12.0"/>
    <col customWidth="1" min="5" max="5" width="10.0"/>
    <col customWidth="1" min="6" max="26" width="8.57"/>
  </cols>
  <sheetData>
    <row r="1" ht="25.5" customHeight="1">
      <c r="A1" s="32" t="s">
        <v>229</v>
      </c>
      <c r="B1" s="32" t="s">
        <v>230</v>
      </c>
      <c r="C1" s="32" t="s">
        <v>231</v>
      </c>
      <c r="D1" s="32" t="s">
        <v>31</v>
      </c>
      <c r="E1" s="32" t="s">
        <v>32</v>
      </c>
    </row>
    <row r="2" ht="18.0" customHeight="1">
      <c r="A2" s="89" t="str">
        <f>IFERROR(IF(ISERROR(FIND("-P",Relaciones!A4)),"",Relaciones!A4),"")</f>
        <v>M1-P1</v>
      </c>
      <c r="B2" s="89" t="str">
        <f>IFERROR(IF(A2="","",Relaciones!D4),"")</f>
        <v>M3-P1</v>
      </c>
      <c r="C2" s="73" t="str">
        <f>IFERROR(IF(A2="","",Relaciones!G4),"")</f>
        <v>Habilitadora</v>
      </c>
      <c r="D2" s="74" t="str">
        <f>IFERROR(IF(A2="","",Relaciones!H4),"")</f>
        <v>Media</v>
      </c>
      <c r="E2" s="74">
        <f>IFERROR(IF(A2="","",Relaciones!I4),"")</f>
        <v>3</v>
      </c>
    </row>
    <row r="3" ht="18.0" customHeight="1">
      <c r="A3" s="90" t="str">
        <f>IFERROR(IF(ISERROR(FIND("-P",Relaciones!A5)),"",Relaciones!A5),"")</f>
        <v>M1-P1</v>
      </c>
      <c r="B3" s="90" t="str">
        <f>IFERROR(IF(A3="","",Relaciones!D5),"")</f>
        <v>M1-P5</v>
      </c>
      <c r="C3" s="70" t="str">
        <f>IFERROR(IF(A3="","",Relaciones!G5),"")</f>
        <v>Habilitadora</v>
      </c>
      <c r="D3" s="71" t="str">
        <f>IFERROR(IF(A3="","",Relaciones!H5),"")</f>
        <v>Alta</v>
      </c>
      <c r="E3" s="71">
        <f>IFERROR(IF(A3="","",Relaciones!I5),"")</f>
        <v>5</v>
      </c>
    </row>
    <row r="4" ht="18.0" customHeight="1">
      <c r="A4" s="89" t="str">
        <f>IFERROR(IF(ISERROR(FIND("-P",Relaciones!A6)),"",Relaciones!A6),"")</f>
        <v>M1-P1</v>
      </c>
      <c r="B4" s="89" t="str">
        <f>IFERROR(IF(A4="","",Relaciones!D6),"")</f>
        <v>M1-P3</v>
      </c>
      <c r="C4" s="73" t="str">
        <f>IFERROR(IF(A4="","",Relaciones!G6),"")</f>
        <v>Complementariedad</v>
      </c>
      <c r="D4" s="74" t="str">
        <f>IFERROR(IF(A4="","",Relaciones!H6),"")</f>
        <v>Alta</v>
      </c>
      <c r="E4" s="74">
        <f>IFERROR(IF(A4="","",Relaciones!I6),"")</f>
        <v>5</v>
      </c>
    </row>
    <row r="5" ht="18.0" customHeight="1">
      <c r="A5" s="90" t="str">
        <f>IFERROR(IF(ISERROR(FIND("-P",Relaciones!A7)),"",Relaciones!A7),"")</f>
        <v>M1-P1</v>
      </c>
      <c r="B5" s="90" t="str">
        <f>IFERROR(IF(A5="","",Relaciones!D7),"")</f>
        <v>M5-P3</v>
      </c>
      <c r="C5" s="70" t="str">
        <f>IFERROR(IF(A5="","",Relaciones!G7),"")</f>
        <v>Complementariedad</v>
      </c>
      <c r="D5" s="71" t="str">
        <f>IFERROR(IF(A5="","",Relaciones!H7),"")</f>
        <v>Alta</v>
      </c>
      <c r="E5" s="71">
        <f>IFERROR(IF(A5="","",Relaciones!I7),"")</f>
        <v>5</v>
      </c>
    </row>
    <row r="6" ht="18.0" customHeight="1">
      <c r="A6" s="89" t="str">
        <f>IFERROR(IF(ISERROR(FIND("-P",Relaciones!A8)),"",Relaciones!A8),"")</f>
        <v>M1-P1</v>
      </c>
      <c r="B6" s="89" t="str">
        <f>IFERROR(IF(A6="","",Relaciones!D8),"")</f>
        <v>M2-P2</v>
      </c>
      <c r="C6" s="73" t="str">
        <f>IFERROR(IF(A6="","",Relaciones!G8),"")</f>
        <v>Complementariedad</v>
      </c>
      <c r="D6" s="74" t="str">
        <f>IFERROR(IF(A6="","",Relaciones!H8),"")</f>
        <v>Media</v>
      </c>
      <c r="E6" s="74">
        <f>IFERROR(IF(A6="","",Relaciones!I8),"")</f>
        <v>3</v>
      </c>
    </row>
    <row r="7" ht="18.0" customHeight="1">
      <c r="A7" s="90" t="str">
        <f>IFERROR(IF(ISERROR(FIND("-P",Relaciones!A9)),"",Relaciones!A9),"")</f>
        <v>M1-P1</v>
      </c>
      <c r="B7" s="90" t="str">
        <f>IFERROR(IF(A7="","",Relaciones!D9),"")</f>
        <v>M2-P3</v>
      </c>
      <c r="C7" s="70" t="str">
        <f>IFERROR(IF(A7="","",Relaciones!G9),"")</f>
        <v>Complementariedad</v>
      </c>
      <c r="D7" s="71" t="str">
        <f>IFERROR(IF(A7="","",Relaciones!H9),"")</f>
        <v>Media</v>
      </c>
      <c r="E7" s="71">
        <f>IFERROR(IF(A7="","",Relaciones!I9),"")</f>
        <v>3</v>
      </c>
    </row>
    <row r="8" ht="18.0" customHeight="1">
      <c r="A8" s="89" t="str">
        <f>IFERROR(IF(ISERROR(FIND("-P",Relaciones!A10)),"",Relaciones!A10),"")</f>
        <v>M1-P2</v>
      </c>
      <c r="B8" s="89" t="str">
        <f>IFERROR(IF(A8="","",Relaciones!D10),"")</f>
        <v>M1-P1</v>
      </c>
      <c r="C8" s="73" t="str">
        <f>IFERROR(IF(A8="","",Relaciones!G10),"")</f>
        <v>Habilitadora</v>
      </c>
      <c r="D8" s="74" t="str">
        <f>IFERROR(IF(A8="","",Relaciones!H10),"")</f>
        <v>Alta</v>
      </c>
      <c r="E8" s="74">
        <f>IFERROR(IF(A8="","",Relaciones!I10),"")</f>
        <v>5</v>
      </c>
    </row>
    <row r="9" ht="18.0" customHeight="1">
      <c r="A9" s="90" t="str">
        <f>IFERROR(IF(ISERROR(FIND("-P",Relaciones!A11)),"",Relaciones!A11),"")</f>
        <v>M1-P2</v>
      </c>
      <c r="B9" s="90" t="str">
        <f>IFERROR(IF(A9="","",Relaciones!D11),"")</f>
        <v>M1-P3</v>
      </c>
      <c r="C9" s="70" t="str">
        <f>IFERROR(IF(A9="","",Relaciones!G11),"")</f>
        <v>Habilitadora</v>
      </c>
      <c r="D9" s="71" t="str">
        <f>IFERROR(IF(A9="","",Relaciones!H11),"")</f>
        <v>Media</v>
      </c>
      <c r="E9" s="71">
        <f>IFERROR(IF(A9="","",Relaciones!I11),"")</f>
        <v>3</v>
      </c>
    </row>
    <row r="10" ht="18.0" customHeight="1">
      <c r="A10" s="89" t="str">
        <f>IFERROR(IF(ISERROR(FIND("-P",Relaciones!A12)),"",Relaciones!A12),"")</f>
        <v>M1-P2</v>
      </c>
      <c r="B10" s="89" t="str">
        <f>IFERROR(IF(A10="","",Relaciones!D12),"")</f>
        <v>M1-P4</v>
      </c>
      <c r="C10" s="73" t="str">
        <f>IFERROR(IF(A10="","",Relaciones!G12),"")</f>
        <v>Habilitadora</v>
      </c>
      <c r="D10" s="74" t="str">
        <f>IFERROR(IF(A10="","",Relaciones!H12),"")</f>
        <v>Media</v>
      </c>
      <c r="E10" s="74">
        <f>IFERROR(IF(A10="","",Relaciones!I12),"")</f>
        <v>3</v>
      </c>
    </row>
    <row r="11" ht="18.0" customHeight="1">
      <c r="A11" s="90" t="str">
        <f>IFERROR(IF(ISERROR(FIND("-P",Relaciones!A13)),"",Relaciones!A13),"")</f>
        <v>M1-P2</v>
      </c>
      <c r="B11" s="90" t="str">
        <f>IFERROR(IF(A11="","",Relaciones!D13),"")</f>
        <v>M3-P2</v>
      </c>
      <c r="C11" s="70" t="str">
        <f>IFERROR(IF(A11="","",Relaciones!G13),"")</f>
        <v>Complementariedad</v>
      </c>
      <c r="D11" s="71" t="str">
        <f>IFERROR(IF(A11="","",Relaciones!H13),"")</f>
        <v>Alta</v>
      </c>
      <c r="E11" s="71">
        <f>IFERROR(IF(A11="","",Relaciones!I13),"")</f>
        <v>5</v>
      </c>
    </row>
    <row r="12" ht="18.0" customHeight="1">
      <c r="A12" s="89" t="str">
        <f>IFERROR(IF(ISERROR(FIND("-P",Relaciones!A14)),"",Relaciones!A14),"")</f>
        <v>M1-P3</v>
      </c>
      <c r="B12" s="89" t="str">
        <f>IFERROR(IF(A12="","",Relaciones!D14),"")</f>
        <v>M4-P1</v>
      </c>
      <c r="C12" s="73" t="str">
        <f>IFERROR(IF(A12="","",Relaciones!G14),"")</f>
        <v>Complementariedad</v>
      </c>
      <c r="D12" s="74" t="str">
        <f>IFERROR(IF(A12="","",Relaciones!H14),"")</f>
        <v>Media</v>
      </c>
      <c r="E12" s="74">
        <f>IFERROR(IF(A12="","",Relaciones!I14),"")</f>
        <v>3</v>
      </c>
    </row>
    <row r="13" ht="18.0" customHeight="1">
      <c r="A13" s="90" t="str">
        <f>IFERROR(IF(ISERROR(FIND("-P",Relaciones!A15)),"",Relaciones!A15),"")</f>
        <v>M1-P3</v>
      </c>
      <c r="B13" s="90" t="str">
        <f>IFERROR(IF(A13="","",Relaciones!D15),"")</f>
        <v>M1-P5</v>
      </c>
      <c r="C13" s="70" t="str">
        <f>IFERROR(IF(A13="","",Relaciones!G15),"")</f>
        <v>Complementariedad</v>
      </c>
      <c r="D13" s="71" t="str">
        <f>IFERROR(IF(A13="","",Relaciones!H15),"")</f>
        <v>Media</v>
      </c>
      <c r="E13" s="71">
        <f>IFERROR(IF(A13="","",Relaciones!I15),"")</f>
        <v>3</v>
      </c>
    </row>
    <row r="14" ht="18.0" customHeight="1">
      <c r="A14" s="89" t="str">
        <f>IFERROR(IF(ISERROR(FIND("-P",Relaciones!A16)),"",Relaciones!A16),"")</f>
        <v>M1-P4</v>
      </c>
      <c r="B14" s="89" t="str">
        <f>IFERROR(IF(A14="","",Relaciones!D16),"")</f>
        <v>M1-P1</v>
      </c>
      <c r="C14" s="73" t="str">
        <f>IFERROR(IF(A14="","",Relaciones!G16),"")</f>
        <v>Habilitadora</v>
      </c>
      <c r="D14" s="74" t="str">
        <f>IFERROR(IF(A14="","",Relaciones!H16),"")</f>
        <v>Alta</v>
      </c>
      <c r="E14" s="74">
        <f>IFERROR(IF(A14="","",Relaciones!I16),"")</f>
        <v>5</v>
      </c>
    </row>
    <row r="15" ht="18.0" customHeight="1">
      <c r="A15" s="90" t="str">
        <f>IFERROR(IF(ISERROR(FIND("-P",Relaciones!A17)),"",Relaciones!A17),"")</f>
        <v>M1-P4</v>
      </c>
      <c r="B15" s="90" t="str">
        <f>IFERROR(IF(A15="","",Relaciones!D17),"")</f>
        <v>M5-P3</v>
      </c>
      <c r="C15" s="70" t="str">
        <f>IFERROR(IF(A15="","",Relaciones!G17),"")</f>
        <v>Complementariedad</v>
      </c>
      <c r="D15" s="71" t="str">
        <f>IFERROR(IF(A15="","",Relaciones!H17),"")</f>
        <v>Alta</v>
      </c>
      <c r="E15" s="71">
        <f>IFERROR(IF(A15="","",Relaciones!I17),"")</f>
        <v>5</v>
      </c>
    </row>
    <row r="16" ht="18.0" customHeight="1">
      <c r="A16" s="89" t="str">
        <f>IFERROR(IF(ISERROR(FIND("-P",Relaciones!A18)),"",Relaciones!A18),"")</f>
        <v>M1-P4</v>
      </c>
      <c r="B16" s="89" t="str">
        <f>IFERROR(IF(A16="","",Relaciones!D18),"")</f>
        <v>M2-P1</v>
      </c>
      <c r="C16" s="73" t="str">
        <f>IFERROR(IF(A16="","",Relaciones!G18),"")</f>
        <v>Habilitadora</v>
      </c>
      <c r="D16" s="74" t="str">
        <f>IFERROR(IF(A16="","",Relaciones!H18),"")</f>
        <v>Media</v>
      </c>
      <c r="E16" s="74">
        <f>IFERROR(IF(A16="","",Relaciones!I18),"")</f>
        <v>3</v>
      </c>
    </row>
    <row r="17" ht="18.0" customHeight="1">
      <c r="A17" s="90" t="str">
        <f>IFERROR(IF(ISERROR(FIND("-P",Relaciones!A19)),"",Relaciones!A19),"")</f>
        <v>M1-P4</v>
      </c>
      <c r="B17" s="90" t="str">
        <f>IFERROR(IF(A17="","",Relaciones!D19),"")</f>
        <v>M2-P2</v>
      </c>
      <c r="C17" s="70" t="str">
        <f>IFERROR(IF(A17="","",Relaciones!G19),"")</f>
        <v>Habilitadora</v>
      </c>
      <c r="D17" s="71" t="str">
        <f>IFERROR(IF(A17="","",Relaciones!H19),"")</f>
        <v>Media</v>
      </c>
      <c r="E17" s="71">
        <f>IFERROR(IF(A17="","",Relaciones!I19),"")</f>
        <v>3</v>
      </c>
    </row>
    <row r="18" ht="18.0" customHeight="1">
      <c r="A18" s="89" t="str">
        <f>IFERROR(IF(ISERROR(FIND("-P",Relaciones!A20)),"",Relaciones!A20),"")</f>
        <v>M1-P4</v>
      </c>
      <c r="B18" s="89" t="str">
        <f>IFERROR(IF(A18="","",Relaciones!D20),"")</f>
        <v>M2-P3</v>
      </c>
      <c r="C18" s="73" t="str">
        <f>IFERROR(IF(A18="","",Relaciones!G20),"")</f>
        <v>Habilitadora</v>
      </c>
      <c r="D18" s="74" t="str">
        <f>IFERROR(IF(A18="","",Relaciones!H20),"")</f>
        <v>Media</v>
      </c>
      <c r="E18" s="74">
        <f>IFERROR(IF(A18="","",Relaciones!I20),"")</f>
        <v>3</v>
      </c>
    </row>
    <row r="19" ht="18.0" customHeight="1">
      <c r="A19" s="90" t="str">
        <f>IFERROR(IF(ISERROR(FIND("-P",Relaciones!A21)),"",Relaciones!A21),"")</f>
        <v>M1-P5</v>
      </c>
      <c r="B19" s="90" t="str">
        <f>IFERROR(IF(A19="","",Relaciones!D21),"")</f>
        <v>M1-P1</v>
      </c>
      <c r="C19" s="70" t="str">
        <f>IFERROR(IF(A19="","",Relaciones!G21),"")</f>
        <v>Complementariedad</v>
      </c>
      <c r="D19" s="71" t="str">
        <f>IFERROR(IF(A19="","",Relaciones!H21),"")</f>
        <v>Media</v>
      </c>
      <c r="E19" s="71">
        <f>IFERROR(IF(A19="","",Relaciones!I21),"")</f>
        <v>3</v>
      </c>
    </row>
    <row r="20" ht="18.0" customHeight="1">
      <c r="A20" s="89" t="str">
        <f>IFERROR(IF(ISERROR(FIND("-P",Relaciones!A22)),"",Relaciones!A22),"")</f>
        <v>M1-P5</v>
      </c>
      <c r="B20" s="89" t="str">
        <f>IFERROR(IF(A20="","",Relaciones!D22),"")</f>
        <v>M1-P3</v>
      </c>
      <c r="C20" s="73" t="str">
        <f>IFERROR(IF(A20="","",Relaciones!G22),"")</f>
        <v>Habilitadora</v>
      </c>
      <c r="D20" s="74" t="str">
        <f>IFERROR(IF(A20="","",Relaciones!H22),"")</f>
        <v>Media</v>
      </c>
      <c r="E20" s="74">
        <f>IFERROR(IF(A20="","",Relaciones!I22),"")</f>
        <v>3</v>
      </c>
    </row>
    <row r="21" ht="18.0" customHeight="1">
      <c r="A21" s="90" t="str">
        <f>IFERROR(IF(ISERROR(FIND("-P",Relaciones!A23)),"",Relaciones!A23),"")</f>
        <v>M2-P1</v>
      </c>
      <c r="B21" s="90" t="str">
        <f>IFERROR(IF(A21="","",Relaciones!D23),"")</f>
        <v>M2-P2</v>
      </c>
      <c r="C21" s="70" t="str">
        <f>IFERROR(IF(A21="","",Relaciones!G23),"")</f>
        <v>Habilitadora</v>
      </c>
      <c r="D21" s="71" t="str">
        <f>IFERROR(IF(A21="","",Relaciones!H23),"")</f>
        <v>Alta</v>
      </c>
      <c r="E21" s="71">
        <f>IFERROR(IF(A21="","",Relaciones!I23),"")</f>
        <v>5</v>
      </c>
    </row>
    <row r="22" ht="18.0" customHeight="1">
      <c r="A22" s="89" t="str">
        <f>IFERROR(IF(ISERROR(FIND("-P",Relaciones!A24)),"",Relaciones!A24),"")</f>
        <v>M2-P1</v>
      </c>
      <c r="B22" s="89" t="str">
        <f>IFERROR(IF(A22="","",Relaciones!D24),"")</f>
        <v>M2-P3</v>
      </c>
      <c r="C22" s="73" t="str">
        <f>IFERROR(IF(A22="","",Relaciones!G24),"")</f>
        <v>Habilitadora</v>
      </c>
      <c r="D22" s="74" t="str">
        <f>IFERROR(IF(A22="","",Relaciones!H24),"")</f>
        <v>Alta</v>
      </c>
      <c r="E22" s="74">
        <f>IFERROR(IF(A22="","",Relaciones!I24),"")</f>
        <v>5</v>
      </c>
    </row>
    <row r="23" ht="18.0" customHeight="1">
      <c r="A23" s="90" t="str">
        <f>IFERROR(IF(ISERROR(FIND("-P",Relaciones!A25)),"",Relaciones!A25),"")</f>
        <v>M2-P1</v>
      </c>
      <c r="B23" s="90" t="str">
        <f>IFERROR(IF(A23="","",Relaciones!D25),"")</f>
        <v>M3-P3</v>
      </c>
      <c r="C23" s="70" t="str">
        <f>IFERROR(IF(A23="","",Relaciones!G25),"")</f>
        <v>Complementariedad</v>
      </c>
      <c r="D23" s="71" t="str">
        <f>IFERROR(IF(A23="","",Relaciones!H25),"")</f>
        <v>Media</v>
      </c>
      <c r="E23" s="71">
        <f>IFERROR(IF(A23="","",Relaciones!I25),"")</f>
        <v>3</v>
      </c>
    </row>
    <row r="24" ht="18.0" customHeight="1">
      <c r="A24" s="89" t="str">
        <f>IFERROR(IF(ISERROR(FIND("-P",Relaciones!A26)),"",Relaciones!A26),"")</f>
        <v>M2-P2</v>
      </c>
      <c r="B24" s="89" t="str">
        <f>IFERROR(IF(A24="","",Relaciones!D26),"")</f>
        <v>M2-P3</v>
      </c>
      <c r="C24" s="73" t="str">
        <f>IFERROR(IF(A24="","",Relaciones!G26),"")</f>
        <v>Complementariedad</v>
      </c>
      <c r="D24" s="74" t="str">
        <f>IFERROR(IF(A24="","",Relaciones!H26),"")</f>
        <v>Alta</v>
      </c>
      <c r="E24" s="74">
        <f>IFERROR(IF(A24="","",Relaciones!I26),"")</f>
        <v>5</v>
      </c>
    </row>
    <row r="25" ht="18.0" customHeight="1">
      <c r="A25" s="90" t="str">
        <f>IFERROR(IF(ISERROR(FIND("-P",Relaciones!A27)),"",Relaciones!A27),"")</f>
        <v>M2-P2</v>
      </c>
      <c r="B25" s="90" t="str">
        <f>IFERROR(IF(A25="","",Relaciones!D27),"")</f>
        <v>M3-P3</v>
      </c>
      <c r="C25" s="70" t="str">
        <f>IFERROR(IF(A25="","",Relaciones!G27),"")</f>
        <v>Complementariedad</v>
      </c>
      <c r="D25" s="71" t="str">
        <f>IFERROR(IF(A25="","",Relaciones!H27),"")</f>
        <v>Alta</v>
      </c>
      <c r="E25" s="71">
        <f>IFERROR(IF(A25="","",Relaciones!I27),"")</f>
        <v>5</v>
      </c>
    </row>
    <row r="26" ht="18.0" customHeight="1">
      <c r="A26" s="89" t="str">
        <f>IFERROR(IF(ISERROR(FIND("-P",Relaciones!A28)),"",Relaciones!A28),"")</f>
        <v>M2-P3</v>
      </c>
      <c r="B26" s="89" t="str">
        <f>IFERROR(IF(A26="","",Relaciones!D28),"")</f>
        <v>M2-P2</v>
      </c>
      <c r="C26" s="73" t="str">
        <f>IFERROR(IF(A26="","",Relaciones!G28),"")</f>
        <v>Complementariedad</v>
      </c>
      <c r="D26" s="74" t="str">
        <f>IFERROR(IF(A26="","",Relaciones!H28),"")</f>
        <v>Alta</v>
      </c>
      <c r="E26" s="74">
        <f>IFERROR(IF(A26="","",Relaciones!I28),"")</f>
        <v>5</v>
      </c>
    </row>
    <row r="27" ht="18.0" customHeight="1">
      <c r="A27" s="90" t="str">
        <f>IFERROR(IF(ISERROR(FIND("-P",Relaciones!A29)),"",Relaciones!A29),"")</f>
        <v>M2-P3</v>
      </c>
      <c r="B27" s="90" t="str">
        <f>IFERROR(IF(A27="","",Relaciones!D29),"")</f>
        <v>M3-P3</v>
      </c>
      <c r="C27" s="70" t="str">
        <f>IFERROR(IF(A27="","",Relaciones!G29),"")</f>
        <v>Complementariedad</v>
      </c>
      <c r="D27" s="71" t="str">
        <f>IFERROR(IF(A27="","",Relaciones!H29),"")</f>
        <v>Alta</v>
      </c>
      <c r="E27" s="71">
        <f>IFERROR(IF(A27="","",Relaciones!I29),"")</f>
        <v>5</v>
      </c>
    </row>
    <row r="28" ht="18.0" customHeight="1">
      <c r="A28" s="89" t="str">
        <f>IFERROR(IF(ISERROR(FIND("-P",Relaciones!A30)),"",Relaciones!A30),"")</f>
        <v>M3-P1</v>
      </c>
      <c r="B28" s="89" t="str">
        <f>IFERROR(IF(A28="","",Relaciones!D30),"")</f>
        <v>M1-P1</v>
      </c>
      <c r="C28" s="73" t="str">
        <f>IFERROR(IF(A28="","",Relaciones!G30),"")</f>
        <v>Habilitadora</v>
      </c>
      <c r="D28" s="74" t="str">
        <f>IFERROR(IF(A28="","",Relaciones!H30),"")</f>
        <v>Alta</v>
      </c>
      <c r="E28" s="74">
        <f>IFERROR(IF(A28="","",Relaciones!I30),"")</f>
        <v>5</v>
      </c>
    </row>
    <row r="29" ht="18.0" customHeight="1">
      <c r="A29" s="90" t="str">
        <f>IFERROR(IF(ISERROR(FIND("-P",Relaciones!A31)),"",Relaciones!A31),"")</f>
        <v>M3-P1</v>
      </c>
      <c r="B29" s="90" t="str">
        <f>IFERROR(IF(A29="","",Relaciones!D31),"")</f>
        <v>M2-P1</v>
      </c>
      <c r="C29" s="70" t="str">
        <f>IFERROR(IF(A29="","",Relaciones!G31),"")</f>
        <v>Habilitadora</v>
      </c>
      <c r="D29" s="71" t="str">
        <f>IFERROR(IF(A29="","",Relaciones!H31),"")</f>
        <v>Media</v>
      </c>
      <c r="E29" s="71">
        <f>IFERROR(IF(A29="","",Relaciones!I31),"")</f>
        <v>3</v>
      </c>
    </row>
    <row r="30" ht="18.0" customHeight="1">
      <c r="A30" s="89" t="str">
        <f>IFERROR(IF(ISERROR(FIND("-P",Relaciones!A32)),"",Relaciones!A32),"")</f>
        <v>M3-P1</v>
      </c>
      <c r="B30" s="89" t="str">
        <f>IFERROR(IF(A30="","",Relaciones!D32),"")</f>
        <v>M2-P2</v>
      </c>
      <c r="C30" s="73" t="str">
        <f>IFERROR(IF(A30="","",Relaciones!G32),"")</f>
        <v>Habilitadora</v>
      </c>
      <c r="D30" s="74" t="str">
        <f>IFERROR(IF(A30="","",Relaciones!H32),"")</f>
        <v>Media</v>
      </c>
      <c r="E30" s="74">
        <f>IFERROR(IF(A30="","",Relaciones!I32),"")</f>
        <v>3</v>
      </c>
    </row>
    <row r="31" ht="18.0" customHeight="1">
      <c r="A31" s="90" t="str">
        <f>IFERROR(IF(ISERROR(FIND("-P",Relaciones!A33)),"",Relaciones!A33),"")</f>
        <v>M3-P1</v>
      </c>
      <c r="B31" s="90" t="str">
        <f>IFERROR(IF(A31="","",Relaciones!D33),"")</f>
        <v>M2-P3</v>
      </c>
      <c r="C31" s="70" t="str">
        <f>IFERROR(IF(A31="","",Relaciones!G33),"")</f>
        <v>Habilitadora</v>
      </c>
      <c r="D31" s="71" t="str">
        <f>IFERROR(IF(A31="","",Relaciones!H33),"")</f>
        <v>Media</v>
      </c>
      <c r="E31" s="71">
        <f>IFERROR(IF(A31="","",Relaciones!I33),"")</f>
        <v>3</v>
      </c>
    </row>
    <row r="32" ht="18.0" customHeight="1">
      <c r="A32" s="89" t="str">
        <f>IFERROR(IF(ISERROR(FIND("-P",Relaciones!A34)),"",Relaciones!A34),"")</f>
        <v>M3-P1</v>
      </c>
      <c r="B32" s="89" t="str">
        <f>IFERROR(IF(A32="","",Relaciones!D34),"")</f>
        <v>M5-P1</v>
      </c>
      <c r="C32" s="73" t="str">
        <f>IFERROR(IF(A32="","",Relaciones!G34),"")</f>
        <v>Habilitadora</v>
      </c>
      <c r="D32" s="74" t="str">
        <f>IFERROR(IF(A32="","",Relaciones!H34),"")</f>
        <v>Media</v>
      </c>
      <c r="E32" s="74">
        <f>IFERROR(IF(A32="","",Relaciones!I34),"")</f>
        <v>3</v>
      </c>
    </row>
    <row r="33" ht="18.0" customHeight="1">
      <c r="A33" s="90" t="str">
        <f>IFERROR(IF(ISERROR(FIND("-P",Relaciones!A35)),"",Relaciones!A35),"")</f>
        <v>M3-P1</v>
      </c>
      <c r="B33" s="90" t="str">
        <f>IFERROR(IF(A33="","",Relaciones!D35),"")</f>
        <v>M5-P2</v>
      </c>
      <c r="C33" s="70" t="str">
        <f>IFERROR(IF(A33="","",Relaciones!G35),"")</f>
        <v>Habilitadora</v>
      </c>
      <c r="D33" s="71" t="str">
        <f>IFERROR(IF(A33="","",Relaciones!H35),"")</f>
        <v>Alta</v>
      </c>
      <c r="E33" s="71">
        <f>IFERROR(IF(A33="","",Relaciones!I35),"")</f>
        <v>5</v>
      </c>
    </row>
    <row r="34" ht="18.0" customHeight="1">
      <c r="A34" s="89" t="str">
        <f>IFERROR(IF(ISERROR(FIND("-P",Relaciones!A36)),"",Relaciones!A36),"")</f>
        <v>M3-P1</v>
      </c>
      <c r="B34" s="89" t="str">
        <f>IFERROR(IF(A34="","",Relaciones!D36),"")</f>
        <v>M5-P3</v>
      </c>
      <c r="C34" s="73" t="str">
        <f>IFERROR(IF(A34="","",Relaciones!G36),"")</f>
        <v>Habilitadora</v>
      </c>
      <c r="D34" s="74" t="str">
        <f>IFERROR(IF(A34="","",Relaciones!H36),"")</f>
        <v>Media</v>
      </c>
      <c r="E34" s="74">
        <f>IFERROR(IF(A34="","",Relaciones!I36),"")</f>
        <v>3</v>
      </c>
    </row>
    <row r="35" ht="18.0" customHeight="1">
      <c r="A35" s="90" t="str">
        <f>IFERROR(IF(ISERROR(FIND("-P",Relaciones!A37)),"",Relaciones!A37),"")</f>
        <v>M3-P2</v>
      </c>
      <c r="B35" s="90" t="str">
        <f>IFERROR(IF(A35="","",Relaciones!D37),"")</f>
        <v>M5-P4</v>
      </c>
      <c r="C35" s="70" t="str">
        <f>IFERROR(IF(A35="","",Relaciones!G37),"")</f>
        <v>Habilitadora</v>
      </c>
      <c r="D35" s="71" t="str">
        <f>IFERROR(IF(A35="","",Relaciones!H37),"")</f>
        <v>Alta</v>
      </c>
      <c r="E35" s="71">
        <f>IFERROR(IF(A35="","",Relaciones!I37),"")</f>
        <v>5</v>
      </c>
    </row>
    <row r="36" ht="18.0" customHeight="1">
      <c r="A36" s="89" t="str">
        <f>IFERROR(IF(ISERROR(FIND("-P",Relaciones!A38)),"",Relaciones!A38),"")</f>
        <v>M3-P2</v>
      </c>
      <c r="B36" s="89" t="str">
        <f>IFERROR(IF(A36="","",Relaciones!D38),"")</f>
        <v>M4-P2</v>
      </c>
      <c r="C36" s="73" t="str">
        <f>IFERROR(IF(A36="","",Relaciones!G38),"")</f>
        <v>Habilitadora</v>
      </c>
      <c r="D36" s="74" t="str">
        <f>IFERROR(IF(A36="","",Relaciones!H38),"")</f>
        <v>Media</v>
      </c>
      <c r="E36" s="74">
        <f>IFERROR(IF(A36="","",Relaciones!I38),"")</f>
        <v>3</v>
      </c>
    </row>
    <row r="37" ht="18.0" customHeight="1">
      <c r="A37" s="90" t="str">
        <f>IFERROR(IF(ISERROR(FIND("-P",Relaciones!A39)),"",Relaciones!A39),"")</f>
        <v>M3-P2</v>
      </c>
      <c r="B37" s="90" t="str">
        <f>IFERROR(IF(A37="","",Relaciones!D39),"")</f>
        <v>M4-P1</v>
      </c>
      <c r="C37" s="70" t="str">
        <f>IFERROR(IF(A37="","",Relaciones!G39),"")</f>
        <v>Habilitadora</v>
      </c>
      <c r="D37" s="71" t="str">
        <f>IFERROR(IF(A37="","",Relaciones!H39),"")</f>
        <v>Media</v>
      </c>
      <c r="E37" s="71">
        <f>IFERROR(IF(A37="","",Relaciones!I39),"")</f>
        <v>3</v>
      </c>
    </row>
    <row r="38" ht="18.0" customHeight="1">
      <c r="A38" s="89" t="str">
        <f>IFERROR(IF(ISERROR(FIND("-P",Relaciones!A40)),"",Relaciones!A40),"")</f>
        <v>M3-P2</v>
      </c>
      <c r="B38" s="89" t="str">
        <f>IFERROR(IF(A38="","",Relaciones!D40),"")</f>
        <v>M1-P2</v>
      </c>
      <c r="C38" s="73" t="str">
        <f>IFERROR(IF(A38="","",Relaciones!G40),"")</f>
        <v>Complementariedad</v>
      </c>
      <c r="D38" s="74" t="str">
        <f>IFERROR(IF(A38="","",Relaciones!H40),"")</f>
        <v>Alta</v>
      </c>
      <c r="E38" s="74">
        <f>IFERROR(IF(A38="","",Relaciones!I40),"")</f>
        <v>5</v>
      </c>
    </row>
    <row r="39" ht="18.0" customHeight="1">
      <c r="A39" s="90" t="str">
        <f>IFERROR(IF(ISERROR(FIND("-P",Relaciones!A41)),"",Relaciones!A41),"")</f>
        <v>M3-P3</v>
      </c>
      <c r="B39" s="90" t="str">
        <f>IFERROR(IF(A39="","",Relaciones!D41),"")</f>
        <v>M2-P1</v>
      </c>
      <c r="C39" s="70" t="str">
        <f>IFERROR(IF(A39="","",Relaciones!G41),"")</f>
        <v>Complementariedad</v>
      </c>
      <c r="D39" s="71" t="str">
        <f>IFERROR(IF(A39="","",Relaciones!H41),"")</f>
        <v>Media</v>
      </c>
      <c r="E39" s="71">
        <f>IFERROR(IF(A39="","",Relaciones!I41),"")</f>
        <v>3</v>
      </c>
    </row>
    <row r="40" ht="18.0" customHeight="1">
      <c r="A40" s="89" t="str">
        <f>IFERROR(IF(ISERROR(FIND("-P",Relaciones!A42)),"",Relaciones!A42),"")</f>
        <v>M4-P1</v>
      </c>
      <c r="B40" s="89" t="str">
        <f>IFERROR(IF(A40="","",Relaciones!D42),"")</f>
        <v>M1-P3</v>
      </c>
      <c r="C40" s="73" t="str">
        <f>IFERROR(IF(A40="","",Relaciones!G42),"")</f>
        <v>Habilitadora</v>
      </c>
      <c r="D40" s="74" t="str">
        <f>IFERROR(IF(A40="","",Relaciones!H42),"")</f>
        <v>Alta</v>
      </c>
      <c r="E40" s="74">
        <f>IFERROR(IF(A40="","",Relaciones!I42),"")</f>
        <v>5</v>
      </c>
    </row>
    <row r="41" ht="18.0" customHeight="1">
      <c r="A41" s="90" t="str">
        <f>IFERROR(IF(ISERROR(FIND("-P",Relaciones!A43)),"",Relaciones!A43),"")</f>
        <v>M4-P1</v>
      </c>
      <c r="B41" s="90" t="str">
        <f>IFERROR(IF(A41="","",Relaciones!D43),"")</f>
        <v>M4-P2</v>
      </c>
      <c r="C41" s="70" t="str">
        <f>IFERROR(IF(A41="","",Relaciones!G43),"")</f>
        <v>Complementariedad</v>
      </c>
      <c r="D41" s="71" t="str">
        <f>IFERROR(IF(A41="","",Relaciones!H43),"")</f>
        <v>Alta</v>
      </c>
      <c r="E41" s="71">
        <f>IFERROR(IF(A41="","",Relaciones!I43),"")</f>
        <v>5</v>
      </c>
    </row>
    <row r="42" ht="18.0" customHeight="1">
      <c r="A42" s="89" t="str">
        <f>IFERROR(IF(ISERROR(FIND("-P",Relaciones!A44)),"",Relaciones!A44),"")</f>
        <v>M4-P2</v>
      </c>
      <c r="B42" s="89" t="str">
        <f>IFERROR(IF(A42="","",Relaciones!D44),"")</f>
        <v>M1-P3</v>
      </c>
      <c r="C42" s="73" t="str">
        <f>IFERROR(IF(A42="","",Relaciones!G44),"")</f>
        <v>Habilitadora</v>
      </c>
      <c r="D42" s="74" t="str">
        <f>IFERROR(IF(A42="","",Relaciones!H44),"")</f>
        <v>Media</v>
      </c>
      <c r="E42" s="74">
        <f>IFERROR(IF(A42="","",Relaciones!I44),"")</f>
        <v>3</v>
      </c>
    </row>
    <row r="43" ht="18.0" customHeight="1">
      <c r="A43" s="90" t="str">
        <f>IFERROR(IF(ISERROR(FIND("-P",Relaciones!A45)),"",Relaciones!A45),"")</f>
        <v>M4-P2</v>
      </c>
      <c r="B43" s="90" t="str">
        <f>IFERROR(IF(A43="","",Relaciones!D45),"")</f>
        <v>M5-P4</v>
      </c>
      <c r="C43" s="70" t="str">
        <f>IFERROR(IF(A43="","",Relaciones!G45),"")</f>
        <v>Complementariedad</v>
      </c>
      <c r="D43" s="71" t="str">
        <f>IFERROR(IF(A43="","",Relaciones!H45),"")</f>
        <v>Alta</v>
      </c>
      <c r="E43" s="71">
        <f>IFERROR(IF(A43="","",Relaciones!I45),"")</f>
        <v>5</v>
      </c>
    </row>
    <row r="44" ht="18.0" customHeight="1">
      <c r="A44" s="89" t="str">
        <f>IFERROR(IF(ISERROR(FIND("-P",Relaciones!A46)),"",Relaciones!A46),"")</f>
        <v>M5-P1</v>
      </c>
      <c r="B44" s="89" t="str">
        <f>IFERROR(IF(A44="","",Relaciones!D46),"")</f>
        <v>M5-P2</v>
      </c>
      <c r="C44" s="73" t="str">
        <f>IFERROR(IF(A44="","",Relaciones!G46),"")</f>
        <v>Habilitadora</v>
      </c>
      <c r="D44" s="74" t="str">
        <f>IFERROR(IF(A44="","",Relaciones!H46),"")</f>
        <v>Alta</v>
      </c>
      <c r="E44" s="74">
        <f>IFERROR(IF(A44="","",Relaciones!I46),"")</f>
        <v>5</v>
      </c>
    </row>
    <row r="45" ht="18.0" customHeight="1">
      <c r="A45" s="90" t="str">
        <f>IFERROR(IF(ISERROR(FIND("-P",Relaciones!A47)),"",Relaciones!A47),"")</f>
        <v>M5-P1</v>
      </c>
      <c r="B45" s="90" t="str">
        <f>IFERROR(IF(A45="","",Relaciones!D47),"")</f>
        <v>M5-P3</v>
      </c>
      <c r="C45" s="70" t="str">
        <f>IFERROR(IF(A45="","",Relaciones!G47),"")</f>
        <v>Habilitadora</v>
      </c>
      <c r="D45" s="71" t="str">
        <f>IFERROR(IF(A45="","",Relaciones!H47),"")</f>
        <v>Alta</v>
      </c>
      <c r="E45" s="71">
        <f>IFERROR(IF(A45="","",Relaciones!I47),"")</f>
        <v>5</v>
      </c>
    </row>
    <row r="46" ht="18.0" customHeight="1">
      <c r="A46" s="89" t="str">
        <f>IFERROR(IF(ISERROR(FIND("-P",Relaciones!A48)),"",Relaciones!A48),"")</f>
        <v>M5-P1</v>
      </c>
      <c r="B46" s="89" t="str">
        <f>IFERROR(IF(A46="","",Relaciones!D48),"")</f>
        <v>M1-P2</v>
      </c>
      <c r="C46" s="73" t="str">
        <f>IFERROR(IF(A46="","",Relaciones!G48),"")</f>
        <v>Habilitadora</v>
      </c>
      <c r="D46" s="74" t="str">
        <f>IFERROR(IF(A46="","",Relaciones!H48),"")</f>
        <v>Media</v>
      </c>
      <c r="E46" s="74">
        <f>IFERROR(IF(A46="","",Relaciones!I48),"")</f>
        <v>3</v>
      </c>
    </row>
    <row r="47" ht="18.0" customHeight="1">
      <c r="A47" s="90" t="str">
        <f>IFERROR(IF(ISERROR(FIND("-P",Relaciones!A49)),"",Relaciones!A49),"")</f>
        <v>M5-P1</v>
      </c>
      <c r="B47" s="90" t="str">
        <f>IFERROR(IF(A47="","",Relaciones!D49),"")</f>
        <v>M1-P3</v>
      </c>
      <c r="C47" s="70" t="str">
        <f>IFERROR(IF(A47="","",Relaciones!G49),"")</f>
        <v>Habilitadora</v>
      </c>
      <c r="D47" s="71" t="str">
        <f>IFERROR(IF(A47="","",Relaciones!H49),"")</f>
        <v>Media</v>
      </c>
      <c r="E47" s="71">
        <f>IFERROR(IF(A47="","",Relaciones!I49),"")</f>
        <v>3</v>
      </c>
    </row>
    <row r="48" ht="18.0" customHeight="1">
      <c r="A48" s="89" t="str">
        <f>IFERROR(IF(ISERROR(FIND("-P",Relaciones!A50)),"",Relaciones!A50),"")</f>
        <v>M5-P1</v>
      </c>
      <c r="B48" s="89" t="str">
        <f>IFERROR(IF(A48="","",Relaciones!D50),"")</f>
        <v>M3-P3</v>
      </c>
      <c r="C48" s="73" t="str">
        <f>IFERROR(IF(A48="","",Relaciones!G50),"")</f>
        <v>Habilitadora</v>
      </c>
      <c r="D48" s="74" t="str">
        <f>IFERROR(IF(A48="","",Relaciones!H50),"")</f>
        <v>Media</v>
      </c>
      <c r="E48" s="74">
        <f>IFERROR(IF(A48="","",Relaciones!I50),"")</f>
        <v>3</v>
      </c>
    </row>
    <row r="49" ht="18.0" customHeight="1">
      <c r="A49" s="90" t="str">
        <f>IFERROR(IF(ISERROR(FIND("-P",Relaciones!A51)),"",Relaciones!A51),"")</f>
        <v>M5-P2</v>
      </c>
      <c r="B49" s="90" t="str">
        <f>IFERROR(IF(A49="","",Relaciones!D51),"")</f>
        <v>M5-P3</v>
      </c>
      <c r="C49" s="70" t="str">
        <f>IFERROR(IF(A49="","",Relaciones!G51),"")</f>
        <v>Habilitadora</v>
      </c>
      <c r="D49" s="71" t="str">
        <f>IFERROR(IF(A49="","",Relaciones!H51),"")</f>
        <v>Alta</v>
      </c>
      <c r="E49" s="71">
        <f>IFERROR(IF(A49="","",Relaciones!I51),"")</f>
        <v>5</v>
      </c>
    </row>
    <row r="50" ht="18.0" customHeight="1">
      <c r="A50" s="89" t="str">
        <f>IFERROR(IF(ISERROR(FIND("-P",Relaciones!A52)),"",Relaciones!A52),"")</f>
        <v>M5-P3</v>
      </c>
      <c r="B50" s="89" t="str">
        <f>IFERROR(IF(A50="","",Relaciones!D52),"")</f>
        <v>M5-P4</v>
      </c>
      <c r="C50" s="73" t="str">
        <f>IFERROR(IF(A50="","",Relaciones!G52),"")</f>
        <v>Habilitadora</v>
      </c>
      <c r="D50" s="74" t="str">
        <f>IFERROR(IF(A50="","",Relaciones!H52),"")</f>
        <v>Alta</v>
      </c>
      <c r="E50" s="74">
        <f>IFERROR(IF(A50="","",Relaciones!I52),"")</f>
        <v>5</v>
      </c>
    </row>
    <row r="51" ht="18.0" customHeight="1">
      <c r="A51" s="90" t="str">
        <f>IFERROR(IF(ISERROR(FIND("-P",Relaciones!A53)),"",Relaciones!A53),"")</f>
        <v>M5-P3</v>
      </c>
      <c r="B51" s="90" t="str">
        <f>IFERROR(IF(A51="","",Relaciones!D53),"")</f>
        <v>M1-P1</v>
      </c>
      <c r="C51" s="70" t="str">
        <f>IFERROR(IF(A51="","",Relaciones!G53),"")</f>
        <v>Habilitadora</v>
      </c>
      <c r="D51" s="71" t="str">
        <f>IFERROR(IF(A51="","",Relaciones!H53),"")</f>
        <v>Alta</v>
      </c>
      <c r="E51" s="71">
        <f>IFERROR(IF(A51="","",Relaciones!I53),"")</f>
        <v>5</v>
      </c>
    </row>
    <row r="52" ht="18.0" customHeight="1">
      <c r="A52" s="89" t="str">
        <f>IFERROR(IF(ISERROR(FIND("-P",Relaciones!A54)),"",Relaciones!A54),"")</f>
        <v>M5-P3</v>
      </c>
      <c r="B52" s="89" t="str">
        <f>IFERROR(IF(A52="","",Relaciones!D54),"")</f>
        <v>M1-P4</v>
      </c>
      <c r="C52" s="73" t="str">
        <f>IFERROR(IF(A52="","",Relaciones!G54),"")</f>
        <v>Habilitadora</v>
      </c>
      <c r="D52" s="74" t="str">
        <f>IFERROR(IF(A52="","",Relaciones!H54),"")</f>
        <v>Alta</v>
      </c>
      <c r="E52" s="74">
        <f>IFERROR(IF(A52="","",Relaciones!I54),"")</f>
        <v>5</v>
      </c>
    </row>
    <row r="53" ht="18.0" customHeight="1">
      <c r="A53" s="90" t="str">
        <f>IFERROR(IF(ISERROR(FIND("-P",Relaciones!A55)),"",Relaciones!A55),"")</f>
        <v>M5-P3</v>
      </c>
      <c r="B53" s="90" t="str">
        <f>IFERROR(IF(A53="","",Relaciones!D55),"")</f>
        <v>M2-P1</v>
      </c>
      <c r="C53" s="70" t="str">
        <f>IFERROR(IF(A53="","",Relaciones!G55),"")</f>
        <v>Habilitadora</v>
      </c>
      <c r="D53" s="71" t="str">
        <f>IFERROR(IF(A53="","",Relaciones!H55),"")</f>
        <v>Alta</v>
      </c>
      <c r="E53" s="71">
        <f>IFERROR(IF(A53="","",Relaciones!I55),"")</f>
        <v>5</v>
      </c>
    </row>
    <row r="54" ht="18.0" customHeight="1">
      <c r="A54" s="89" t="str">
        <f>IFERROR(IF(ISERROR(FIND("-P",Relaciones!A56)),"",Relaciones!A56),"")</f>
        <v>M5-P3</v>
      </c>
      <c r="B54" s="89" t="str">
        <f>IFERROR(IF(A54="","",Relaciones!D56),"")</f>
        <v>M2-P2</v>
      </c>
      <c r="C54" s="73" t="str">
        <f>IFERROR(IF(A54="","",Relaciones!G56),"")</f>
        <v>Habilitadora</v>
      </c>
      <c r="D54" s="74" t="str">
        <f>IFERROR(IF(A54="","",Relaciones!H56),"")</f>
        <v>Media</v>
      </c>
      <c r="E54" s="74">
        <f>IFERROR(IF(A54="","",Relaciones!I56),"")</f>
        <v>3</v>
      </c>
    </row>
    <row r="55" ht="18.0" customHeight="1">
      <c r="A55" s="90" t="str">
        <f>IFERROR(IF(ISERROR(FIND("-P",Relaciones!A57)),"",Relaciones!A57),"")</f>
        <v>M5-P3</v>
      </c>
      <c r="B55" s="90" t="str">
        <f>IFERROR(IF(A55="","",Relaciones!D57),"")</f>
        <v>M2-P3</v>
      </c>
      <c r="C55" s="70" t="str">
        <f>IFERROR(IF(A55="","",Relaciones!G57),"")</f>
        <v>Habilitadora</v>
      </c>
      <c r="D55" s="71" t="str">
        <f>IFERROR(IF(A55="","",Relaciones!H57),"")</f>
        <v>Media</v>
      </c>
      <c r="E55" s="71">
        <f>IFERROR(IF(A55="","",Relaciones!I57),"")</f>
        <v>3</v>
      </c>
    </row>
    <row r="56" ht="18.0" customHeight="1">
      <c r="A56" s="89" t="str">
        <f>IFERROR(IF(ISERROR(FIND("-P",Relaciones!A58)),"",Relaciones!A58),"")</f>
        <v>M5-P4</v>
      </c>
      <c r="B56" s="89" t="str">
        <f>IFERROR(IF(A56="","",Relaciones!D58),"")</f>
        <v>M3-P2</v>
      </c>
      <c r="C56" s="73" t="str">
        <f>IFERROR(IF(A56="","",Relaciones!G58),"")</f>
        <v>Complementariedad</v>
      </c>
      <c r="D56" s="74" t="str">
        <f>IFERROR(IF(A56="","",Relaciones!H58),"")</f>
        <v>Media</v>
      </c>
      <c r="E56" s="74">
        <f>IFERROR(IF(A56="","",Relaciones!I58),"")</f>
        <v>3</v>
      </c>
    </row>
    <row r="57" ht="18.0" customHeight="1">
      <c r="A57" s="90" t="str">
        <f>IFERROR(IF(ISERROR(FIND("-P",Relaciones!A59)),"",Relaciones!A59),"")</f>
        <v>M5-P4</v>
      </c>
      <c r="B57" s="90" t="str">
        <f>IFERROR(IF(A57="","",Relaciones!D59),"")</f>
        <v>M4-P2</v>
      </c>
      <c r="C57" s="70" t="str">
        <f>IFERROR(IF(A57="","",Relaciones!G59),"")</f>
        <v>Habilitadora</v>
      </c>
      <c r="D57" s="71" t="str">
        <f>IFERROR(IF(A57="","",Relaciones!H59),"")</f>
        <v>Alta</v>
      </c>
      <c r="E57" s="71">
        <f>IFERROR(IF(A57="","",Relaciones!I59),"")</f>
        <v>5</v>
      </c>
    </row>
    <row r="58" ht="18.0" customHeight="1">
      <c r="A58" s="89" t="str">
        <f>IFERROR(IF(ISERROR(FIND("-P",Relaciones!A60)),"",Relaciones!A60),"")</f>
        <v>M5-P4</v>
      </c>
      <c r="B58" s="89" t="str">
        <f>IFERROR(IF(A58="","",Relaciones!D60),"")</f>
        <v>M1-P2</v>
      </c>
      <c r="C58" s="73" t="str">
        <f>IFERROR(IF(A58="","",Relaciones!G60),"")</f>
        <v>Habilitadora</v>
      </c>
      <c r="D58" s="74" t="str">
        <f>IFERROR(IF(A58="","",Relaciones!H60),"")</f>
        <v>Media</v>
      </c>
      <c r="E58" s="74">
        <f>IFERROR(IF(A58="","",Relaciones!I60),"")</f>
        <v>3</v>
      </c>
    </row>
    <row r="59" ht="18.0" customHeight="1">
      <c r="A59" s="90" t="str">
        <f>IFERROR(IF(ISERROR(FIND("-P",Relaciones!A61)),"",Relaciones!A61),"")</f>
        <v>M5-P4</v>
      </c>
      <c r="B59" s="90" t="str">
        <f>IFERROR(IF(A59="","",Relaciones!D61),"")</f>
        <v>M3-P1</v>
      </c>
      <c r="C59" s="70" t="str">
        <f>IFERROR(IF(A59="","",Relaciones!G61),"")</f>
        <v>Habilitadora</v>
      </c>
      <c r="D59" s="71" t="str">
        <f>IFERROR(IF(A59="","",Relaciones!H61),"")</f>
        <v>Media</v>
      </c>
      <c r="E59" s="71">
        <f>IFERROR(IF(A59="","",Relaciones!I61),"")</f>
        <v>3</v>
      </c>
    </row>
    <row r="60" ht="18.0" customHeight="1">
      <c r="A60" s="89" t="str">
        <f>IFERROR(IF(ISERROR(FIND("-P",Relaciones!A62)),"",Relaciones!A62),"")</f>
        <v/>
      </c>
      <c r="B60" s="89" t="str">
        <f>IFERROR(IF(A60="","",Relaciones!D62),"")</f>
        <v/>
      </c>
      <c r="C60" s="73" t="str">
        <f>IFERROR(IF(A60="","",Relaciones!G62),"")</f>
        <v/>
      </c>
      <c r="D60" s="74" t="str">
        <f>IFERROR(IF(A60="","",Relaciones!H62),"")</f>
        <v/>
      </c>
      <c r="E60" s="74" t="str">
        <f>IFERROR(IF(A60="","",Relaciones!I62),"")</f>
        <v/>
      </c>
    </row>
    <row r="61" ht="18.0" customHeight="1">
      <c r="A61" s="90" t="str">
        <f>IFERROR(IF(ISERROR(FIND("-P",Relaciones!A63)),"",Relaciones!A63),"")</f>
        <v/>
      </c>
      <c r="B61" s="90" t="str">
        <f>IFERROR(IF(A61="","",Relaciones!D63),"")</f>
        <v/>
      </c>
      <c r="C61" s="70" t="str">
        <f>IFERROR(IF(A61="","",Relaciones!G63),"")</f>
        <v/>
      </c>
      <c r="D61" s="71" t="str">
        <f>IFERROR(IF(A61="","",Relaciones!H63),"")</f>
        <v/>
      </c>
      <c r="E61" s="71" t="str">
        <f>IFERROR(IF(A61="","",Relaciones!I63),"")</f>
        <v/>
      </c>
    </row>
    <row r="62" ht="18.0" customHeight="1">
      <c r="A62" s="89" t="str">
        <f>IFERROR(IF(ISERROR(FIND("-P",Relaciones!A64)),"",Relaciones!A64),"")</f>
        <v/>
      </c>
      <c r="B62" s="89" t="str">
        <f>IFERROR(IF(A62="","",Relaciones!D64),"")</f>
        <v/>
      </c>
      <c r="C62" s="73" t="str">
        <f>IFERROR(IF(A62="","",Relaciones!G64),"")</f>
        <v/>
      </c>
      <c r="D62" s="74" t="str">
        <f>IFERROR(IF(A62="","",Relaciones!H64),"")</f>
        <v/>
      </c>
      <c r="E62" s="74" t="str">
        <f>IFERROR(IF(A62="","",Relaciones!I64),"")</f>
        <v/>
      </c>
    </row>
    <row r="63" ht="18.0" customHeight="1">
      <c r="A63" s="90" t="str">
        <f>IFERROR(IF(ISERROR(FIND("-P",Relaciones!A65)),"",Relaciones!A65),"")</f>
        <v/>
      </c>
      <c r="B63" s="90" t="str">
        <f>IFERROR(IF(A63="","",Relaciones!D65),"")</f>
        <v/>
      </c>
      <c r="C63" s="70" t="str">
        <f>IFERROR(IF(A63="","",Relaciones!G65),"")</f>
        <v/>
      </c>
      <c r="D63" s="71" t="str">
        <f>IFERROR(IF(A63="","",Relaciones!H65),"")</f>
        <v/>
      </c>
      <c r="E63" s="71" t="str">
        <f>IFERROR(IF(A63="","",Relaciones!I65),"")</f>
        <v/>
      </c>
    </row>
    <row r="64" ht="18.0" customHeight="1">
      <c r="A64" s="89" t="str">
        <f>IFERROR(IF(ISERROR(FIND("-P",Relaciones!A66)),"",Relaciones!A66),"")</f>
        <v/>
      </c>
      <c r="B64" s="89" t="str">
        <f>IFERROR(IF(A64="","",Relaciones!D66),"")</f>
        <v/>
      </c>
      <c r="C64" s="73" t="str">
        <f>IFERROR(IF(A64="","",Relaciones!G66),"")</f>
        <v/>
      </c>
      <c r="D64" s="74" t="str">
        <f>IFERROR(IF(A64="","",Relaciones!H66),"")</f>
        <v/>
      </c>
      <c r="E64" s="74" t="str">
        <f>IFERROR(IF(A64="","",Relaciones!I66),"")</f>
        <v/>
      </c>
    </row>
    <row r="65" ht="18.0" customHeight="1">
      <c r="A65" s="90" t="str">
        <f t="shared" ref="A65:A66" si="1">IFERROR(IF(ISERROR(FIND("-P",#REF!)),"",#REF!),"")</f>
        <v/>
      </c>
      <c r="B65" s="90" t="str">
        <f t="shared" ref="B65:B66" si="2">IFERROR(IF(A65="","",#REF!),"")</f>
        <v/>
      </c>
      <c r="C65" s="70" t="str">
        <f t="shared" ref="C65:C66" si="3">IFERROR(IF(A65="","",#REF!),"")</f>
        <v/>
      </c>
      <c r="D65" s="71" t="str">
        <f t="shared" ref="D65:D66" si="4">IFERROR(IF(A65="","",#REF!),"")</f>
        <v/>
      </c>
      <c r="E65" s="71" t="str">
        <f t="shared" ref="E65:E66" si="5">IFERROR(IF(A65="","",#REF!),"")</f>
        <v/>
      </c>
    </row>
    <row r="66" ht="18.0" customHeight="1">
      <c r="A66" s="89" t="str">
        <f t="shared" si="1"/>
        <v/>
      </c>
      <c r="B66" s="89" t="str">
        <f t="shared" si="2"/>
        <v/>
      </c>
      <c r="C66" s="73" t="str">
        <f t="shared" si="3"/>
        <v/>
      </c>
      <c r="D66" s="74" t="str">
        <f t="shared" si="4"/>
        <v/>
      </c>
      <c r="E66" s="74" t="str">
        <f t="shared" si="5"/>
        <v/>
      </c>
    </row>
    <row r="67" ht="18.0" customHeight="1">
      <c r="A67" s="90" t="str">
        <f>IFERROR(IF(ISERROR(FIND("-P",Relaciones!A68)),"",Relaciones!A68),"")</f>
        <v/>
      </c>
      <c r="B67" s="90" t="str">
        <f>IFERROR(IF(A67="","",Relaciones!D68),"")</f>
        <v/>
      </c>
      <c r="C67" s="70" t="str">
        <f>IFERROR(IF(A67="","",Relaciones!G68),"")</f>
        <v/>
      </c>
      <c r="D67" s="71" t="str">
        <f>IFERROR(IF(A67="","",Relaciones!H68),"")</f>
        <v/>
      </c>
      <c r="E67" s="71" t="str">
        <f>IFERROR(IF(A67="","",Relaciones!I68),"")</f>
        <v/>
      </c>
    </row>
    <row r="68" ht="18.0" customHeight="1">
      <c r="A68" s="89" t="str">
        <f>IFERROR(IF(ISERROR(FIND("-P",Relaciones!A69)),"",Relaciones!A69),"")</f>
        <v/>
      </c>
      <c r="B68" s="89" t="str">
        <f>IFERROR(IF(A68="","",Relaciones!D69),"")</f>
        <v/>
      </c>
      <c r="C68" s="73" t="str">
        <f>IFERROR(IF(A68="","",Relaciones!G69),"")</f>
        <v/>
      </c>
      <c r="D68" s="74" t="str">
        <f>IFERROR(IF(A68="","",Relaciones!H69),"")</f>
        <v/>
      </c>
      <c r="E68" s="74" t="str">
        <f>IFERROR(IF(A68="","",Relaciones!I69),"")</f>
        <v/>
      </c>
    </row>
    <row r="69" ht="18.0" customHeight="1">
      <c r="A69" s="90" t="str">
        <f>IFERROR(IF(ISERROR(FIND("-P",Relaciones!A70)),"",Relaciones!A70),"")</f>
        <v/>
      </c>
      <c r="B69" s="90" t="str">
        <f>IFERROR(IF(A69="","",Relaciones!D70),"")</f>
        <v/>
      </c>
      <c r="C69" s="70" t="str">
        <f>IFERROR(IF(A69="","",Relaciones!G70),"")</f>
        <v/>
      </c>
      <c r="D69" s="71" t="str">
        <f>IFERROR(IF(A69="","",Relaciones!H70),"")</f>
        <v/>
      </c>
      <c r="E69" s="71" t="str">
        <f>IFERROR(IF(A69="","",Relaciones!I70),"")</f>
        <v/>
      </c>
    </row>
    <row r="70" ht="18.0" customHeight="1">
      <c r="A70" s="89" t="str">
        <f>IFERROR(IF(ISERROR(FIND("-P",Relaciones!A71)),"",Relaciones!A71),"")</f>
        <v/>
      </c>
      <c r="B70" s="89" t="str">
        <f>IFERROR(IF(A70="","",Relaciones!D71),"")</f>
        <v/>
      </c>
      <c r="C70" s="73" t="str">
        <f>IFERROR(IF(A70="","",Relaciones!G71),"")</f>
        <v/>
      </c>
      <c r="D70" s="74" t="str">
        <f>IFERROR(IF(A70="","",Relaciones!H71),"")</f>
        <v/>
      </c>
      <c r="E70" s="74" t="str">
        <f>IFERROR(IF(A70="","",Relaciones!I71),"")</f>
        <v/>
      </c>
    </row>
    <row r="71" ht="18.0" customHeight="1">
      <c r="A71" s="90" t="str">
        <f>IFERROR(IF(ISERROR(FIND("-P",Relaciones!A72)),"",Relaciones!A72),"")</f>
        <v/>
      </c>
      <c r="B71" s="90" t="str">
        <f>IFERROR(IF(A71="","",Relaciones!D72),"")</f>
        <v/>
      </c>
      <c r="C71" s="70" t="str">
        <f>IFERROR(IF(A71="","",Relaciones!G72),"")</f>
        <v/>
      </c>
      <c r="D71" s="71" t="str">
        <f>IFERROR(IF(A71="","",Relaciones!H72),"")</f>
        <v/>
      </c>
      <c r="E71" s="71" t="str">
        <f>IFERROR(IF(A71="","",Relaciones!I72),"")</f>
        <v/>
      </c>
    </row>
    <row r="72" ht="18.0" customHeight="1">
      <c r="A72" s="89" t="str">
        <f>IFERROR(IF(ISERROR(FIND("-P",Relaciones!A73)),"",Relaciones!A73),"")</f>
        <v/>
      </c>
      <c r="B72" s="89" t="str">
        <f>IFERROR(IF(A72="","",Relaciones!D73),"")</f>
        <v/>
      </c>
      <c r="C72" s="73" t="str">
        <f>IFERROR(IF(A72="","",Relaciones!G73),"")</f>
        <v/>
      </c>
      <c r="D72" s="74" t="str">
        <f>IFERROR(IF(A72="","",Relaciones!H73),"")</f>
        <v/>
      </c>
      <c r="E72" s="74" t="str">
        <f>IFERROR(IF(A72="","",Relaciones!I73),"")</f>
        <v/>
      </c>
    </row>
    <row r="73" ht="18.0" customHeight="1">
      <c r="A73" s="90" t="str">
        <f>IFERROR(IF(ISERROR(FIND("-P",Relaciones!A74)),"",Relaciones!A74),"")</f>
        <v/>
      </c>
      <c r="B73" s="90" t="str">
        <f>IFERROR(IF(A73="","",Relaciones!D74),"")</f>
        <v/>
      </c>
      <c r="C73" s="70" t="str">
        <f>IFERROR(IF(A73="","",Relaciones!G74),"")</f>
        <v/>
      </c>
      <c r="D73" s="71" t="str">
        <f>IFERROR(IF(A73="","",Relaciones!H74),"")</f>
        <v/>
      </c>
      <c r="E73" s="71" t="str">
        <f>IFERROR(IF(A73="","",Relaciones!I74),"")</f>
        <v/>
      </c>
    </row>
    <row r="74" ht="18.0" customHeight="1">
      <c r="A74" s="89" t="str">
        <f>IFERROR(IF(ISERROR(FIND("-P",Relaciones!A75)),"",Relaciones!A75),"")</f>
        <v/>
      </c>
      <c r="B74" s="89" t="str">
        <f>IFERROR(IF(A74="","",Relaciones!D75),"")</f>
        <v/>
      </c>
      <c r="C74" s="73" t="str">
        <f>IFERROR(IF(A74="","",Relaciones!G75),"")</f>
        <v/>
      </c>
      <c r="D74" s="74" t="str">
        <f>IFERROR(IF(A74="","",Relaciones!H75),"")</f>
        <v/>
      </c>
      <c r="E74" s="74" t="str">
        <f>IFERROR(IF(A74="","",Relaciones!I75),"")</f>
        <v/>
      </c>
    </row>
    <row r="75" ht="18.0" customHeight="1">
      <c r="A75" s="90" t="str">
        <f>IFERROR(IF(ISERROR(FIND("-P",Relaciones!A76)),"",Relaciones!A76),"")</f>
        <v/>
      </c>
      <c r="B75" s="90" t="str">
        <f>IFERROR(IF(A75="","",Relaciones!D76),"")</f>
        <v/>
      </c>
      <c r="C75" s="70" t="str">
        <f>IFERROR(IF(A75="","",Relaciones!G76),"")</f>
        <v/>
      </c>
      <c r="D75" s="71" t="str">
        <f>IFERROR(IF(A75="","",Relaciones!H76),"")</f>
        <v/>
      </c>
      <c r="E75" s="71" t="str">
        <f>IFERROR(IF(A75="","",Relaciones!I76),"")</f>
        <v/>
      </c>
    </row>
    <row r="76" ht="18.0" customHeight="1">
      <c r="A76" s="89" t="str">
        <f>IFERROR(IF(ISERROR(FIND("-P",Relaciones!A77)),"",Relaciones!A77),"")</f>
        <v/>
      </c>
      <c r="B76" s="89" t="str">
        <f>IFERROR(IF(A76="","",Relaciones!D77),"")</f>
        <v/>
      </c>
      <c r="C76" s="73" t="str">
        <f>IFERROR(IF(A76="","",Relaciones!G77),"")</f>
        <v/>
      </c>
      <c r="D76" s="74" t="str">
        <f>IFERROR(IF(A76="","",Relaciones!H77),"")</f>
        <v/>
      </c>
      <c r="E76" s="74" t="str">
        <f>IFERROR(IF(A76="","",Relaciones!I77),"")</f>
        <v/>
      </c>
    </row>
    <row r="77" ht="18.0" customHeight="1">
      <c r="A77" s="90" t="str">
        <f>IFERROR(IF(ISERROR(FIND("-P",Relaciones!A78)),"",Relaciones!A78),"")</f>
        <v/>
      </c>
      <c r="B77" s="90" t="str">
        <f>IFERROR(IF(A77="","",Relaciones!D78),"")</f>
        <v/>
      </c>
      <c r="C77" s="70" t="str">
        <f>IFERROR(IF(A77="","",Relaciones!G78),"")</f>
        <v/>
      </c>
      <c r="D77" s="71" t="str">
        <f>IFERROR(IF(A77="","",Relaciones!H78),"")</f>
        <v/>
      </c>
      <c r="E77" s="71" t="str">
        <f>IFERROR(IF(A77="","",Relaciones!I78),"")</f>
        <v/>
      </c>
    </row>
    <row r="78" ht="18.0" customHeight="1">
      <c r="A78" s="89" t="str">
        <f>IFERROR(IF(ISERROR(FIND("-P",Relaciones!A79)),"",Relaciones!A79),"")</f>
        <v/>
      </c>
      <c r="B78" s="89" t="str">
        <f>IFERROR(IF(A78="","",Relaciones!D79),"")</f>
        <v/>
      </c>
      <c r="C78" s="73" t="str">
        <f>IFERROR(IF(A78="","",Relaciones!G79),"")</f>
        <v/>
      </c>
      <c r="D78" s="74" t="str">
        <f>IFERROR(IF(A78="","",Relaciones!H79),"")</f>
        <v/>
      </c>
      <c r="E78" s="74" t="str">
        <f>IFERROR(IF(A78="","",Relaciones!I79),"")</f>
        <v/>
      </c>
    </row>
    <row r="79" ht="18.0" customHeight="1">
      <c r="A79" s="90" t="str">
        <f>IFERROR(IF(ISERROR(FIND("-P",Relaciones!A80)),"",Relaciones!A80),"")</f>
        <v/>
      </c>
      <c r="B79" s="90" t="str">
        <f>IFERROR(IF(A79="","",Relaciones!D80),"")</f>
        <v/>
      </c>
      <c r="C79" s="70" t="str">
        <f>IFERROR(IF(A79="","",Relaciones!G80),"")</f>
        <v/>
      </c>
      <c r="D79" s="71" t="str">
        <f>IFERROR(IF(A79="","",Relaciones!H80),"")</f>
        <v/>
      </c>
      <c r="E79" s="71" t="str">
        <f>IFERROR(IF(A79="","",Relaciones!I80),"")</f>
        <v/>
      </c>
    </row>
    <row r="80" ht="18.0" customHeight="1">
      <c r="A80" s="89" t="str">
        <f>IFERROR(IF(ISERROR(FIND("-P",Relaciones!A81)),"",Relaciones!A81),"")</f>
        <v/>
      </c>
      <c r="B80" s="89" t="str">
        <f>IFERROR(IF(A80="","",Relaciones!D81),"")</f>
        <v/>
      </c>
      <c r="C80" s="73" t="str">
        <f>IFERROR(IF(A80="","",Relaciones!G81),"")</f>
        <v/>
      </c>
      <c r="D80" s="74" t="str">
        <f>IFERROR(IF(A80="","",Relaciones!H81),"")</f>
        <v/>
      </c>
      <c r="E80" s="74" t="str">
        <f>IFERROR(IF(A80="","",Relaciones!I81),"")</f>
        <v/>
      </c>
    </row>
    <row r="81" ht="18.0" customHeight="1">
      <c r="A81" s="90" t="str">
        <f>IFERROR(IF(ISERROR(FIND("-P",Relaciones!A82)),"",Relaciones!A82),"")</f>
        <v/>
      </c>
      <c r="B81" s="90" t="str">
        <f>IFERROR(IF(A81="","",Relaciones!D82),"")</f>
        <v/>
      </c>
      <c r="C81" s="70" t="str">
        <f>IFERROR(IF(A81="","",Relaciones!G82),"")</f>
        <v/>
      </c>
      <c r="D81" s="71" t="str">
        <f>IFERROR(IF(A81="","",Relaciones!H82),"")</f>
        <v/>
      </c>
      <c r="E81" s="71" t="str">
        <f>IFERROR(IF(A81="","",Relaciones!I82),"")</f>
        <v/>
      </c>
    </row>
    <row r="82" ht="18.0" customHeight="1">
      <c r="A82" s="89" t="str">
        <f>IFERROR(IF(ISERROR(FIND("-P",Relaciones!A83)),"",Relaciones!A83),"")</f>
        <v/>
      </c>
      <c r="B82" s="89" t="str">
        <f>IFERROR(IF(A82="","",Relaciones!D83),"")</f>
        <v/>
      </c>
      <c r="C82" s="73" t="str">
        <f>IFERROR(IF(A82="","",Relaciones!G83),"")</f>
        <v/>
      </c>
      <c r="D82" s="74" t="str">
        <f>IFERROR(IF(A82="","",Relaciones!H83),"")</f>
        <v/>
      </c>
      <c r="E82" s="74" t="str">
        <f>IFERROR(IF(A82="","",Relaciones!I83),"")</f>
        <v/>
      </c>
    </row>
    <row r="83" ht="18.0" customHeight="1">
      <c r="A83" s="90" t="str">
        <f>IFERROR(IF(ISERROR(FIND("-P",Relaciones!A84)),"",Relaciones!A84),"")</f>
        <v/>
      </c>
      <c r="B83" s="90" t="str">
        <f>IFERROR(IF(A83="","",Relaciones!D84),"")</f>
        <v/>
      </c>
      <c r="C83" s="70" t="str">
        <f>IFERROR(IF(A83="","",Relaciones!G84),"")</f>
        <v/>
      </c>
      <c r="D83" s="71" t="str">
        <f>IFERROR(IF(A83="","",Relaciones!H84),"")</f>
        <v/>
      </c>
      <c r="E83" s="71" t="str">
        <f>IFERROR(IF(A83="","",Relaciones!I84),"")</f>
        <v/>
      </c>
    </row>
    <row r="84" ht="18.0" customHeight="1">
      <c r="A84" s="89" t="str">
        <f>IFERROR(IF(ISERROR(FIND("-P",Relaciones!A85)),"",Relaciones!A85),"")</f>
        <v/>
      </c>
      <c r="B84" s="89" t="str">
        <f>IFERROR(IF(A84="","",Relaciones!D85),"")</f>
        <v/>
      </c>
      <c r="C84" s="73" t="str">
        <f>IFERROR(IF(A84="","",Relaciones!G85),"")</f>
        <v/>
      </c>
      <c r="D84" s="74" t="str">
        <f>IFERROR(IF(A84="","",Relaciones!H85),"")</f>
        <v/>
      </c>
      <c r="E84" s="74" t="str">
        <f>IFERROR(IF(A84="","",Relaciones!I85),"")</f>
        <v/>
      </c>
    </row>
    <row r="85" ht="18.0" customHeight="1">
      <c r="A85" s="90" t="str">
        <f>IFERROR(IF(ISERROR(FIND("-P",Relaciones!A86)),"",Relaciones!A86),"")</f>
        <v/>
      </c>
      <c r="B85" s="90" t="str">
        <f>IFERROR(IF(A85="","",Relaciones!D86),"")</f>
        <v/>
      </c>
      <c r="C85" s="70" t="str">
        <f>IFERROR(IF(A85="","",Relaciones!G86),"")</f>
        <v/>
      </c>
      <c r="D85" s="71" t="str">
        <f>IFERROR(IF(A85="","",Relaciones!H86),"")</f>
        <v/>
      </c>
      <c r="E85" s="71" t="str">
        <f>IFERROR(IF(A85="","",Relaciones!I86),"")</f>
        <v/>
      </c>
    </row>
    <row r="86" ht="18.0" customHeight="1">
      <c r="A86" s="89" t="str">
        <f>IFERROR(IF(ISERROR(FIND("-P",Relaciones!A87)),"",Relaciones!A87),"")</f>
        <v/>
      </c>
      <c r="B86" s="89" t="str">
        <f>IFERROR(IF(A86="","",Relaciones!D87),"")</f>
        <v/>
      </c>
      <c r="C86" s="73" t="str">
        <f>IFERROR(IF(A86="","",Relaciones!G87),"")</f>
        <v/>
      </c>
      <c r="D86" s="74" t="str">
        <f>IFERROR(IF(A86="","",Relaciones!H87),"")</f>
        <v/>
      </c>
      <c r="E86" s="74" t="str">
        <f>IFERROR(IF(A86="","",Relaciones!I87),"")</f>
        <v/>
      </c>
    </row>
    <row r="87" ht="18.0" customHeight="1">
      <c r="A87" s="90" t="str">
        <f>IFERROR(IF(ISERROR(FIND("-P",Relaciones!A88)),"",Relaciones!A88),"")</f>
        <v/>
      </c>
      <c r="B87" s="90" t="str">
        <f>IFERROR(IF(A87="","",Relaciones!D88),"")</f>
        <v/>
      </c>
      <c r="C87" s="70" t="str">
        <f>IFERROR(IF(A87="","",Relaciones!G88),"")</f>
        <v/>
      </c>
      <c r="D87" s="71" t="str">
        <f>IFERROR(IF(A87="","",Relaciones!H88),"")</f>
        <v/>
      </c>
      <c r="E87" s="71" t="str">
        <f>IFERROR(IF(A87="","",Relaciones!I88),"")</f>
        <v/>
      </c>
    </row>
    <row r="88" ht="18.0" customHeight="1">
      <c r="A88" s="89" t="str">
        <f>IFERROR(IF(ISERROR(FIND("-P",Relaciones!A89)),"",Relaciones!A89),"")</f>
        <v/>
      </c>
      <c r="B88" s="89" t="str">
        <f>IFERROR(IF(A88="","",Relaciones!D89),"")</f>
        <v/>
      </c>
      <c r="C88" s="73" t="str">
        <f>IFERROR(IF(A88="","",Relaciones!G89),"")</f>
        <v/>
      </c>
      <c r="D88" s="74" t="str">
        <f>IFERROR(IF(A88="","",Relaciones!H89),"")</f>
        <v/>
      </c>
      <c r="E88" s="74" t="str">
        <f>IFERROR(IF(A88="","",Relaciones!I89),"")</f>
        <v/>
      </c>
    </row>
    <row r="89" ht="18.0" customHeight="1">
      <c r="A89" s="90" t="str">
        <f>IFERROR(IF(ISERROR(FIND("-P",Relaciones!A90)),"",Relaciones!A90),"")</f>
        <v/>
      </c>
      <c r="B89" s="90" t="str">
        <f>IFERROR(IF(A89="","",Relaciones!D90),"")</f>
        <v/>
      </c>
      <c r="C89" s="70" t="str">
        <f>IFERROR(IF(A89="","",Relaciones!G90),"")</f>
        <v/>
      </c>
      <c r="D89" s="71" t="str">
        <f>IFERROR(IF(A89="","",Relaciones!H90),"")</f>
        <v/>
      </c>
      <c r="E89" s="71" t="str">
        <f>IFERROR(IF(A89="","",Relaciones!I90),"")</f>
        <v/>
      </c>
    </row>
    <row r="90" ht="18.0" customHeight="1">
      <c r="A90" s="89" t="str">
        <f>IFERROR(IF(ISERROR(FIND("-P",Relaciones!A91)),"",Relaciones!A91),"")</f>
        <v/>
      </c>
      <c r="B90" s="89" t="str">
        <f>IFERROR(IF(A90="","",Relaciones!D91),"")</f>
        <v/>
      </c>
      <c r="C90" s="73" t="str">
        <f>IFERROR(IF(A90="","",Relaciones!G91),"")</f>
        <v/>
      </c>
      <c r="D90" s="74" t="str">
        <f>IFERROR(IF(A90="","",Relaciones!H91),"")</f>
        <v/>
      </c>
      <c r="E90" s="74" t="str">
        <f>IFERROR(IF(A90="","",Relaciones!I91),"")</f>
        <v/>
      </c>
    </row>
    <row r="91" ht="18.0" customHeight="1">
      <c r="A91" s="90" t="str">
        <f>IFERROR(IF(ISERROR(FIND("-P",Relaciones!A92)),"",Relaciones!A92),"")</f>
        <v/>
      </c>
      <c r="B91" s="90" t="str">
        <f>IFERROR(IF(A91="","",Relaciones!D92),"")</f>
        <v/>
      </c>
      <c r="C91" s="70" t="str">
        <f>IFERROR(IF(A91="","",Relaciones!G92),"")</f>
        <v/>
      </c>
      <c r="D91" s="71" t="str">
        <f>IFERROR(IF(A91="","",Relaciones!H92),"")</f>
        <v/>
      </c>
      <c r="E91" s="71" t="str">
        <f>IFERROR(IF(A91="","",Relaciones!I92),"")</f>
        <v/>
      </c>
    </row>
    <row r="92" ht="18.0" customHeight="1">
      <c r="A92" s="89" t="str">
        <f>IFERROR(IF(ISERROR(FIND("-P",Relaciones!A93)),"",Relaciones!A93),"")</f>
        <v/>
      </c>
      <c r="B92" s="89" t="str">
        <f>IFERROR(IF(A92="","",Relaciones!D93),"")</f>
        <v/>
      </c>
      <c r="C92" s="73" t="str">
        <f>IFERROR(IF(A92="","",Relaciones!G93),"")</f>
        <v/>
      </c>
      <c r="D92" s="74" t="str">
        <f>IFERROR(IF(A92="","",Relaciones!H93),"")</f>
        <v/>
      </c>
      <c r="E92" s="74" t="str">
        <f>IFERROR(IF(A92="","",Relaciones!I93),"")</f>
        <v/>
      </c>
    </row>
    <row r="93" ht="18.0" customHeight="1">
      <c r="A93" s="90" t="str">
        <f>IFERROR(IF(ISERROR(FIND("-P",Relaciones!A94)),"",Relaciones!A94),"")</f>
        <v/>
      </c>
      <c r="B93" s="90" t="str">
        <f>IFERROR(IF(A93="","",Relaciones!D94),"")</f>
        <v/>
      </c>
      <c r="C93" s="70" t="str">
        <f>IFERROR(IF(A93="","",Relaciones!G94),"")</f>
        <v/>
      </c>
      <c r="D93" s="71" t="str">
        <f>IFERROR(IF(A93="","",Relaciones!H94),"")</f>
        <v/>
      </c>
      <c r="E93" s="71" t="str">
        <f>IFERROR(IF(A93="","",Relaciones!I94),"")</f>
        <v/>
      </c>
    </row>
    <row r="94" ht="18.0" customHeight="1">
      <c r="A94" s="89" t="str">
        <f>IFERROR(IF(ISERROR(FIND("-P",Relaciones!A95)),"",Relaciones!A95),"")</f>
        <v/>
      </c>
      <c r="B94" s="89" t="str">
        <f>IFERROR(IF(A94="","",Relaciones!D95),"")</f>
        <v/>
      </c>
      <c r="C94" s="73" t="str">
        <f>IFERROR(IF(A94="","",Relaciones!G95),"")</f>
        <v/>
      </c>
      <c r="D94" s="74" t="str">
        <f>IFERROR(IF(A94="","",Relaciones!H95),"")</f>
        <v/>
      </c>
      <c r="E94" s="74" t="str">
        <f>IFERROR(IF(A94="","",Relaciones!I95),"")</f>
        <v/>
      </c>
    </row>
    <row r="95" ht="18.0" customHeight="1">
      <c r="A95" s="90" t="str">
        <f>IFERROR(IF(ISERROR(FIND("-P",Relaciones!A96)),"",Relaciones!A96),"")</f>
        <v/>
      </c>
      <c r="B95" s="90" t="str">
        <f>IFERROR(IF(A95="","",Relaciones!D96),"")</f>
        <v/>
      </c>
      <c r="C95" s="70" t="str">
        <f>IFERROR(IF(A95="","",Relaciones!G96),"")</f>
        <v/>
      </c>
      <c r="D95" s="71" t="str">
        <f>IFERROR(IF(A95="","",Relaciones!H96),"")</f>
        <v/>
      </c>
      <c r="E95" s="71" t="str">
        <f>IFERROR(IF(A95="","",Relaciones!I96),"")</f>
        <v/>
      </c>
    </row>
    <row r="96" ht="18.0" customHeight="1">
      <c r="A96" s="89" t="str">
        <f>IFERROR(IF(ISERROR(FIND("-P",Relaciones!A97)),"",Relaciones!A97),"")</f>
        <v/>
      </c>
      <c r="B96" s="89" t="str">
        <f>IFERROR(IF(A96="","",Relaciones!D97),"")</f>
        <v/>
      </c>
      <c r="C96" s="73" t="str">
        <f>IFERROR(IF(A96="","",Relaciones!G97),"")</f>
        <v/>
      </c>
      <c r="D96" s="74" t="str">
        <f>IFERROR(IF(A96="","",Relaciones!H97),"")</f>
        <v/>
      </c>
      <c r="E96" s="74" t="str">
        <f>IFERROR(IF(A96="","",Relaciones!I97),"")</f>
        <v/>
      </c>
    </row>
    <row r="97" ht="18.0" customHeight="1">
      <c r="A97" s="90" t="str">
        <f>IFERROR(IF(ISERROR(FIND("-P",Relaciones!A98)),"",Relaciones!A98),"")</f>
        <v/>
      </c>
      <c r="B97" s="90" t="str">
        <f>IFERROR(IF(A97="","",Relaciones!D98),"")</f>
        <v/>
      </c>
      <c r="C97" s="70" t="str">
        <f>IFERROR(IF(A97="","",Relaciones!G98),"")</f>
        <v/>
      </c>
      <c r="D97" s="71" t="str">
        <f>IFERROR(IF(A97="","",Relaciones!H98),"")</f>
        <v/>
      </c>
      <c r="E97" s="71" t="str">
        <f>IFERROR(IF(A97="","",Relaciones!I98),"")</f>
        <v/>
      </c>
    </row>
    <row r="98" ht="18.0" customHeight="1">
      <c r="A98" s="89" t="str">
        <f>IFERROR(IF(ISERROR(FIND("-P",Relaciones!A99)),"",Relaciones!A99),"")</f>
        <v/>
      </c>
      <c r="B98" s="89" t="str">
        <f>IFERROR(IF(A98="","",Relaciones!D99),"")</f>
        <v/>
      </c>
      <c r="C98" s="73" t="str">
        <f>IFERROR(IF(A98="","",Relaciones!G99),"")</f>
        <v/>
      </c>
      <c r="D98" s="74" t="str">
        <f>IFERROR(IF(A98="","",Relaciones!H99),"")</f>
        <v/>
      </c>
      <c r="E98" s="74" t="str">
        <f>IFERROR(IF(A98="","",Relaciones!I99),"")</f>
        <v/>
      </c>
    </row>
    <row r="99" ht="18.0" customHeight="1">
      <c r="A99" s="90" t="str">
        <f>IFERROR(IF(ISERROR(FIND("-P",Relaciones!A100)),"",Relaciones!A100),"")</f>
        <v/>
      </c>
      <c r="B99" s="90" t="str">
        <f>IFERROR(IF(A99="","",Relaciones!D100),"")</f>
        <v/>
      </c>
      <c r="C99" s="70" t="str">
        <f>IFERROR(IF(A99="","",Relaciones!G100),"")</f>
        <v/>
      </c>
      <c r="D99" s="71" t="str">
        <f>IFERROR(IF(A99="","",Relaciones!H100),"")</f>
        <v/>
      </c>
      <c r="E99" s="71" t="str">
        <f>IFERROR(IF(A99="","",Relaciones!I100),"")</f>
        <v/>
      </c>
    </row>
    <row r="100" ht="18.0" customHeight="1">
      <c r="A100" s="89" t="str">
        <f>IFERROR(IF(ISERROR(FIND("-P",Relaciones!A101)),"",Relaciones!A101),"")</f>
        <v/>
      </c>
      <c r="B100" s="89" t="str">
        <f>IFERROR(IF(A100="","",Relaciones!D101),"")</f>
        <v/>
      </c>
      <c r="C100" s="73" t="str">
        <f>IFERROR(IF(A100="","",Relaciones!G101),"")</f>
        <v/>
      </c>
      <c r="D100" s="74" t="str">
        <f>IFERROR(IF(A100="","",Relaciones!H101),"")</f>
        <v/>
      </c>
      <c r="E100" s="74" t="str">
        <f>IFERROR(IF(A100="","",Relaciones!I101),"")</f>
        <v/>
      </c>
    </row>
    <row r="101" ht="18.0" customHeight="1">
      <c r="A101" s="90" t="str">
        <f>IFERROR(IF(ISERROR(FIND("-P",Relaciones!A102)),"",Relaciones!A102),"")</f>
        <v/>
      </c>
      <c r="B101" s="90" t="str">
        <f>IFERROR(IF(A101="","",Relaciones!D102),"")</f>
        <v/>
      </c>
      <c r="C101" s="70" t="str">
        <f>IFERROR(IF(A101="","",Relaciones!G102),"")</f>
        <v/>
      </c>
      <c r="D101" s="71" t="str">
        <f>IFERROR(IF(A101="","",Relaciones!H102),"")</f>
        <v/>
      </c>
      <c r="E101" s="71" t="str">
        <f>IFERROR(IF(A101="","",Relaciones!I102),"")</f>
        <v/>
      </c>
    </row>
    <row r="102" ht="18.0" customHeight="1">
      <c r="A102" s="89" t="str">
        <f>IFERROR(IF(ISERROR(FIND("-P",Relaciones!A103)),"",Relaciones!A103),"")</f>
        <v/>
      </c>
      <c r="B102" s="89" t="str">
        <f>IFERROR(IF(A102="","",Relaciones!D103),"")</f>
        <v/>
      </c>
      <c r="C102" s="73" t="str">
        <f>IFERROR(IF(A102="","",Relaciones!G103),"")</f>
        <v/>
      </c>
      <c r="D102" s="74" t="str">
        <f>IFERROR(IF(A102="","",Relaciones!H103),"")</f>
        <v/>
      </c>
      <c r="E102" s="74" t="str">
        <f>IFERROR(IF(A102="","",Relaciones!I103),"")</f>
        <v/>
      </c>
    </row>
    <row r="103" ht="18.0" customHeight="1">
      <c r="A103" s="90" t="str">
        <f>IFERROR(IF(ISERROR(FIND("-P",Relaciones!A104)),"",Relaciones!A104),"")</f>
        <v/>
      </c>
      <c r="B103" s="90" t="str">
        <f>IFERROR(IF(A103="","",Relaciones!D104),"")</f>
        <v/>
      </c>
      <c r="C103" s="70" t="str">
        <f>IFERROR(IF(A103="","",Relaciones!G104),"")</f>
        <v/>
      </c>
      <c r="D103" s="71" t="str">
        <f>IFERROR(IF(A103="","",Relaciones!H104),"")</f>
        <v/>
      </c>
      <c r="E103" s="71" t="str">
        <f>IFERROR(IF(A103="","",Relaciones!I104),"")</f>
        <v/>
      </c>
    </row>
    <row r="104" ht="18.0" customHeight="1">
      <c r="A104" s="89" t="str">
        <f>IFERROR(IF(ISERROR(FIND("-P",Relaciones!A105)),"",Relaciones!A105),"")</f>
        <v/>
      </c>
      <c r="B104" s="89" t="str">
        <f>IFERROR(IF(A104="","",Relaciones!D105),"")</f>
        <v/>
      </c>
      <c r="C104" s="73" t="str">
        <f>IFERROR(IF(A104="","",Relaciones!G105),"")</f>
        <v/>
      </c>
      <c r="D104" s="74" t="str">
        <f>IFERROR(IF(A104="","",Relaciones!H105),"")</f>
        <v/>
      </c>
      <c r="E104" s="74" t="str">
        <f>IFERROR(IF(A104="","",Relaciones!I105),"")</f>
        <v/>
      </c>
    </row>
    <row r="105" ht="18.0" customHeight="1">
      <c r="A105" s="90" t="str">
        <f>IFERROR(IF(ISERROR(FIND("-P",Relaciones!A106)),"",Relaciones!A106),"")</f>
        <v/>
      </c>
      <c r="B105" s="90" t="str">
        <f>IFERROR(IF(A105="","",Relaciones!D106),"")</f>
        <v/>
      </c>
      <c r="C105" s="70" t="str">
        <f>IFERROR(IF(A105="","",Relaciones!G106),"")</f>
        <v/>
      </c>
      <c r="D105" s="71" t="str">
        <f>IFERROR(IF(A105="","",Relaciones!H106),"")</f>
        <v/>
      </c>
      <c r="E105" s="71" t="str">
        <f>IFERROR(IF(A105="","",Relaciones!I106),"")</f>
        <v/>
      </c>
    </row>
    <row r="106" ht="18.0" customHeight="1">
      <c r="A106" s="89" t="str">
        <f>IFERROR(IF(ISERROR(FIND("-P",Relaciones!A107)),"",Relaciones!A107),"")</f>
        <v/>
      </c>
      <c r="B106" s="89" t="str">
        <f>IFERROR(IF(A106="","",Relaciones!D107),"")</f>
        <v/>
      </c>
      <c r="C106" s="73" t="str">
        <f>IFERROR(IF(A106="","",Relaciones!G107),"")</f>
        <v/>
      </c>
      <c r="D106" s="74" t="str">
        <f>IFERROR(IF(A106="","",Relaciones!H107),"")</f>
        <v/>
      </c>
      <c r="E106" s="74" t="str">
        <f>IFERROR(IF(A106="","",Relaciones!I107),"")</f>
        <v/>
      </c>
    </row>
    <row r="107" ht="18.0" customHeight="1">
      <c r="A107" s="90" t="str">
        <f>IFERROR(IF(ISERROR(FIND("-P",Relaciones!A108)),"",Relaciones!A108),"")</f>
        <v/>
      </c>
      <c r="B107" s="90" t="str">
        <f>IFERROR(IF(A107="","",Relaciones!D108),"")</f>
        <v/>
      </c>
      <c r="C107" s="70" t="str">
        <f>IFERROR(IF(A107="","",Relaciones!G108),"")</f>
        <v/>
      </c>
      <c r="D107" s="71" t="str">
        <f>IFERROR(IF(A107="","",Relaciones!H108),"")</f>
        <v/>
      </c>
      <c r="E107" s="71" t="str">
        <f>IFERROR(IF(A107="","",Relaciones!I108),"")</f>
        <v/>
      </c>
    </row>
    <row r="108" ht="18.0" customHeight="1">
      <c r="A108" s="89" t="str">
        <f>IFERROR(IF(ISERROR(FIND("-P",Relaciones!A109)),"",Relaciones!A109),"")</f>
        <v/>
      </c>
      <c r="B108" s="89" t="str">
        <f>IFERROR(IF(A108="","",Relaciones!D109),"")</f>
        <v/>
      </c>
      <c r="C108" s="73" t="str">
        <f>IFERROR(IF(A108="","",Relaciones!G109),"")</f>
        <v/>
      </c>
      <c r="D108" s="74" t="str">
        <f>IFERROR(IF(A108="","",Relaciones!H109),"")</f>
        <v/>
      </c>
      <c r="E108" s="74" t="str">
        <f>IFERROR(IF(A108="","",Relaciones!I109),"")</f>
        <v/>
      </c>
    </row>
    <row r="109" ht="18.0" customHeight="1">
      <c r="A109" s="90" t="str">
        <f>IFERROR(IF(ISERROR(FIND("-P",Relaciones!A110)),"",Relaciones!A110),"")</f>
        <v/>
      </c>
      <c r="B109" s="90" t="str">
        <f>IFERROR(IF(A109="","",Relaciones!D110),"")</f>
        <v/>
      </c>
      <c r="C109" s="70" t="str">
        <f>IFERROR(IF(A109="","",Relaciones!G110),"")</f>
        <v/>
      </c>
      <c r="D109" s="71" t="str">
        <f>IFERROR(IF(A109="","",Relaciones!H110),"")</f>
        <v/>
      </c>
      <c r="E109" s="71" t="str">
        <f>IFERROR(IF(A109="","",Relaciones!I110),"")</f>
        <v/>
      </c>
    </row>
    <row r="110" ht="18.0" customHeight="1">
      <c r="A110" s="89" t="str">
        <f>IFERROR(IF(ISERROR(FIND("-P",Relaciones!A111)),"",Relaciones!A111),"")</f>
        <v/>
      </c>
      <c r="B110" s="89" t="str">
        <f>IFERROR(IF(A110="","",Relaciones!D111),"")</f>
        <v/>
      </c>
      <c r="C110" s="73" t="str">
        <f>IFERROR(IF(A110="","",Relaciones!G111),"")</f>
        <v/>
      </c>
      <c r="D110" s="74" t="str">
        <f>IFERROR(IF(A110="","",Relaciones!H111),"")</f>
        <v/>
      </c>
      <c r="E110" s="74" t="str">
        <f>IFERROR(IF(A110="","",Relaciones!I111),"")</f>
        <v/>
      </c>
    </row>
    <row r="111" ht="18.0" customHeight="1">
      <c r="A111" s="90" t="str">
        <f>IFERROR(IF(ISERROR(FIND("-P",Relaciones!A112)),"",Relaciones!A112),"")</f>
        <v/>
      </c>
      <c r="B111" s="90" t="str">
        <f>IFERROR(IF(A111="","",Relaciones!D112),"")</f>
        <v/>
      </c>
      <c r="C111" s="70" t="str">
        <f>IFERROR(IF(A111="","",Relaciones!G112),"")</f>
        <v/>
      </c>
      <c r="D111" s="71" t="str">
        <f>IFERROR(IF(A111="","",Relaciones!H112),"")</f>
        <v/>
      </c>
      <c r="E111" s="71" t="str">
        <f>IFERROR(IF(A111="","",Relaciones!I112),"")</f>
        <v/>
      </c>
    </row>
    <row r="112" ht="18.0" customHeight="1">
      <c r="A112" s="89" t="str">
        <f>IFERROR(IF(ISERROR(FIND("-P",Relaciones!A113)),"",Relaciones!A113),"")</f>
        <v/>
      </c>
      <c r="B112" s="89" t="str">
        <f>IFERROR(IF(A112="","",Relaciones!D113),"")</f>
        <v/>
      </c>
      <c r="C112" s="73" t="str">
        <f>IFERROR(IF(A112="","",Relaciones!G113),"")</f>
        <v/>
      </c>
      <c r="D112" s="74" t="str">
        <f>IFERROR(IF(A112="","",Relaciones!H113),"")</f>
        <v/>
      </c>
      <c r="E112" s="74" t="str">
        <f>IFERROR(IF(A112="","",Relaciones!I113),"")</f>
        <v/>
      </c>
    </row>
    <row r="113" ht="18.0" customHeight="1">
      <c r="A113" s="90" t="str">
        <f>IFERROR(IF(ISERROR(FIND("-P",Relaciones!A114)),"",Relaciones!A114),"")</f>
        <v/>
      </c>
      <c r="B113" s="90" t="str">
        <f>IFERROR(IF(A113="","",Relaciones!D114),"")</f>
        <v/>
      </c>
      <c r="C113" s="70" t="str">
        <f>IFERROR(IF(A113="","",Relaciones!G114),"")</f>
        <v/>
      </c>
      <c r="D113" s="71" t="str">
        <f>IFERROR(IF(A113="","",Relaciones!H114),"")</f>
        <v/>
      </c>
      <c r="E113" s="71" t="str">
        <f>IFERROR(IF(A113="","",Relaciones!I114),"")</f>
        <v/>
      </c>
    </row>
    <row r="114" ht="18.0" customHeight="1">
      <c r="A114" s="89" t="str">
        <f>IFERROR(IF(ISERROR(FIND("-P",Relaciones!A115)),"",Relaciones!A115),"")</f>
        <v/>
      </c>
      <c r="B114" s="89" t="str">
        <f>IFERROR(IF(A114="","",Relaciones!D115),"")</f>
        <v/>
      </c>
      <c r="C114" s="73" t="str">
        <f>IFERROR(IF(A114="","",Relaciones!G115),"")</f>
        <v/>
      </c>
      <c r="D114" s="74" t="str">
        <f>IFERROR(IF(A114="","",Relaciones!H115),"")</f>
        <v/>
      </c>
      <c r="E114" s="74" t="str">
        <f>IFERROR(IF(A114="","",Relaciones!I115),"")</f>
        <v/>
      </c>
    </row>
    <row r="115" ht="18.0" customHeight="1">
      <c r="A115" s="90" t="str">
        <f>IFERROR(IF(ISERROR(FIND("-P",Relaciones!A116)),"",Relaciones!A116),"")</f>
        <v/>
      </c>
      <c r="B115" s="90" t="str">
        <f>IFERROR(IF(A115="","",Relaciones!D116),"")</f>
        <v/>
      </c>
      <c r="C115" s="70" t="str">
        <f>IFERROR(IF(A115="","",Relaciones!G116),"")</f>
        <v/>
      </c>
      <c r="D115" s="71" t="str">
        <f>IFERROR(IF(A115="","",Relaciones!H116),"")</f>
        <v/>
      </c>
      <c r="E115" s="71" t="str">
        <f>IFERROR(IF(A115="","",Relaciones!I116),"")</f>
        <v/>
      </c>
    </row>
    <row r="116" ht="18.0" customHeight="1">
      <c r="A116" s="89" t="str">
        <f>IFERROR(IF(ISERROR(FIND("-P",Relaciones!A117)),"",Relaciones!A117),"")</f>
        <v/>
      </c>
      <c r="B116" s="89" t="str">
        <f>IFERROR(IF(A116="","",Relaciones!D117),"")</f>
        <v/>
      </c>
      <c r="C116" s="73" t="str">
        <f>IFERROR(IF(A116="","",Relaciones!G117),"")</f>
        <v/>
      </c>
      <c r="D116" s="74" t="str">
        <f>IFERROR(IF(A116="","",Relaciones!H117),"")</f>
        <v/>
      </c>
      <c r="E116" s="74" t="str">
        <f>IFERROR(IF(A116="","",Relaciones!I117),"")</f>
        <v/>
      </c>
    </row>
    <row r="117" ht="18.0" customHeight="1">
      <c r="A117" s="90" t="str">
        <f>IFERROR(IF(ISERROR(FIND("-P",Relaciones!A118)),"",Relaciones!A118),"")</f>
        <v/>
      </c>
      <c r="B117" s="90" t="str">
        <f>IFERROR(IF(A117="","",Relaciones!D118),"")</f>
        <v/>
      </c>
      <c r="C117" s="70" t="str">
        <f>IFERROR(IF(A117="","",Relaciones!G118),"")</f>
        <v/>
      </c>
      <c r="D117" s="71" t="str">
        <f>IFERROR(IF(A117="","",Relaciones!H118),"")</f>
        <v/>
      </c>
      <c r="E117" s="71" t="str">
        <f>IFERROR(IF(A117="","",Relaciones!I118),"")</f>
        <v/>
      </c>
    </row>
    <row r="118" ht="18.0" customHeight="1">
      <c r="A118" s="89" t="str">
        <f>IFERROR(IF(ISERROR(FIND("-P",Relaciones!A119)),"",Relaciones!A119),"")</f>
        <v/>
      </c>
      <c r="B118" s="89" t="str">
        <f>IFERROR(IF(A118="","",Relaciones!D119),"")</f>
        <v/>
      </c>
      <c r="C118" s="73" t="str">
        <f>IFERROR(IF(A118="","",Relaciones!G119),"")</f>
        <v/>
      </c>
      <c r="D118" s="74" t="str">
        <f>IFERROR(IF(A118="","",Relaciones!H119),"")</f>
        <v/>
      </c>
      <c r="E118" s="74" t="str">
        <f>IFERROR(IF(A118="","",Relaciones!I119),"")</f>
        <v/>
      </c>
    </row>
    <row r="119" ht="18.0" customHeight="1">
      <c r="A119" s="90" t="str">
        <f>IFERROR(IF(ISERROR(FIND("-P",Relaciones!A120)),"",Relaciones!A120),"")</f>
        <v/>
      </c>
      <c r="B119" s="90" t="str">
        <f>IFERROR(IF(A119="","",Relaciones!D120),"")</f>
        <v/>
      </c>
      <c r="C119" s="70" t="str">
        <f>IFERROR(IF(A119="","",Relaciones!G120),"")</f>
        <v/>
      </c>
      <c r="D119" s="71" t="str">
        <f>IFERROR(IF(A119="","",Relaciones!H120),"")</f>
        <v/>
      </c>
      <c r="E119" s="71" t="str">
        <f>IFERROR(IF(A119="","",Relaciones!I120),"")</f>
        <v/>
      </c>
    </row>
    <row r="120" ht="18.0" customHeight="1">
      <c r="A120" s="89" t="str">
        <f>IFERROR(IF(ISERROR(FIND("-P",Relaciones!A121)),"",Relaciones!A121),"")</f>
        <v/>
      </c>
      <c r="B120" s="89" t="str">
        <f>IFERROR(IF(A120="","",Relaciones!D121),"")</f>
        <v/>
      </c>
      <c r="C120" s="73" t="str">
        <f>IFERROR(IF(A120="","",Relaciones!G121),"")</f>
        <v/>
      </c>
      <c r="D120" s="74" t="str">
        <f>IFERROR(IF(A120="","",Relaciones!H121),"")</f>
        <v/>
      </c>
      <c r="E120" s="74" t="str">
        <f>IFERROR(IF(A120="","",Relaciones!I121),"")</f>
        <v/>
      </c>
    </row>
    <row r="121" ht="18.0" customHeight="1">
      <c r="A121" s="90" t="str">
        <f>IFERROR(IF(ISERROR(FIND("-P",Relaciones!A122)),"",Relaciones!A122),"")</f>
        <v/>
      </c>
      <c r="B121" s="90" t="str">
        <f>IFERROR(IF(A121="","",Relaciones!D122),"")</f>
        <v/>
      </c>
      <c r="C121" s="70" t="str">
        <f>IFERROR(IF(A121="","",Relaciones!G122),"")</f>
        <v/>
      </c>
      <c r="D121" s="71" t="str">
        <f>IFERROR(IF(A121="","",Relaciones!H122),"")</f>
        <v/>
      </c>
      <c r="E121" s="71" t="str">
        <f>IFERROR(IF(A121="","",Relaciones!I122),"")</f>
        <v/>
      </c>
    </row>
    <row r="122" ht="18.0" customHeight="1">
      <c r="A122" s="89" t="str">
        <f>IFERROR(IF(ISERROR(FIND("-P",Relaciones!A123)),"",Relaciones!A123),"")</f>
        <v/>
      </c>
      <c r="B122" s="89" t="str">
        <f>IFERROR(IF(A122="","",Relaciones!D123),"")</f>
        <v/>
      </c>
      <c r="C122" s="73" t="str">
        <f>IFERROR(IF(A122="","",Relaciones!G123),"")</f>
        <v/>
      </c>
      <c r="D122" s="74" t="str">
        <f>IFERROR(IF(A122="","",Relaciones!H123),"")</f>
        <v/>
      </c>
      <c r="E122" s="74" t="str">
        <f>IFERROR(IF(A122="","",Relaciones!I123),"")</f>
        <v/>
      </c>
    </row>
    <row r="123" ht="18.0" customHeight="1">
      <c r="A123" s="90" t="str">
        <f>IFERROR(IF(ISERROR(FIND("-P",Relaciones!A124)),"",Relaciones!A124),"")</f>
        <v/>
      </c>
      <c r="B123" s="90" t="str">
        <f>IFERROR(IF(A123="","",Relaciones!D124),"")</f>
        <v/>
      </c>
      <c r="C123" s="70" t="str">
        <f>IFERROR(IF(A123="","",Relaciones!G124),"")</f>
        <v/>
      </c>
      <c r="D123" s="71" t="str">
        <f>IFERROR(IF(A123="","",Relaciones!H124),"")</f>
        <v/>
      </c>
      <c r="E123" s="71" t="str">
        <f>IFERROR(IF(A123="","",Relaciones!I124),"")</f>
        <v/>
      </c>
    </row>
    <row r="124" ht="18.0" customHeight="1">
      <c r="A124" s="89" t="str">
        <f>IFERROR(IF(ISERROR(FIND("-P",Relaciones!A125)),"",Relaciones!A125),"")</f>
        <v/>
      </c>
      <c r="B124" s="89" t="str">
        <f>IFERROR(IF(A124="","",Relaciones!D125),"")</f>
        <v/>
      </c>
      <c r="C124" s="73" t="str">
        <f>IFERROR(IF(A124="","",Relaciones!G125),"")</f>
        <v/>
      </c>
      <c r="D124" s="74" t="str">
        <f>IFERROR(IF(A124="","",Relaciones!H125),"")</f>
        <v/>
      </c>
      <c r="E124" s="74" t="str">
        <f>IFERROR(IF(A124="","",Relaciones!I125),"")</f>
        <v/>
      </c>
    </row>
    <row r="125" ht="18.0" customHeight="1">
      <c r="A125" s="90" t="str">
        <f>IFERROR(IF(ISERROR(FIND("-P",Relaciones!A126)),"",Relaciones!A126),"")</f>
        <v/>
      </c>
      <c r="B125" s="90" t="str">
        <f>IFERROR(IF(A125="","",Relaciones!D126),"")</f>
        <v/>
      </c>
      <c r="C125" s="70" t="str">
        <f>IFERROR(IF(A125="","",Relaciones!G126),"")</f>
        <v/>
      </c>
      <c r="D125" s="71" t="str">
        <f>IFERROR(IF(A125="","",Relaciones!H126),"")</f>
        <v/>
      </c>
      <c r="E125" s="71" t="str">
        <f>IFERROR(IF(A125="","",Relaciones!I126),"")</f>
        <v/>
      </c>
    </row>
    <row r="126" ht="18.0" customHeight="1">
      <c r="A126" s="89" t="str">
        <f>IFERROR(IF(ISERROR(FIND("-P",Relaciones!A127)),"",Relaciones!A127),"")</f>
        <v/>
      </c>
      <c r="B126" s="89" t="str">
        <f>IFERROR(IF(A126="","",Relaciones!D127),"")</f>
        <v/>
      </c>
      <c r="C126" s="73" t="str">
        <f>IFERROR(IF(A126="","",Relaciones!G127),"")</f>
        <v/>
      </c>
      <c r="D126" s="74" t="str">
        <f>IFERROR(IF(A126="","",Relaciones!H127),"")</f>
        <v/>
      </c>
      <c r="E126" s="74" t="str">
        <f>IFERROR(IF(A126="","",Relaciones!I127),"")</f>
        <v/>
      </c>
    </row>
    <row r="127" ht="18.0" customHeight="1">
      <c r="A127" s="90" t="str">
        <f>IFERROR(IF(ISERROR(FIND("-P",Relaciones!A128)),"",Relaciones!A128),"")</f>
        <v/>
      </c>
      <c r="B127" s="90" t="str">
        <f>IFERROR(IF(A127="","",Relaciones!D128),"")</f>
        <v/>
      </c>
      <c r="C127" s="70" t="str">
        <f>IFERROR(IF(A127="","",Relaciones!G128),"")</f>
        <v/>
      </c>
      <c r="D127" s="71" t="str">
        <f>IFERROR(IF(A127="","",Relaciones!H128),"")</f>
        <v/>
      </c>
      <c r="E127" s="71" t="str">
        <f>IFERROR(IF(A127="","",Relaciones!I128),"")</f>
        <v/>
      </c>
    </row>
    <row r="128" ht="18.0" customHeight="1">
      <c r="A128" s="89" t="str">
        <f>IFERROR(IF(ISERROR(FIND("-P",Relaciones!A129)),"",Relaciones!A129),"")</f>
        <v/>
      </c>
      <c r="B128" s="89" t="str">
        <f>IFERROR(IF(A128="","",Relaciones!D129),"")</f>
        <v/>
      </c>
      <c r="C128" s="73" t="str">
        <f>IFERROR(IF(A128="","",Relaciones!G129),"")</f>
        <v/>
      </c>
      <c r="D128" s="74" t="str">
        <f>IFERROR(IF(A128="","",Relaciones!H129),"")</f>
        <v/>
      </c>
      <c r="E128" s="74" t="str">
        <f>IFERROR(IF(A128="","",Relaciones!I129),"")</f>
        <v/>
      </c>
    </row>
    <row r="129" ht="18.0" customHeight="1">
      <c r="A129" s="90" t="str">
        <f>IFERROR(IF(ISERROR(FIND("-P",Relaciones!A130)),"",Relaciones!A130),"")</f>
        <v/>
      </c>
      <c r="B129" s="90" t="str">
        <f>IFERROR(IF(A129="","",Relaciones!D130),"")</f>
        <v/>
      </c>
      <c r="C129" s="70" t="str">
        <f>IFERROR(IF(A129="","",Relaciones!G130),"")</f>
        <v/>
      </c>
      <c r="D129" s="71" t="str">
        <f>IFERROR(IF(A129="","",Relaciones!H130),"")</f>
        <v/>
      </c>
      <c r="E129" s="71" t="str">
        <f>IFERROR(IF(A129="","",Relaciones!I130),"")</f>
        <v/>
      </c>
    </row>
    <row r="130" ht="18.0" customHeight="1">
      <c r="A130" s="89" t="str">
        <f>IFERROR(IF(ISERROR(FIND("-P",Relaciones!A131)),"",Relaciones!A131),"")</f>
        <v/>
      </c>
      <c r="B130" s="89" t="str">
        <f>IFERROR(IF(A130="","",Relaciones!D131),"")</f>
        <v/>
      </c>
      <c r="C130" s="73" t="str">
        <f>IFERROR(IF(A130="","",Relaciones!G131),"")</f>
        <v/>
      </c>
      <c r="D130" s="74" t="str">
        <f>IFERROR(IF(A130="","",Relaciones!H131),"")</f>
        <v/>
      </c>
      <c r="E130" s="74" t="str">
        <f>IFERROR(IF(A130="","",Relaciones!I131),"")</f>
        <v/>
      </c>
    </row>
    <row r="131" ht="18.0" customHeight="1">
      <c r="A131" s="90" t="str">
        <f>IFERROR(IF(ISERROR(FIND("-P",Relaciones!A132)),"",Relaciones!A132),"")</f>
        <v/>
      </c>
      <c r="B131" s="90" t="str">
        <f>IFERROR(IF(A131="","",Relaciones!D132),"")</f>
        <v/>
      </c>
      <c r="C131" s="70" t="str">
        <f>IFERROR(IF(A131="","",Relaciones!G132),"")</f>
        <v/>
      </c>
      <c r="D131" s="71" t="str">
        <f>IFERROR(IF(A131="","",Relaciones!H132),"")</f>
        <v/>
      </c>
      <c r="E131" s="71" t="str">
        <f>IFERROR(IF(A131="","",Relaciones!I132),"")</f>
        <v/>
      </c>
    </row>
    <row r="132" ht="18.0" customHeight="1">
      <c r="A132" s="89" t="str">
        <f>IFERROR(IF(ISERROR(FIND("-P",Relaciones!A133)),"",Relaciones!A133),"")</f>
        <v/>
      </c>
      <c r="B132" s="89" t="str">
        <f>IFERROR(IF(A132="","",Relaciones!D133),"")</f>
        <v/>
      </c>
      <c r="C132" s="73" t="str">
        <f>IFERROR(IF(A132="","",Relaciones!G133),"")</f>
        <v/>
      </c>
      <c r="D132" s="74" t="str">
        <f>IFERROR(IF(A132="","",Relaciones!H133),"")</f>
        <v/>
      </c>
      <c r="E132" s="74" t="str">
        <f>IFERROR(IF(A132="","",Relaciones!I133),"")</f>
        <v/>
      </c>
    </row>
    <row r="133" ht="18.0" customHeight="1">
      <c r="A133" s="90" t="str">
        <f>IFERROR(IF(ISERROR(FIND("-P",Relaciones!A134)),"",Relaciones!A134),"")</f>
        <v/>
      </c>
      <c r="B133" s="90" t="str">
        <f>IFERROR(IF(A133="","",Relaciones!D134),"")</f>
        <v/>
      </c>
      <c r="C133" s="70" t="str">
        <f>IFERROR(IF(A133="","",Relaciones!G134),"")</f>
        <v/>
      </c>
      <c r="D133" s="71" t="str">
        <f>IFERROR(IF(A133="","",Relaciones!H134),"")</f>
        <v/>
      </c>
      <c r="E133" s="71" t="str">
        <f>IFERROR(IF(A133="","",Relaciones!I134),"")</f>
        <v/>
      </c>
    </row>
    <row r="134" ht="18.0" customHeight="1">
      <c r="A134" s="89" t="str">
        <f>IFERROR(IF(ISERROR(FIND("-P",Relaciones!A135)),"",Relaciones!A135),"")</f>
        <v/>
      </c>
      <c r="B134" s="89" t="str">
        <f>IFERROR(IF(A134="","",Relaciones!D135),"")</f>
        <v/>
      </c>
      <c r="C134" s="73" t="str">
        <f>IFERROR(IF(A134="","",Relaciones!G135),"")</f>
        <v/>
      </c>
      <c r="D134" s="74" t="str">
        <f>IFERROR(IF(A134="","",Relaciones!H135),"")</f>
        <v/>
      </c>
      <c r="E134" s="74" t="str">
        <f>IFERROR(IF(A134="","",Relaciones!I135),"")</f>
        <v/>
      </c>
    </row>
    <row r="135" ht="18.0" customHeight="1">
      <c r="A135" s="90" t="str">
        <f>IFERROR(IF(ISERROR(FIND("-P",Relaciones!A136)),"",Relaciones!A136),"")</f>
        <v/>
      </c>
      <c r="B135" s="90" t="str">
        <f>IFERROR(IF(A135="","",Relaciones!D136),"")</f>
        <v/>
      </c>
      <c r="C135" s="70" t="str">
        <f>IFERROR(IF(A135="","",Relaciones!G136),"")</f>
        <v/>
      </c>
      <c r="D135" s="71" t="str">
        <f>IFERROR(IF(A135="","",Relaciones!H136),"")</f>
        <v/>
      </c>
      <c r="E135" s="71" t="str">
        <f>IFERROR(IF(A135="","",Relaciones!I136),"")</f>
        <v/>
      </c>
    </row>
    <row r="136" ht="18.0" customHeight="1">
      <c r="A136" s="89" t="str">
        <f>IFERROR(IF(ISERROR(FIND("-P",Relaciones!A137)),"",Relaciones!A137),"")</f>
        <v/>
      </c>
      <c r="B136" s="89" t="str">
        <f>IFERROR(IF(A136="","",Relaciones!D137),"")</f>
        <v/>
      </c>
      <c r="C136" s="73" t="str">
        <f>IFERROR(IF(A136="","",Relaciones!G137),"")</f>
        <v/>
      </c>
      <c r="D136" s="74" t="str">
        <f>IFERROR(IF(A136="","",Relaciones!H137),"")</f>
        <v/>
      </c>
      <c r="E136" s="74" t="str">
        <f>IFERROR(IF(A136="","",Relaciones!I137),"")</f>
        <v/>
      </c>
    </row>
    <row r="137" ht="18.0" customHeight="1">
      <c r="A137" s="90" t="str">
        <f>IFERROR(IF(ISERROR(FIND("-P",Relaciones!A138)),"",Relaciones!A138),"")</f>
        <v/>
      </c>
      <c r="B137" s="90" t="str">
        <f>IFERROR(IF(A137="","",Relaciones!D138),"")</f>
        <v/>
      </c>
      <c r="C137" s="70" t="str">
        <f>IFERROR(IF(A137="","",Relaciones!G138),"")</f>
        <v/>
      </c>
      <c r="D137" s="71" t="str">
        <f>IFERROR(IF(A137="","",Relaciones!H138),"")</f>
        <v/>
      </c>
      <c r="E137" s="71" t="str">
        <f>IFERROR(IF(A137="","",Relaciones!I138),"")</f>
        <v/>
      </c>
    </row>
    <row r="138" ht="18.0" customHeight="1">
      <c r="A138" s="89" t="str">
        <f>IFERROR(IF(ISERROR(FIND("-P",Relaciones!A139)),"",Relaciones!A139),"")</f>
        <v/>
      </c>
      <c r="B138" s="89" t="str">
        <f>IFERROR(IF(A138="","",Relaciones!D139),"")</f>
        <v/>
      </c>
      <c r="C138" s="73" t="str">
        <f>IFERROR(IF(A138="","",Relaciones!G139),"")</f>
        <v/>
      </c>
      <c r="D138" s="74" t="str">
        <f>IFERROR(IF(A138="","",Relaciones!H139),"")</f>
        <v/>
      </c>
      <c r="E138" s="74" t="str">
        <f>IFERROR(IF(A138="","",Relaciones!I139),"")</f>
        <v/>
      </c>
    </row>
    <row r="139" ht="18.0" customHeight="1">
      <c r="A139" s="90" t="str">
        <f>IFERROR(IF(ISERROR(FIND("-P",Relaciones!A140)),"",Relaciones!A140),"")</f>
        <v/>
      </c>
      <c r="B139" s="90" t="str">
        <f>IFERROR(IF(A139="","",Relaciones!D140),"")</f>
        <v/>
      </c>
      <c r="C139" s="70" t="str">
        <f>IFERROR(IF(A139="","",Relaciones!G140),"")</f>
        <v/>
      </c>
      <c r="D139" s="71" t="str">
        <f>IFERROR(IF(A139="","",Relaciones!H140),"")</f>
        <v/>
      </c>
      <c r="E139" s="71" t="str">
        <f>IFERROR(IF(A139="","",Relaciones!I140),"")</f>
        <v/>
      </c>
    </row>
    <row r="140" ht="18.0" customHeight="1">
      <c r="A140" s="89" t="str">
        <f>IFERROR(IF(ISERROR(FIND("-P",Relaciones!A141)),"",Relaciones!A141),"")</f>
        <v/>
      </c>
      <c r="B140" s="89" t="str">
        <f>IFERROR(IF(A140="","",Relaciones!D141),"")</f>
        <v/>
      </c>
      <c r="C140" s="73" t="str">
        <f>IFERROR(IF(A140="","",Relaciones!G141),"")</f>
        <v/>
      </c>
      <c r="D140" s="74" t="str">
        <f>IFERROR(IF(A140="","",Relaciones!H141),"")</f>
        <v/>
      </c>
      <c r="E140" s="74" t="str">
        <f>IFERROR(IF(A140="","",Relaciones!I141),"")</f>
        <v/>
      </c>
    </row>
    <row r="141" ht="18.0" customHeight="1">
      <c r="A141" s="90" t="str">
        <f>IFERROR(IF(ISERROR(FIND("-P",Relaciones!A142)),"",Relaciones!A142),"")</f>
        <v/>
      </c>
      <c r="B141" s="90" t="str">
        <f>IFERROR(IF(A141="","",Relaciones!D142),"")</f>
        <v/>
      </c>
      <c r="C141" s="70" t="str">
        <f>IFERROR(IF(A141="","",Relaciones!G142),"")</f>
        <v/>
      </c>
      <c r="D141" s="71" t="str">
        <f>IFERROR(IF(A141="","",Relaciones!H142),"")</f>
        <v/>
      </c>
      <c r="E141" s="71" t="str">
        <f>IFERROR(IF(A141="","",Relaciones!I142),"")</f>
        <v/>
      </c>
    </row>
    <row r="142" ht="18.0" customHeight="1">
      <c r="A142" s="89" t="str">
        <f>IFERROR(IF(ISERROR(FIND("-P",Relaciones!A143)),"",Relaciones!A143),"")</f>
        <v/>
      </c>
      <c r="B142" s="89" t="str">
        <f>IFERROR(IF(A142="","",Relaciones!D143),"")</f>
        <v/>
      </c>
      <c r="C142" s="73" t="str">
        <f>IFERROR(IF(A142="","",Relaciones!G143),"")</f>
        <v/>
      </c>
      <c r="D142" s="74" t="str">
        <f>IFERROR(IF(A142="","",Relaciones!H143),"")</f>
        <v/>
      </c>
      <c r="E142" s="74" t="str">
        <f>IFERROR(IF(A142="","",Relaciones!I143),"")</f>
        <v/>
      </c>
    </row>
    <row r="143" ht="18.0" customHeight="1">
      <c r="A143" s="90" t="str">
        <f>IFERROR(IF(ISERROR(FIND("-P",Relaciones!A144)),"",Relaciones!A144),"")</f>
        <v/>
      </c>
      <c r="B143" s="90" t="str">
        <f>IFERROR(IF(A143="","",Relaciones!D144),"")</f>
        <v/>
      </c>
      <c r="C143" s="70" t="str">
        <f>IFERROR(IF(A143="","",Relaciones!G144),"")</f>
        <v/>
      </c>
      <c r="D143" s="71" t="str">
        <f>IFERROR(IF(A143="","",Relaciones!H144),"")</f>
        <v/>
      </c>
      <c r="E143" s="71" t="str">
        <f>IFERROR(IF(A143="","",Relaciones!I144),"")</f>
        <v/>
      </c>
    </row>
    <row r="144" ht="18.0" customHeight="1">
      <c r="A144" s="89" t="str">
        <f>IFERROR(IF(ISERROR(FIND("-P",Relaciones!A145)),"",Relaciones!A145),"")</f>
        <v/>
      </c>
      <c r="B144" s="89" t="str">
        <f>IFERROR(IF(A144="","",Relaciones!D145),"")</f>
        <v/>
      </c>
      <c r="C144" s="73" t="str">
        <f>IFERROR(IF(A144="","",Relaciones!G145),"")</f>
        <v/>
      </c>
      <c r="D144" s="74" t="str">
        <f>IFERROR(IF(A144="","",Relaciones!H145),"")</f>
        <v/>
      </c>
      <c r="E144" s="74" t="str">
        <f>IFERROR(IF(A144="","",Relaciones!I145),"")</f>
        <v/>
      </c>
    </row>
    <row r="145" ht="18.0" customHeight="1">
      <c r="A145" s="90" t="str">
        <f>IFERROR(IF(ISERROR(FIND("-P",Relaciones!A146)),"",Relaciones!A146),"")</f>
        <v/>
      </c>
      <c r="B145" s="90" t="str">
        <f>IFERROR(IF(A145="","",Relaciones!D146),"")</f>
        <v/>
      </c>
      <c r="C145" s="70" t="str">
        <f>IFERROR(IF(A145="","",Relaciones!G146),"")</f>
        <v/>
      </c>
      <c r="D145" s="71" t="str">
        <f>IFERROR(IF(A145="","",Relaciones!H146),"")</f>
        <v/>
      </c>
      <c r="E145" s="71" t="str">
        <f>IFERROR(IF(A145="","",Relaciones!I146),"")</f>
        <v/>
      </c>
    </row>
    <row r="146" ht="18.0" customHeight="1">
      <c r="A146" s="89" t="str">
        <f>IFERROR(IF(ISERROR(FIND("-P",Relaciones!A147)),"",Relaciones!A147),"")</f>
        <v/>
      </c>
      <c r="B146" s="89" t="str">
        <f>IFERROR(IF(A146="","",Relaciones!D147),"")</f>
        <v/>
      </c>
      <c r="C146" s="73" t="str">
        <f>IFERROR(IF(A146="","",Relaciones!G147),"")</f>
        <v/>
      </c>
      <c r="D146" s="74" t="str">
        <f>IFERROR(IF(A146="","",Relaciones!H147),"")</f>
        <v/>
      </c>
      <c r="E146" s="74" t="str">
        <f>IFERROR(IF(A146="","",Relaciones!I147),"")</f>
        <v/>
      </c>
    </row>
    <row r="147" ht="18.0" customHeight="1">
      <c r="A147" s="90" t="str">
        <f>IFERROR(IF(ISERROR(FIND("-P",Relaciones!A148)),"",Relaciones!A148),"")</f>
        <v/>
      </c>
      <c r="B147" s="90" t="str">
        <f>IFERROR(IF(A147="","",Relaciones!D148),"")</f>
        <v/>
      </c>
      <c r="C147" s="70" t="str">
        <f>IFERROR(IF(A147="","",Relaciones!G148),"")</f>
        <v/>
      </c>
      <c r="D147" s="71" t="str">
        <f>IFERROR(IF(A147="","",Relaciones!H148),"")</f>
        <v/>
      </c>
      <c r="E147" s="71" t="str">
        <f>IFERROR(IF(A147="","",Relaciones!I148),"")</f>
        <v/>
      </c>
    </row>
    <row r="148" ht="18.0" customHeight="1">
      <c r="A148" s="89" t="str">
        <f>IFERROR(IF(ISERROR(FIND("-P",Relaciones!A149)),"",Relaciones!A149),"")</f>
        <v/>
      </c>
      <c r="B148" s="89" t="str">
        <f>IFERROR(IF(A148="","",Relaciones!D149),"")</f>
        <v/>
      </c>
      <c r="C148" s="73" t="str">
        <f>IFERROR(IF(A148="","",Relaciones!G149),"")</f>
        <v/>
      </c>
      <c r="D148" s="74" t="str">
        <f>IFERROR(IF(A148="","",Relaciones!H149),"")</f>
        <v/>
      </c>
      <c r="E148" s="74" t="str">
        <f>IFERROR(IF(A148="","",Relaciones!I149),"")</f>
        <v/>
      </c>
    </row>
    <row r="149" ht="18.0" customHeight="1">
      <c r="A149" s="90" t="str">
        <f>IFERROR(IF(ISERROR(FIND("-P",Relaciones!A150)),"",Relaciones!A150),"")</f>
        <v/>
      </c>
      <c r="B149" s="90" t="str">
        <f>IFERROR(IF(A149="","",Relaciones!D150),"")</f>
        <v/>
      </c>
      <c r="C149" s="70" t="str">
        <f>IFERROR(IF(A149="","",Relaciones!G150),"")</f>
        <v/>
      </c>
      <c r="D149" s="71" t="str">
        <f>IFERROR(IF(A149="","",Relaciones!H150),"")</f>
        <v/>
      </c>
      <c r="E149" s="71" t="str">
        <f>IFERROR(IF(A149="","",Relaciones!I150),"")</f>
        <v/>
      </c>
    </row>
    <row r="150" ht="18.0" customHeight="1">
      <c r="A150" s="89" t="str">
        <f>IFERROR(IF(ISERROR(FIND("-P",Relaciones!A151)),"",Relaciones!A151),"")</f>
        <v/>
      </c>
      <c r="B150" s="89" t="str">
        <f>IFERROR(IF(A150="","",Relaciones!D151),"")</f>
        <v/>
      </c>
      <c r="C150" s="73" t="str">
        <f>IFERROR(IF(A150="","",Relaciones!G151),"")</f>
        <v/>
      </c>
      <c r="D150" s="74" t="str">
        <f>IFERROR(IF(A150="","",Relaciones!H151),"")</f>
        <v/>
      </c>
      <c r="E150" s="74" t="str">
        <f>IFERROR(IF(A150="","",Relaciones!I151),"")</f>
        <v/>
      </c>
    </row>
    <row r="151" ht="18.0" customHeight="1">
      <c r="A151" s="90" t="str">
        <f>IFERROR(IF(ISERROR(FIND("-P",Relaciones!A152)),"",Relaciones!A152),"")</f>
        <v/>
      </c>
      <c r="B151" s="90" t="str">
        <f>IFERROR(IF(A151="","",Relaciones!D152),"")</f>
        <v/>
      </c>
      <c r="C151" s="70" t="str">
        <f>IFERROR(IF(A151="","",Relaciones!G152),"")</f>
        <v/>
      </c>
      <c r="D151" s="71" t="str">
        <f>IFERROR(IF(A151="","",Relaciones!H152),"")</f>
        <v/>
      </c>
      <c r="E151" s="71" t="str">
        <f>IFERROR(IF(A151="","",Relaciones!I152),"")</f>
        <v/>
      </c>
    </row>
    <row r="152" ht="18.0" customHeight="1">
      <c r="A152" s="89" t="str">
        <f>IFERROR(IF(ISERROR(FIND("-P",Relaciones!A153)),"",Relaciones!A153),"")</f>
        <v/>
      </c>
      <c r="B152" s="89" t="str">
        <f>IFERROR(IF(A152="","",Relaciones!D153),"")</f>
        <v/>
      </c>
      <c r="C152" s="73" t="str">
        <f>IFERROR(IF(A152="","",Relaciones!G153),"")</f>
        <v/>
      </c>
      <c r="D152" s="74" t="str">
        <f>IFERROR(IF(A152="","",Relaciones!H153),"")</f>
        <v/>
      </c>
      <c r="E152" s="74" t="str">
        <f>IFERROR(IF(A152="","",Relaciones!I153),"")</f>
        <v/>
      </c>
    </row>
    <row r="153" ht="18.0" customHeight="1">
      <c r="A153" s="90" t="str">
        <f>IFERROR(IF(ISERROR(FIND("-P",Relaciones!A154)),"",Relaciones!A154),"")</f>
        <v/>
      </c>
      <c r="B153" s="90" t="str">
        <f>IFERROR(IF(A153="","",Relaciones!D154),"")</f>
        <v/>
      </c>
      <c r="C153" s="70" t="str">
        <f>IFERROR(IF(A153="","",Relaciones!G154),"")</f>
        <v/>
      </c>
      <c r="D153" s="71" t="str">
        <f>IFERROR(IF(A153="","",Relaciones!H154),"")</f>
        <v/>
      </c>
      <c r="E153" s="71" t="str">
        <f>IFERROR(IF(A153="","",Relaciones!I154),"")</f>
        <v/>
      </c>
    </row>
    <row r="154" ht="18.0" customHeight="1">
      <c r="A154" s="89" t="str">
        <f>IFERROR(IF(ISERROR(FIND("-P",Relaciones!A155)),"",Relaciones!A155),"")</f>
        <v/>
      </c>
      <c r="B154" s="89" t="str">
        <f>IFERROR(IF(A154="","",Relaciones!D155),"")</f>
        <v/>
      </c>
      <c r="C154" s="73" t="str">
        <f>IFERROR(IF(A154="","",Relaciones!G155),"")</f>
        <v/>
      </c>
      <c r="D154" s="74" t="str">
        <f>IFERROR(IF(A154="","",Relaciones!H155),"")</f>
        <v/>
      </c>
      <c r="E154" s="74" t="str">
        <f>IFERROR(IF(A154="","",Relaciones!I155),"")</f>
        <v/>
      </c>
    </row>
    <row r="155" ht="18.0" customHeight="1">
      <c r="A155" s="90" t="str">
        <f>IFERROR(IF(ISERROR(FIND("-P",Relaciones!A156)),"",Relaciones!A156),"")</f>
        <v/>
      </c>
      <c r="B155" s="90" t="str">
        <f>IFERROR(IF(A155="","",Relaciones!D156),"")</f>
        <v/>
      </c>
      <c r="C155" s="70" t="str">
        <f>IFERROR(IF(A155="","",Relaciones!G156),"")</f>
        <v/>
      </c>
      <c r="D155" s="71" t="str">
        <f>IFERROR(IF(A155="","",Relaciones!H156),"")</f>
        <v/>
      </c>
      <c r="E155" s="71" t="str">
        <f>IFERROR(IF(A155="","",Relaciones!I156),"")</f>
        <v/>
      </c>
    </row>
    <row r="156" ht="18.0" customHeight="1">
      <c r="A156" s="89" t="str">
        <f>IFERROR(IF(ISERROR(FIND("-P",Relaciones!A157)),"",Relaciones!A157),"")</f>
        <v/>
      </c>
      <c r="B156" s="89" t="str">
        <f>IFERROR(IF(A156="","",Relaciones!D157),"")</f>
        <v/>
      </c>
      <c r="C156" s="73" t="str">
        <f>IFERROR(IF(A156="","",Relaciones!G157),"")</f>
        <v/>
      </c>
      <c r="D156" s="74" t="str">
        <f>IFERROR(IF(A156="","",Relaciones!H157),"")</f>
        <v/>
      </c>
      <c r="E156" s="74" t="str">
        <f>IFERROR(IF(A156="","",Relaciones!I157),"")</f>
        <v/>
      </c>
    </row>
    <row r="157" ht="18.0" customHeight="1">
      <c r="A157" s="90" t="str">
        <f>IFERROR(IF(ISERROR(FIND("-P",Relaciones!A158)),"",Relaciones!A158),"")</f>
        <v/>
      </c>
      <c r="B157" s="90" t="str">
        <f>IFERROR(IF(A157="","",Relaciones!D158),"")</f>
        <v/>
      </c>
      <c r="C157" s="70" t="str">
        <f>IFERROR(IF(A157="","",Relaciones!G158),"")</f>
        <v/>
      </c>
      <c r="D157" s="71" t="str">
        <f>IFERROR(IF(A157="","",Relaciones!H158),"")</f>
        <v/>
      </c>
      <c r="E157" s="71" t="str">
        <f>IFERROR(IF(A157="","",Relaciones!I158),"")</f>
        <v/>
      </c>
    </row>
    <row r="158" ht="18.0" customHeight="1">
      <c r="A158" s="89" t="str">
        <f>IFERROR(IF(ISERROR(FIND("-P",Relaciones!A159)),"",Relaciones!A159),"")</f>
        <v/>
      </c>
      <c r="B158" s="89" t="str">
        <f>IFERROR(IF(A158="","",Relaciones!D159),"")</f>
        <v/>
      </c>
      <c r="C158" s="73" t="str">
        <f>IFERROR(IF(A158="","",Relaciones!G159),"")</f>
        <v/>
      </c>
      <c r="D158" s="74" t="str">
        <f>IFERROR(IF(A158="","",Relaciones!H159),"")</f>
        <v/>
      </c>
      <c r="E158" s="74" t="str">
        <f>IFERROR(IF(A158="","",Relaciones!I159),"")</f>
        <v/>
      </c>
    </row>
    <row r="159" ht="18.0" customHeight="1">
      <c r="A159" s="90" t="str">
        <f>IFERROR(IF(ISERROR(FIND("-P",Relaciones!A160)),"",Relaciones!A160),"")</f>
        <v/>
      </c>
      <c r="B159" s="90" t="str">
        <f>IFERROR(IF(A159="","",Relaciones!D160),"")</f>
        <v/>
      </c>
      <c r="C159" s="70" t="str">
        <f>IFERROR(IF(A159="","",Relaciones!G160),"")</f>
        <v/>
      </c>
      <c r="D159" s="71" t="str">
        <f>IFERROR(IF(A159="","",Relaciones!H160),"")</f>
        <v/>
      </c>
      <c r="E159" s="71" t="str">
        <f>IFERROR(IF(A159="","",Relaciones!I160),"")</f>
        <v/>
      </c>
    </row>
    <row r="160" ht="18.0" customHeight="1">
      <c r="A160" s="89" t="str">
        <f>IFERROR(IF(ISERROR(FIND("-P",Relaciones!A161)),"",Relaciones!A161),"")</f>
        <v/>
      </c>
      <c r="B160" s="89" t="str">
        <f>IFERROR(IF(A160="","",Relaciones!D161),"")</f>
        <v/>
      </c>
      <c r="C160" s="73" t="str">
        <f>IFERROR(IF(A160="","",Relaciones!G161),"")</f>
        <v/>
      </c>
      <c r="D160" s="74" t="str">
        <f>IFERROR(IF(A160="","",Relaciones!H161),"")</f>
        <v/>
      </c>
      <c r="E160" s="74" t="str">
        <f>IFERROR(IF(A160="","",Relaciones!I161),"")</f>
        <v/>
      </c>
    </row>
    <row r="161" ht="18.0" customHeight="1">
      <c r="A161" s="90" t="str">
        <f>IFERROR(IF(ISERROR(FIND("-P",Relaciones!A162)),"",Relaciones!A162),"")</f>
        <v/>
      </c>
      <c r="B161" s="90" t="str">
        <f>IFERROR(IF(A161="","",Relaciones!D162),"")</f>
        <v/>
      </c>
      <c r="C161" s="70" t="str">
        <f>IFERROR(IF(A161="","",Relaciones!G162),"")</f>
        <v/>
      </c>
      <c r="D161" s="71" t="str">
        <f>IFERROR(IF(A161="","",Relaciones!H162),"")</f>
        <v/>
      </c>
      <c r="E161" s="71" t="str">
        <f>IFERROR(IF(A161="","",Relaciones!I162),"")</f>
        <v/>
      </c>
    </row>
    <row r="162" ht="18.0" customHeight="1">
      <c r="A162" s="89" t="str">
        <f>IFERROR(IF(ISERROR(FIND("-P",Relaciones!A163)),"",Relaciones!A163),"")</f>
        <v/>
      </c>
      <c r="B162" s="89" t="str">
        <f>IFERROR(IF(A162="","",Relaciones!D163),"")</f>
        <v/>
      </c>
      <c r="C162" s="73" t="str">
        <f>IFERROR(IF(A162="","",Relaciones!G163),"")</f>
        <v/>
      </c>
      <c r="D162" s="74" t="str">
        <f>IFERROR(IF(A162="","",Relaciones!H163),"")</f>
        <v/>
      </c>
      <c r="E162" s="74" t="str">
        <f>IFERROR(IF(A162="","",Relaciones!I163),"")</f>
        <v/>
      </c>
    </row>
    <row r="163" ht="18.0" customHeight="1">
      <c r="A163" s="90" t="str">
        <f>IFERROR(IF(ISERROR(FIND("-P",Relaciones!A164)),"",Relaciones!A164),"")</f>
        <v/>
      </c>
      <c r="B163" s="90" t="str">
        <f>IFERROR(IF(A163="","",Relaciones!D164),"")</f>
        <v/>
      </c>
      <c r="C163" s="70" t="str">
        <f>IFERROR(IF(A163="","",Relaciones!G164),"")</f>
        <v/>
      </c>
      <c r="D163" s="71" t="str">
        <f>IFERROR(IF(A163="","",Relaciones!H164),"")</f>
        <v/>
      </c>
      <c r="E163" s="71" t="str">
        <f>IFERROR(IF(A163="","",Relaciones!I164),"")</f>
        <v/>
      </c>
    </row>
    <row r="164" ht="18.0" customHeight="1">
      <c r="A164" s="89" t="str">
        <f>IFERROR(IF(ISERROR(FIND("-P",Relaciones!A165)),"",Relaciones!A165),"")</f>
        <v/>
      </c>
      <c r="B164" s="89" t="str">
        <f>IFERROR(IF(A164="","",Relaciones!D165),"")</f>
        <v/>
      </c>
      <c r="C164" s="73" t="str">
        <f>IFERROR(IF(A164="","",Relaciones!G165),"")</f>
        <v/>
      </c>
      <c r="D164" s="74" t="str">
        <f>IFERROR(IF(A164="","",Relaciones!H165),"")</f>
        <v/>
      </c>
      <c r="E164" s="74" t="str">
        <f>IFERROR(IF(A164="","",Relaciones!I165),"")</f>
        <v/>
      </c>
    </row>
    <row r="165" ht="18.0" customHeight="1">
      <c r="A165" s="90" t="str">
        <f>IFERROR(IF(ISERROR(FIND("-P",Relaciones!A166)),"",Relaciones!A166),"")</f>
        <v/>
      </c>
      <c r="B165" s="90" t="str">
        <f>IFERROR(IF(A165="","",Relaciones!D166),"")</f>
        <v/>
      </c>
      <c r="C165" s="70" t="str">
        <f>IFERROR(IF(A165="","",Relaciones!G166),"")</f>
        <v/>
      </c>
      <c r="D165" s="71" t="str">
        <f>IFERROR(IF(A165="","",Relaciones!H166),"")</f>
        <v/>
      </c>
      <c r="E165" s="71" t="str">
        <f>IFERROR(IF(A165="","",Relaciones!I166),"")</f>
        <v/>
      </c>
    </row>
    <row r="166" ht="18.0" customHeight="1">
      <c r="A166" s="89" t="str">
        <f>IFERROR(IF(ISERROR(FIND("-P",Relaciones!A167)),"",Relaciones!A167),"")</f>
        <v/>
      </c>
      <c r="B166" s="89" t="str">
        <f>IFERROR(IF(A166="","",Relaciones!D167),"")</f>
        <v/>
      </c>
      <c r="C166" s="73" t="str">
        <f>IFERROR(IF(A166="","",Relaciones!G167),"")</f>
        <v/>
      </c>
      <c r="D166" s="74" t="str">
        <f>IFERROR(IF(A166="","",Relaciones!H167),"")</f>
        <v/>
      </c>
      <c r="E166" s="74" t="str">
        <f>IFERROR(IF(A166="","",Relaciones!I167),"")</f>
        <v/>
      </c>
    </row>
    <row r="167" ht="18.0" customHeight="1">
      <c r="A167" s="90" t="str">
        <f>IFERROR(IF(ISERROR(FIND("-P",Relaciones!A168)),"",Relaciones!A168),"")</f>
        <v/>
      </c>
      <c r="B167" s="90" t="str">
        <f>IFERROR(IF(A167="","",Relaciones!D168),"")</f>
        <v/>
      </c>
      <c r="C167" s="70" t="str">
        <f>IFERROR(IF(A167="","",Relaciones!G168),"")</f>
        <v/>
      </c>
      <c r="D167" s="71" t="str">
        <f>IFERROR(IF(A167="","",Relaciones!H168),"")</f>
        <v/>
      </c>
      <c r="E167" s="71" t="str">
        <f>IFERROR(IF(A167="","",Relaciones!I168),"")</f>
        <v/>
      </c>
    </row>
    <row r="168" ht="18.0" customHeight="1">
      <c r="A168" s="89" t="str">
        <f>IFERROR(IF(ISERROR(FIND("-P",Relaciones!A169)),"",Relaciones!A169),"")</f>
        <v/>
      </c>
      <c r="B168" s="89" t="str">
        <f>IFERROR(IF(A168="","",Relaciones!D169),"")</f>
        <v/>
      </c>
      <c r="C168" s="73" t="str">
        <f>IFERROR(IF(A168="","",Relaciones!G169),"")</f>
        <v/>
      </c>
      <c r="D168" s="74" t="str">
        <f>IFERROR(IF(A168="","",Relaciones!H169),"")</f>
        <v/>
      </c>
      <c r="E168" s="74" t="str">
        <f>IFERROR(IF(A168="","",Relaciones!I169),"")</f>
        <v/>
      </c>
    </row>
    <row r="169" ht="18.0" customHeight="1">
      <c r="A169" s="90" t="str">
        <f>IFERROR(IF(ISERROR(FIND("-P",Relaciones!A170)),"",Relaciones!A170),"")</f>
        <v/>
      </c>
      <c r="B169" s="90" t="str">
        <f>IFERROR(IF(A169="","",Relaciones!D170),"")</f>
        <v/>
      </c>
      <c r="C169" s="70" t="str">
        <f>IFERROR(IF(A169="","",Relaciones!G170),"")</f>
        <v/>
      </c>
      <c r="D169" s="71" t="str">
        <f>IFERROR(IF(A169="","",Relaciones!H170),"")</f>
        <v/>
      </c>
      <c r="E169" s="71" t="str">
        <f>IFERROR(IF(A169="","",Relaciones!I170),"")</f>
        <v/>
      </c>
    </row>
    <row r="170" ht="18.0" customHeight="1">
      <c r="A170" s="89" t="str">
        <f>IFERROR(IF(ISERROR(FIND("-P",Relaciones!A171)),"",Relaciones!A171),"")</f>
        <v/>
      </c>
      <c r="B170" s="89" t="str">
        <f>IFERROR(IF(A170="","",Relaciones!D171),"")</f>
        <v/>
      </c>
      <c r="C170" s="73" t="str">
        <f>IFERROR(IF(A170="","",Relaciones!G171),"")</f>
        <v/>
      </c>
      <c r="D170" s="74" t="str">
        <f>IFERROR(IF(A170="","",Relaciones!H171),"")</f>
        <v/>
      </c>
      <c r="E170" s="74" t="str">
        <f>IFERROR(IF(A170="","",Relaciones!I171),"")</f>
        <v/>
      </c>
    </row>
    <row r="171" ht="18.0" customHeight="1">
      <c r="A171" s="90" t="str">
        <f>IFERROR(IF(ISERROR(FIND("-P",Relaciones!A172)),"",Relaciones!A172),"")</f>
        <v/>
      </c>
      <c r="B171" s="90" t="str">
        <f>IFERROR(IF(A171="","",Relaciones!D172),"")</f>
        <v/>
      </c>
      <c r="C171" s="70" t="str">
        <f>IFERROR(IF(A171="","",Relaciones!G172),"")</f>
        <v/>
      </c>
      <c r="D171" s="71" t="str">
        <f>IFERROR(IF(A171="","",Relaciones!H172),"")</f>
        <v/>
      </c>
      <c r="E171" s="71" t="str">
        <f>IFERROR(IF(A171="","",Relaciones!I172),"")</f>
        <v/>
      </c>
    </row>
    <row r="172" ht="18.0" customHeight="1">
      <c r="A172" s="89" t="str">
        <f>IFERROR(IF(ISERROR(FIND("-P",Relaciones!A173)),"",Relaciones!A173),"")</f>
        <v/>
      </c>
      <c r="B172" s="89" t="str">
        <f>IFERROR(IF(A172="","",Relaciones!D173),"")</f>
        <v/>
      </c>
      <c r="C172" s="73" t="str">
        <f>IFERROR(IF(A172="","",Relaciones!G173),"")</f>
        <v/>
      </c>
      <c r="D172" s="74" t="str">
        <f>IFERROR(IF(A172="","",Relaciones!H173),"")</f>
        <v/>
      </c>
      <c r="E172" s="74" t="str">
        <f>IFERROR(IF(A172="","",Relaciones!I173),"")</f>
        <v/>
      </c>
    </row>
    <row r="173" ht="18.0" customHeight="1">
      <c r="A173" s="90" t="str">
        <f>IFERROR(IF(ISERROR(FIND("-P",Relaciones!A174)),"",Relaciones!A174),"")</f>
        <v/>
      </c>
      <c r="B173" s="90" t="str">
        <f>IFERROR(IF(A173="","",Relaciones!D174),"")</f>
        <v/>
      </c>
      <c r="C173" s="70" t="str">
        <f>IFERROR(IF(A173="","",Relaciones!G174),"")</f>
        <v/>
      </c>
      <c r="D173" s="71" t="str">
        <f>IFERROR(IF(A173="","",Relaciones!H174),"")</f>
        <v/>
      </c>
      <c r="E173" s="71" t="str">
        <f>IFERROR(IF(A173="","",Relaciones!I174),"")</f>
        <v/>
      </c>
    </row>
    <row r="174" ht="18.0" customHeight="1">
      <c r="A174" s="89" t="str">
        <f>IFERROR(IF(ISERROR(FIND("-P",Relaciones!A175)),"",Relaciones!A175),"")</f>
        <v/>
      </c>
      <c r="B174" s="89" t="str">
        <f>IFERROR(IF(A174="","",Relaciones!D175),"")</f>
        <v/>
      </c>
      <c r="C174" s="73" t="str">
        <f>IFERROR(IF(A174="","",Relaciones!G175),"")</f>
        <v/>
      </c>
      <c r="D174" s="74" t="str">
        <f>IFERROR(IF(A174="","",Relaciones!H175),"")</f>
        <v/>
      </c>
      <c r="E174" s="74" t="str">
        <f>IFERROR(IF(A174="","",Relaciones!I175),"")</f>
        <v/>
      </c>
    </row>
    <row r="175" ht="18.0" customHeight="1">
      <c r="A175" s="90" t="str">
        <f>IFERROR(IF(ISERROR(FIND("-P",Relaciones!A176)),"",Relaciones!A176),"")</f>
        <v/>
      </c>
      <c r="B175" s="90" t="str">
        <f>IFERROR(IF(A175="","",Relaciones!D176),"")</f>
        <v/>
      </c>
      <c r="C175" s="70" t="str">
        <f>IFERROR(IF(A175="","",Relaciones!G176),"")</f>
        <v/>
      </c>
      <c r="D175" s="71" t="str">
        <f>IFERROR(IF(A175="","",Relaciones!H176),"")</f>
        <v/>
      </c>
      <c r="E175" s="71" t="str">
        <f>IFERROR(IF(A175="","",Relaciones!I176),"")</f>
        <v/>
      </c>
    </row>
    <row r="176" ht="18.0" customHeight="1">
      <c r="A176" s="89" t="str">
        <f>IFERROR(IF(ISERROR(FIND("-P",Relaciones!A177)),"",Relaciones!A177),"")</f>
        <v/>
      </c>
      <c r="B176" s="89" t="str">
        <f>IFERROR(IF(A176="","",Relaciones!D177),"")</f>
        <v/>
      </c>
      <c r="C176" s="73" t="str">
        <f>IFERROR(IF(A176="","",Relaciones!G177),"")</f>
        <v/>
      </c>
      <c r="D176" s="74" t="str">
        <f>IFERROR(IF(A176="","",Relaciones!H177),"")</f>
        <v/>
      </c>
      <c r="E176" s="74" t="str">
        <f>IFERROR(IF(A176="","",Relaciones!I177),"")</f>
        <v/>
      </c>
    </row>
    <row r="177" ht="18.0" customHeight="1">
      <c r="A177" s="90" t="str">
        <f>IFERROR(IF(ISERROR(FIND("-P",Relaciones!A178)),"",Relaciones!A178),"")</f>
        <v/>
      </c>
      <c r="B177" s="90" t="str">
        <f>IFERROR(IF(A177="","",Relaciones!D178),"")</f>
        <v/>
      </c>
      <c r="C177" s="70" t="str">
        <f>IFERROR(IF(A177="","",Relaciones!G178),"")</f>
        <v/>
      </c>
      <c r="D177" s="71" t="str">
        <f>IFERROR(IF(A177="","",Relaciones!H178),"")</f>
        <v/>
      </c>
      <c r="E177" s="71" t="str">
        <f>IFERROR(IF(A177="","",Relaciones!I178),"")</f>
        <v/>
      </c>
    </row>
    <row r="178" ht="18.0" customHeight="1">
      <c r="A178" s="89" t="str">
        <f>IFERROR(IF(ISERROR(FIND("-P",Relaciones!A179)),"",Relaciones!A179),"")</f>
        <v/>
      </c>
      <c r="B178" s="89" t="str">
        <f>IFERROR(IF(A178="","",Relaciones!D179),"")</f>
        <v/>
      </c>
      <c r="C178" s="73" t="str">
        <f>IFERROR(IF(A178="","",Relaciones!G179),"")</f>
        <v/>
      </c>
      <c r="D178" s="74" t="str">
        <f>IFERROR(IF(A178="","",Relaciones!H179),"")</f>
        <v/>
      </c>
      <c r="E178" s="74" t="str">
        <f>IFERROR(IF(A178="","",Relaciones!I179),"")</f>
        <v/>
      </c>
    </row>
    <row r="179" ht="18.0" customHeight="1">
      <c r="A179" s="90" t="str">
        <f>IFERROR(IF(ISERROR(FIND("-P",Relaciones!A180)),"",Relaciones!A180),"")</f>
        <v/>
      </c>
      <c r="B179" s="90" t="str">
        <f>IFERROR(IF(A179="","",Relaciones!D180),"")</f>
        <v/>
      </c>
      <c r="C179" s="70" t="str">
        <f>IFERROR(IF(A179="","",Relaciones!G180),"")</f>
        <v/>
      </c>
      <c r="D179" s="71" t="str">
        <f>IFERROR(IF(A179="","",Relaciones!H180),"")</f>
        <v/>
      </c>
      <c r="E179" s="71" t="str">
        <f>IFERROR(IF(A179="","",Relaciones!I180),"")</f>
        <v/>
      </c>
    </row>
    <row r="180" ht="18.0" customHeight="1">
      <c r="A180" s="89" t="str">
        <f>IFERROR(IF(ISERROR(FIND("-P",Relaciones!A181)),"",Relaciones!A181),"")</f>
        <v/>
      </c>
      <c r="B180" s="89" t="str">
        <f>IFERROR(IF(A180="","",Relaciones!D181),"")</f>
        <v/>
      </c>
      <c r="C180" s="73" t="str">
        <f>IFERROR(IF(A180="","",Relaciones!G181),"")</f>
        <v/>
      </c>
      <c r="D180" s="74" t="str">
        <f>IFERROR(IF(A180="","",Relaciones!H181),"")</f>
        <v/>
      </c>
      <c r="E180" s="74" t="str">
        <f>IFERROR(IF(A180="","",Relaciones!I181),"")</f>
        <v/>
      </c>
    </row>
    <row r="181" ht="18.0" customHeight="1">
      <c r="A181" s="90" t="str">
        <f>IFERROR(IF(ISERROR(FIND("-P",Relaciones!A182)),"",Relaciones!A182),"")</f>
        <v/>
      </c>
      <c r="B181" s="90" t="str">
        <f>IFERROR(IF(A181="","",Relaciones!D182),"")</f>
        <v/>
      </c>
      <c r="C181" s="70" t="str">
        <f>IFERROR(IF(A181="","",Relaciones!G182),"")</f>
        <v/>
      </c>
      <c r="D181" s="71" t="str">
        <f>IFERROR(IF(A181="","",Relaciones!H182),"")</f>
        <v/>
      </c>
      <c r="E181" s="71" t="str">
        <f>IFERROR(IF(A181="","",Relaciones!I182),"")</f>
        <v/>
      </c>
    </row>
    <row r="182" ht="18.0" customHeight="1">
      <c r="A182" s="89" t="str">
        <f>IFERROR(IF(ISERROR(FIND("-P",Relaciones!A183)),"",Relaciones!A183),"")</f>
        <v/>
      </c>
      <c r="B182" s="89" t="str">
        <f>IFERROR(IF(A182="","",Relaciones!D183),"")</f>
        <v/>
      </c>
      <c r="C182" s="73" t="str">
        <f>IFERROR(IF(A182="","",Relaciones!G183),"")</f>
        <v/>
      </c>
      <c r="D182" s="74" t="str">
        <f>IFERROR(IF(A182="","",Relaciones!H183),"")</f>
        <v/>
      </c>
      <c r="E182" s="74" t="str">
        <f>IFERROR(IF(A182="","",Relaciones!I183),"")</f>
        <v/>
      </c>
    </row>
    <row r="183" ht="18.0" customHeight="1">
      <c r="A183" s="90" t="str">
        <f>IFERROR(IF(ISERROR(FIND("-P",Relaciones!A184)),"",Relaciones!A184),"")</f>
        <v/>
      </c>
      <c r="B183" s="90" t="str">
        <f>IFERROR(IF(A183="","",Relaciones!D184),"")</f>
        <v/>
      </c>
      <c r="C183" s="70" t="str">
        <f>IFERROR(IF(A183="","",Relaciones!G184),"")</f>
        <v/>
      </c>
      <c r="D183" s="71" t="str">
        <f>IFERROR(IF(A183="","",Relaciones!H184),"")</f>
        <v/>
      </c>
      <c r="E183" s="71" t="str">
        <f>IFERROR(IF(A183="","",Relaciones!I184),"")</f>
        <v/>
      </c>
    </row>
    <row r="184" ht="18.0" customHeight="1">
      <c r="A184" s="89" t="str">
        <f>IFERROR(IF(ISERROR(FIND("-P",Relaciones!A185)),"",Relaciones!A185),"")</f>
        <v/>
      </c>
      <c r="B184" s="89" t="str">
        <f>IFERROR(IF(A184="","",Relaciones!D185),"")</f>
        <v/>
      </c>
      <c r="C184" s="73" t="str">
        <f>IFERROR(IF(A184="","",Relaciones!G185),"")</f>
        <v/>
      </c>
      <c r="D184" s="74" t="str">
        <f>IFERROR(IF(A184="","",Relaciones!H185),"")</f>
        <v/>
      </c>
      <c r="E184" s="74" t="str">
        <f>IFERROR(IF(A184="","",Relaciones!I185),"")</f>
        <v/>
      </c>
    </row>
    <row r="185" ht="18.0" customHeight="1">
      <c r="A185" s="90" t="str">
        <f>IFERROR(IF(ISERROR(FIND("-P",Relaciones!A186)),"",Relaciones!A186),"")</f>
        <v/>
      </c>
      <c r="B185" s="90" t="str">
        <f>IFERROR(IF(A185="","",Relaciones!D186),"")</f>
        <v/>
      </c>
      <c r="C185" s="70" t="str">
        <f>IFERROR(IF(A185="","",Relaciones!G186),"")</f>
        <v/>
      </c>
      <c r="D185" s="71" t="str">
        <f>IFERROR(IF(A185="","",Relaciones!H186),"")</f>
        <v/>
      </c>
      <c r="E185" s="71" t="str">
        <f>IFERROR(IF(A185="","",Relaciones!I186),"")</f>
        <v/>
      </c>
    </row>
    <row r="186" ht="18.0" customHeight="1">
      <c r="A186" s="89" t="str">
        <f>IFERROR(IF(ISERROR(FIND("-P",Relaciones!A187)),"",Relaciones!A187),"")</f>
        <v/>
      </c>
      <c r="B186" s="89" t="str">
        <f>IFERROR(IF(A186="","",Relaciones!D187),"")</f>
        <v/>
      </c>
      <c r="C186" s="73" t="str">
        <f>IFERROR(IF(A186="","",Relaciones!G187),"")</f>
        <v/>
      </c>
      <c r="D186" s="74" t="str">
        <f>IFERROR(IF(A186="","",Relaciones!H187),"")</f>
        <v/>
      </c>
      <c r="E186" s="74" t="str">
        <f>IFERROR(IF(A186="","",Relaciones!I187),"")</f>
        <v/>
      </c>
    </row>
    <row r="187" ht="18.0" customHeight="1">
      <c r="A187" s="90" t="str">
        <f>IFERROR(IF(ISERROR(FIND("-P",Relaciones!A188)),"",Relaciones!A188),"")</f>
        <v/>
      </c>
      <c r="B187" s="90" t="str">
        <f>IFERROR(IF(A187="","",Relaciones!D188),"")</f>
        <v/>
      </c>
      <c r="C187" s="70" t="str">
        <f>IFERROR(IF(A187="","",Relaciones!G188),"")</f>
        <v/>
      </c>
      <c r="D187" s="71" t="str">
        <f>IFERROR(IF(A187="","",Relaciones!H188),"")</f>
        <v/>
      </c>
      <c r="E187" s="71" t="str">
        <f>IFERROR(IF(A187="","",Relaciones!I188),"")</f>
        <v/>
      </c>
    </row>
    <row r="188" ht="18.0" customHeight="1">
      <c r="A188" s="89" t="str">
        <f>IFERROR(IF(ISERROR(FIND("-P",Relaciones!A189)),"",Relaciones!A189),"")</f>
        <v/>
      </c>
      <c r="B188" s="89" t="str">
        <f>IFERROR(IF(A188="","",Relaciones!D189),"")</f>
        <v/>
      </c>
      <c r="C188" s="73" t="str">
        <f>IFERROR(IF(A188="","",Relaciones!G189),"")</f>
        <v/>
      </c>
      <c r="D188" s="74" t="str">
        <f>IFERROR(IF(A188="","",Relaciones!H189),"")</f>
        <v/>
      </c>
      <c r="E188" s="74" t="str">
        <f>IFERROR(IF(A188="","",Relaciones!I189),"")</f>
        <v/>
      </c>
    </row>
    <row r="189" ht="18.0" customHeight="1">
      <c r="A189" s="90" t="str">
        <f>IFERROR(IF(ISERROR(FIND("-P",Relaciones!A190)),"",Relaciones!A190),"")</f>
        <v/>
      </c>
      <c r="B189" s="90" t="str">
        <f>IFERROR(IF(A189="","",Relaciones!D190),"")</f>
        <v/>
      </c>
      <c r="C189" s="70" t="str">
        <f>IFERROR(IF(A189="","",Relaciones!G190),"")</f>
        <v/>
      </c>
      <c r="D189" s="71" t="str">
        <f>IFERROR(IF(A189="","",Relaciones!H190),"")</f>
        <v/>
      </c>
      <c r="E189" s="71" t="str">
        <f>IFERROR(IF(A189="","",Relaciones!I190),"")</f>
        <v/>
      </c>
    </row>
    <row r="190" ht="18.0" customHeight="1">
      <c r="A190" s="89" t="str">
        <f>IFERROR(IF(ISERROR(FIND("-P",Relaciones!A191)),"",Relaciones!A191),"")</f>
        <v/>
      </c>
      <c r="B190" s="89" t="str">
        <f>IFERROR(IF(A190="","",Relaciones!D191),"")</f>
        <v/>
      </c>
      <c r="C190" s="73" t="str">
        <f>IFERROR(IF(A190="","",Relaciones!G191),"")</f>
        <v/>
      </c>
      <c r="D190" s="74" t="str">
        <f>IFERROR(IF(A190="","",Relaciones!H191),"")</f>
        <v/>
      </c>
      <c r="E190" s="74" t="str">
        <f>IFERROR(IF(A190="","",Relaciones!I191),"")</f>
        <v/>
      </c>
    </row>
    <row r="191" ht="18.0" customHeight="1">
      <c r="A191" s="90" t="str">
        <f>IFERROR(IF(ISERROR(FIND("-P",Relaciones!A192)),"",Relaciones!A192),"")</f>
        <v/>
      </c>
      <c r="B191" s="90" t="str">
        <f>IFERROR(IF(A191="","",Relaciones!D192),"")</f>
        <v/>
      </c>
      <c r="C191" s="70" t="str">
        <f>IFERROR(IF(A191="","",Relaciones!G192),"")</f>
        <v/>
      </c>
      <c r="D191" s="71" t="str">
        <f>IFERROR(IF(A191="","",Relaciones!H192),"")</f>
        <v/>
      </c>
      <c r="E191" s="71" t="str">
        <f>IFERROR(IF(A191="","",Relaciones!I192),"")</f>
        <v/>
      </c>
    </row>
    <row r="192" ht="18.0" customHeight="1">
      <c r="A192" s="89" t="str">
        <f>IFERROR(IF(ISERROR(FIND("-P",Relaciones!A193)),"",Relaciones!A193),"")</f>
        <v/>
      </c>
      <c r="B192" s="89" t="str">
        <f>IFERROR(IF(A192="","",Relaciones!D193),"")</f>
        <v/>
      </c>
      <c r="C192" s="73" t="str">
        <f>IFERROR(IF(A192="","",Relaciones!G193),"")</f>
        <v/>
      </c>
      <c r="D192" s="74" t="str">
        <f>IFERROR(IF(A192="","",Relaciones!H193),"")</f>
        <v/>
      </c>
      <c r="E192" s="74" t="str">
        <f>IFERROR(IF(A192="","",Relaciones!I193),"")</f>
        <v/>
      </c>
    </row>
    <row r="193" ht="18.0" customHeight="1">
      <c r="A193" s="90" t="str">
        <f>IFERROR(IF(ISERROR(FIND("-P",Relaciones!A194)),"",Relaciones!A194),"")</f>
        <v/>
      </c>
      <c r="B193" s="90" t="str">
        <f>IFERROR(IF(A193="","",Relaciones!D194),"")</f>
        <v/>
      </c>
      <c r="C193" s="70" t="str">
        <f>IFERROR(IF(A193="","",Relaciones!G194),"")</f>
        <v/>
      </c>
      <c r="D193" s="71" t="str">
        <f>IFERROR(IF(A193="","",Relaciones!H194),"")</f>
        <v/>
      </c>
      <c r="E193" s="71" t="str">
        <f>IFERROR(IF(A193="","",Relaciones!I194),"")</f>
        <v/>
      </c>
    </row>
    <row r="194" ht="18.0" customHeight="1">
      <c r="A194" s="89" t="str">
        <f>IFERROR(IF(ISERROR(FIND("-P",Relaciones!A195)),"",Relaciones!A195),"")</f>
        <v/>
      </c>
      <c r="B194" s="89" t="str">
        <f>IFERROR(IF(A194="","",Relaciones!D195),"")</f>
        <v/>
      </c>
      <c r="C194" s="73" t="str">
        <f>IFERROR(IF(A194="","",Relaciones!G195),"")</f>
        <v/>
      </c>
      <c r="D194" s="74" t="str">
        <f>IFERROR(IF(A194="","",Relaciones!H195),"")</f>
        <v/>
      </c>
      <c r="E194" s="74" t="str">
        <f>IFERROR(IF(A194="","",Relaciones!I195),"")</f>
        <v/>
      </c>
    </row>
    <row r="195" ht="18.0" customHeight="1">
      <c r="A195" s="90" t="str">
        <f>IFERROR(IF(ISERROR(FIND("-P",Relaciones!A196)),"",Relaciones!A196),"")</f>
        <v/>
      </c>
      <c r="B195" s="90" t="str">
        <f>IFERROR(IF(A195="","",Relaciones!D196),"")</f>
        <v/>
      </c>
      <c r="C195" s="70" t="str">
        <f>IFERROR(IF(A195="","",Relaciones!G196),"")</f>
        <v/>
      </c>
      <c r="D195" s="71" t="str">
        <f>IFERROR(IF(A195="","",Relaciones!H196),"")</f>
        <v/>
      </c>
      <c r="E195" s="71" t="str">
        <f>IFERROR(IF(A195="","",Relaciones!I196),"")</f>
        <v/>
      </c>
    </row>
    <row r="196" ht="18.0" customHeight="1">
      <c r="A196" s="89" t="str">
        <f>IFERROR(IF(ISERROR(FIND("-P",Relaciones!A197)),"",Relaciones!A197),"")</f>
        <v/>
      </c>
      <c r="B196" s="89" t="str">
        <f>IFERROR(IF(A196="","",Relaciones!D197),"")</f>
        <v/>
      </c>
      <c r="C196" s="73" t="str">
        <f>IFERROR(IF(A196="","",Relaciones!G197),"")</f>
        <v/>
      </c>
      <c r="D196" s="74" t="str">
        <f>IFERROR(IF(A196="","",Relaciones!H197),"")</f>
        <v/>
      </c>
      <c r="E196" s="74" t="str">
        <f>IFERROR(IF(A196="","",Relaciones!I197),"")</f>
        <v/>
      </c>
    </row>
    <row r="197" ht="18.0" customHeight="1">
      <c r="A197" s="90" t="str">
        <f>IFERROR(IF(ISERROR(FIND("-P",Relaciones!A198)),"",Relaciones!A198),"")</f>
        <v/>
      </c>
      <c r="B197" s="90" t="str">
        <f>IFERROR(IF(A197="","",Relaciones!D198),"")</f>
        <v/>
      </c>
      <c r="C197" s="70" t="str">
        <f>IFERROR(IF(A197="","",Relaciones!G198),"")</f>
        <v/>
      </c>
      <c r="D197" s="71" t="str">
        <f>IFERROR(IF(A197="","",Relaciones!H198),"")</f>
        <v/>
      </c>
      <c r="E197" s="71" t="str">
        <f>IFERROR(IF(A197="","",Relaciones!I198),"")</f>
        <v/>
      </c>
    </row>
    <row r="198" ht="18.0" customHeight="1">
      <c r="A198" s="89" t="str">
        <f>IFERROR(IF(ISERROR(FIND("-P",Relaciones!A199)),"",Relaciones!A199),"")</f>
        <v/>
      </c>
      <c r="B198" s="89" t="str">
        <f>IFERROR(IF(A198="","",Relaciones!D199),"")</f>
        <v/>
      </c>
      <c r="C198" s="73" t="str">
        <f>IFERROR(IF(A198="","",Relaciones!G199),"")</f>
        <v/>
      </c>
      <c r="D198" s="74" t="str">
        <f>IFERROR(IF(A198="","",Relaciones!H199),"")</f>
        <v/>
      </c>
      <c r="E198" s="74" t="str">
        <f>IFERROR(IF(A198="","",Relaciones!I199),"")</f>
        <v/>
      </c>
    </row>
    <row r="199" ht="18.0" customHeight="1">
      <c r="A199" s="90" t="str">
        <f>IFERROR(IF(ISERROR(FIND("-P",Relaciones!A200)),"",Relaciones!A200),"")</f>
        <v/>
      </c>
      <c r="B199" s="90" t="str">
        <f>IFERROR(IF(A199="","",Relaciones!D200),"")</f>
        <v/>
      </c>
      <c r="C199" s="70" t="str">
        <f>IFERROR(IF(A199="","",Relaciones!G200),"")</f>
        <v/>
      </c>
      <c r="D199" s="71" t="str">
        <f>IFERROR(IF(A199="","",Relaciones!H200),"")</f>
        <v/>
      </c>
      <c r="E199" s="71" t="str">
        <f>IFERROR(IF(A199="","",Relaciones!I200),"")</f>
        <v/>
      </c>
    </row>
    <row r="200" ht="18.0" customHeight="1">
      <c r="A200" s="89" t="str">
        <f>IFERROR(IF(ISERROR(FIND("-P",Relaciones!A201)),"",Relaciones!A201),"")</f>
        <v/>
      </c>
      <c r="B200" s="89" t="str">
        <f>IFERROR(IF(A200="","",Relaciones!D201),"")</f>
        <v/>
      </c>
      <c r="C200" s="73" t="str">
        <f>IFERROR(IF(A200="","",Relaciones!G201),"")</f>
        <v/>
      </c>
      <c r="D200" s="74" t="str">
        <f>IFERROR(IF(A200="","",Relaciones!H201),"")</f>
        <v/>
      </c>
      <c r="E200" s="74" t="str">
        <f>IFERROR(IF(A200="","",Relaciones!I201),"")</f>
        <v/>
      </c>
    </row>
    <row r="201" ht="18.0" customHeight="1">
      <c r="A201" s="90" t="str">
        <f>IFERROR(IF(ISERROR(FIND("-P",Relaciones!A202)),"",Relaciones!A202),"")</f>
        <v/>
      </c>
      <c r="B201" s="90" t="str">
        <f>IFERROR(IF(A201="","",Relaciones!D202),"")</f>
        <v/>
      </c>
      <c r="C201" s="70" t="str">
        <f>IFERROR(IF(A201="","",Relaciones!G202),"")</f>
        <v/>
      </c>
      <c r="D201" s="71" t="str">
        <f>IFERROR(IF(A201="","",Relaciones!H202),"")</f>
        <v/>
      </c>
      <c r="E201" s="71" t="str">
        <f>IFERROR(IF(A201="","",Relaciones!I202),"")</f>
        <v/>
      </c>
    </row>
    <row r="202" ht="18.0" customHeight="1">
      <c r="A202" s="89" t="str">
        <f>IFERROR(IF(ISERROR(FIND("-P",Relaciones!A203)),"",Relaciones!A203),"")</f>
        <v/>
      </c>
      <c r="B202" s="89" t="str">
        <f>IFERROR(IF(A202="","",Relaciones!D203),"")</f>
        <v/>
      </c>
      <c r="C202" s="73" t="str">
        <f>IFERROR(IF(A202="","",Relaciones!G203),"")</f>
        <v/>
      </c>
      <c r="D202" s="74" t="str">
        <f>IFERROR(IF(A202="","",Relaciones!H203),"")</f>
        <v/>
      </c>
      <c r="E202" s="74" t="str">
        <f>IFERROR(IF(A202="","",Relaciones!I203),"")</f>
        <v/>
      </c>
    </row>
    <row r="203" ht="18.0" customHeight="1">
      <c r="A203" s="90" t="str">
        <f>IFERROR(IF(ISERROR(FIND("-P",Relaciones!A204)),"",Relaciones!A204),"")</f>
        <v/>
      </c>
      <c r="B203" s="90" t="str">
        <f>IFERROR(IF(A203="","",Relaciones!D204),"")</f>
        <v/>
      </c>
      <c r="C203" s="70" t="str">
        <f>IFERROR(IF(A203="","",Relaciones!G204),"")</f>
        <v/>
      </c>
      <c r="D203" s="71" t="str">
        <f>IFERROR(IF(A203="","",Relaciones!H204),"")</f>
        <v/>
      </c>
      <c r="E203" s="71" t="str">
        <f>IFERROR(IF(A203="","",Relaciones!I204),"")</f>
        <v/>
      </c>
    </row>
    <row r="204" ht="18.0" customHeight="1">
      <c r="A204" s="89" t="str">
        <f>IFERROR(IF(ISERROR(FIND("-P",Relaciones!A205)),"",Relaciones!A205),"")</f>
        <v/>
      </c>
      <c r="B204" s="89" t="str">
        <f>IFERROR(IF(A204="","",Relaciones!D205),"")</f>
        <v/>
      </c>
      <c r="C204" s="73" t="str">
        <f>IFERROR(IF(A204="","",Relaciones!G205),"")</f>
        <v/>
      </c>
      <c r="D204" s="74" t="str">
        <f>IFERROR(IF(A204="","",Relaciones!H205),"")</f>
        <v/>
      </c>
      <c r="E204" s="74" t="str">
        <f>IFERROR(IF(A204="","",Relaciones!I205),"")</f>
        <v/>
      </c>
    </row>
    <row r="205" ht="18.0" customHeight="1">
      <c r="A205" s="90" t="str">
        <f>IFERROR(IF(ISERROR(FIND("-P",Relaciones!A206)),"",Relaciones!A206),"")</f>
        <v/>
      </c>
      <c r="B205" s="90" t="str">
        <f>IFERROR(IF(A205="","",Relaciones!D206),"")</f>
        <v/>
      </c>
      <c r="C205" s="70" t="str">
        <f>IFERROR(IF(A205="","",Relaciones!G206),"")</f>
        <v/>
      </c>
      <c r="D205" s="71" t="str">
        <f>IFERROR(IF(A205="","",Relaciones!H206),"")</f>
        <v/>
      </c>
      <c r="E205" s="71" t="str">
        <f>IFERROR(IF(A205="","",Relaciones!I206),"")</f>
        <v/>
      </c>
    </row>
    <row r="206" ht="18.0" customHeight="1">
      <c r="A206" s="89" t="str">
        <f>IFERROR(IF(ISERROR(FIND("-P",Relaciones!A207)),"",Relaciones!A207),"")</f>
        <v/>
      </c>
      <c r="B206" s="89" t="str">
        <f>IFERROR(IF(A206="","",Relaciones!D207),"")</f>
        <v/>
      </c>
      <c r="C206" s="73" t="str">
        <f>IFERROR(IF(A206="","",Relaciones!G207),"")</f>
        <v/>
      </c>
      <c r="D206" s="74" t="str">
        <f>IFERROR(IF(A206="","",Relaciones!H207),"")</f>
        <v/>
      </c>
      <c r="E206" s="74" t="str">
        <f>IFERROR(IF(A206="","",Relaciones!I207),"")</f>
        <v/>
      </c>
    </row>
    <row r="207" ht="18.0" customHeight="1">
      <c r="A207" s="90" t="str">
        <f>IFERROR(IF(ISERROR(FIND("-P",Relaciones!A208)),"",Relaciones!A208),"")</f>
        <v/>
      </c>
      <c r="B207" s="90" t="str">
        <f>IFERROR(IF(A207="","",Relaciones!D208),"")</f>
        <v/>
      </c>
      <c r="C207" s="70" t="str">
        <f>IFERROR(IF(A207="","",Relaciones!G208),"")</f>
        <v/>
      </c>
      <c r="D207" s="71" t="str">
        <f>IFERROR(IF(A207="","",Relaciones!H208),"")</f>
        <v/>
      </c>
      <c r="E207" s="71" t="str">
        <f>IFERROR(IF(A207="","",Relaciones!I208),"")</f>
        <v/>
      </c>
    </row>
    <row r="208" ht="18.0" customHeight="1">
      <c r="A208" s="89" t="str">
        <f>IFERROR(IF(ISERROR(FIND("-P",Relaciones!A209)),"",Relaciones!A209),"")</f>
        <v/>
      </c>
      <c r="B208" s="89" t="str">
        <f>IFERROR(IF(A208="","",Relaciones!D209),"")</f>
        <v/>
      </c>
      <c r="C208" s="73" t="str">
        <f>IFERROR(IF(A208="","",Relaciones!G209),"")</f>
        <v/>
      </c>
      <c r="D208" s="74" t="str">
        <f>IFERROR(IF(A208="","",Relaciones!H209),"")</f>
        <v/>
      </c>
      <c r="E208" s="74" t="str">
        <f>IFERROR(IF(A208="","",Relaciones!I209),"")</f>
        <v/>
      </c>
    </row>
    <row r="209" ht="18.0" customHeight="1">
      <c r="A209" s="90" t="str">
        <f>IFERROR(IF(ISERROR(FIND("-P",Relaciones!A210)),"",Relaciones!A210),"")</f>
        <v/>
      </c>
      <c r="B209" s="90" t="str">
        <f>IFERROR(IF(A209="","",Relaciones!D210),"")</f>
        <v/>
      </c>
      <c r="C209" s="70" t="str">
        <f>IFERROR(IF(A209="","",Relaciones!G210),"")</f>
        <v/>
      </c>
      <c r="D209" s="71" t="str">
        <f>IFERROR(IF(A209="","",Relaciones!H210),"")</f>
        <v/>
      </c>
      <c r="E209" s="71" t="str">
        <f>IFERROR(IF(A209="","",Relaciones!I210),"")</f>
        <v/>
      </c>
    </row>
    <row r="210" ht="18.0" customHeight="1">
      <c r="A210" s="89" t="str">
        <f>IFERROR(IF(ISERROR(FIND("-P",Relaciones!A211)),"",Relaciones!A211),"")</f>
        <v/>
      </c>
      <c r="B210" s="89" t="str">
        <f>IFERROR(IF(A210="","",Relaciones!D211),"")</f>
        <v/>
      </c>
      <c r="C210" s="73" t="str">
        <f>IFERROR(IF(A210="","",Relaciones!G211),"")</f>
        <v/>
      </c>
      <c r="D210" s="74" t="str">
        <f>IFERROR(IF(A210="","",Relaciones!H211),"")</f>
        <v/>
      </c>
      <c r="E210" s="74" t="str">
        <f>IFERROR(IF(A210="","",Relaciones!I211),"")</f>
        <v/>
      </c>
    </row>
    <row r="211" ht="18.0" customHeight="1">
      <c r="A211" s="90" t="str">
        <f>IFERROR(IF(ISERROR(FIND("-P",Relaciones!A212)),"",Relaciones!A212),"")</f>
        <v/>
      </c>
      <c r="B211" s="90" t="str">
        <f>IFERROR(IF(A211="","",Relaciones!D212),"")</f>
        <v/>
      </c>
      <c r="C211" s="70" t="str">
        <f>IFERROR(IF(A211="","",Relaciones!G212),"")</f>
        <v/>
      </c>
      <c r="D211" s="71" t="str">
        <f>IFERROR(IF(A211="","",Relaciones!H212),"")</f>
        <v/>
      </c>
      <c r="E211" s="71" t="str">
        <f>IFERROR(IF(A211="","",Relaciones!I212),"")</f>
        <v/>
      </c>
    </row>
    <row r="212" ht="18.0" customHeight="1">
      <c r="A212" s="89" t="str">
        <f>IFERROR(IF(ISERROR(FIND("-P",Relaciones!A213)),"",Relaciones!A213),"")</f>
        <v/>
      </c>
      <c r="B212" s="89" t="str">
        <f>IFERROR(IF(A212="","",Relaciones!D213),"")</f>
        <v/>
      </c>
      <c r="C212" s="73" t="str">
        <f>IFERROR(IF(A212="","",Relaciones!G213),"")</f>
        <v/>
      </c>
      <c r="D212" s="74" t="str">
        <f>IFERROR(IF(A212="","",Relaciones!H213),"")</f>
        <v/>
      </c>
      <c r="E212" s="74" t="str">
        <f>IFERROR(IF(A212="","",Relaciones!I213),"")</f>
        <v/>
      </c>
    </row>
    <row r="213" ht="18.0" customHeight="1">
      <c r="A213" s="90" t="str">
        <f>IFERROR(IF(ISERROR(FIND("-P",Relaciones!A214)),"",Relaciones!A214),"")</f>
        <v/>
      </c>
      <c r="B213" s="90" t="str">
        <f>IFERROR(IF(A213="","",Relaciones!D214),"")</f>
        <v/>
      </c>
      <c r="C213" s="70" t="str">
        <f>IFERROR(IF(A213="","",Relaciones!G214),"")</f>
        <v/>
      </c>
      <c r="D213" s="71" t="str">
        <f>IFERROR(IF(A213="","",Relaciones!H214),"")</f>
        <v/>
      </c>
      <c r="E213" s="71" t="str">
        <f>IFERROR(IF(A213="","",Relaciones!I214),"")</f>
        <v/>
      </c>
    </row>
    <row r="214" ht="18.0" customHeight="1">
      <c r="A214" s="89" t="str">
        <f>IFERROR(IF(ISERROR(FIND("-P",Relaciones!A215)),"",Relaciones!A215),"")</f>
        <v/>
      </c>
      <c r="B214" s="89" t="str">
        <f>IFERROR(IF(A214="","",Relaciones!D215),"")</f>
        <v/>
      </c>
      <c r="C214" s="73" t="str">
        <f>IFERROR(IF(A214="","",Relaciones!G215),"")</f>
        <v/>
      </c>
      <c r="D214" s="74" t="str">
        <f>IFERROR(IF(A214="","",Relaciones!H215),"")</f>
        <v/>
      </c>
      <c r="E214" s="74" t="str">
        <f>IFERROR(IF(A214="","",Relaciones!I215),"")</f>
        <v/>
      </c>
    </row>
    <row r="215" ht="18.0" customHeight="1">
      <c r="A215" s="90" t="str">
        <f>IFERROR(IF(ISERROR(FIND("-P",Relaciones!A216)),"",Relaciones!A216),"")</f>
        <v/>
      </c>
      <c r="B215" s="90" t="str">
        <f>IFERROR(IF(A215="","",Relaciones!D216),"")</f>
        <v/>
      </c>
      <c r="C215" s="70" t="str">
        <f>IFERROR(IF(A215="","",Relaciones!G216),"")</f>
        <v/>
      </c>
      <c r="D215" s="71" t="str">
        <f>IFERROR(IF(A215="","",Relaciones!H216),"")</f>
        <v/>
      </c>
      <c r="E215" s="71" t="str">
        <f>IFERROR(IF(A215="","",Relaciones!I216),"")</f>
        <v/>
      </c>
    </row>
    <row r="216" ht="18.0" customHeight="1">
      <c r="A216" s="89" t="str">
        <f>IFERROR(IF(ISERROR(FIND("-P",Relaciones!A217)),"",Relaciones!A217),"")</f>
        <v/>
      </c>
      <c r="B216" s="89" t="str">
        <f>IFERROR(IF(A216="","",Relaciones!D217),"")</f>
        <v/>
      </c>
      <c r="C216" s="73" t="str">
        <f>IFERROR(IF(A216="","",Relaciones!G217),"")</f>
        <v/>
      </c>
      <c r="D216" s="74" t="str">
        <f>IFERROR(IF(A216="","",Relaciones!H217),"")</f>
        <v/>
      </c>
      <c r="E216" s="74" t="str">
        <f>IFERROR(IF(A216="","",Relaciones!I217),"")</f>
        <v/>
      </c>
    </row>
    <row r="217" ht="18.0" customHeight="1">
      <c r="A217" s="90" t="str">
        <f>IFERROR(IF(ISERROR(FIND("-P",Relaciones!A218)),"",Relaciones!A218),"")</f>
        <v/>
      </c>
      <c r="B217" s="90" t="str">
        <f>IFERROR(IF(A217="","",Relaciones!D218),"")</f>
        <v/>
      </c>
      <c r="C217" s="70" t="str">
        <f>IFERROR(IF(A217="","",Relaciones!G218),"")</f>
        <v/>
      </c>
      <c r="D217" s="71" t="str">
        <f>IFERROR(IF(A217="","",Relaciones!H218),"")</f>
        <v/>
      </c>
      <c r="E217" s="71" t="str">
        <f>IFERROR(IF(A217="","",Relaciones!I218),"")</f>
        <v/>
      </c>
    </row>
    <row r="218" ht="18.0" customHeight="1">
      <c r="A218" s="89" t="str">
        <f>IFERROR(IF(ISERROR(FIND("-P",Relaciones!A219)),"",Relaciones!A219),"")</f>
        <v/>
      </c>
      <c r="B218" s="89" t="str">
        <f>IFERROR(IF(A218="","",Relaciones!D219),"")</f>
        <v/>
      </c>
      <c r="C218" s="73" t="str">
        <f>IFERROR(IF(A218="","",Relaciones!G219),"")</f>
        <v/>
      </c>
      <c r="D218" s="74" t="str">
        <f>IFERROR(IF(A218="","",Relaciones!H219),"")</f>
        <v/>
      </c>
      <c r="E218" s="74" t="str">
        <f>IFERROR(IF(A218="","",Relaciones!I219),"")</f>
        <v/>
      </c>
    </row>
    <row r="219" ht="18.0" customHeight="1">
      <c r="A219" s="90" t="str">
        <f>IFERROR(IF(ISERROR(FIND("-P",Relaciones!A220)),"",Relaciones!A220),"")</f>
        <v/>
      </c>
      <c r="B219" s="90" t="str">
        <f>IFERROR(IF(A219="","",Relaciones!D220),"")</f>
        <v/>
      </c>
      <c r="C219" s="70" t="str">
        <f>IFERROR(IF(A219="","",Relaciones!G220),"")</f>
        <v/>
      </c>
      <c r="D219" s="71" t="str">
        <f>IFERROR(IF(A219="","",Relaciones!H220),"")</f>
        <v/>
      </c>
      <c r="E219" s="71" t="str">
        <f>IFERROR(IF(A219="","",Relaciones!I220),"")</f>
        <v/>
      </c>
    </row>
    <row r="220" ht="18.0" customHeight="1">
      <c r="A220" s="89" t="str">
        <f>IFERROR(IF(ISERROR(FIND("-P",Relaciones!A221)),"",Relaciones!A221),"")</f>
        <v/>
      </c>
      <c r="B220" s="89" t="str">
        <f>IFERROR(IF(A220="","",Relaciones!D221),"")</f>
        <v/>
      </c>
      <c r="C220" s="73" t="str">
        <f>IFERROR(IF(A220="","",Relaciones!G221),"")</f>
        <v/>
      </c>
      <c r="D220" s="74" t="str">
        <f>IFERROR(IF(A220="","",Relaciones!H221),"")</f>
        <v/>
      </c>
      <c r="E220" s="74" t="str">
        <f>IFERROR(IF(A220="","",Relaciones!I221),"")</f>
        <v/>
      </c>
    </row>
    <row r="221" ht="18.0" customHeight="1">
      <c r="A221" s="90" t="str">
        <f>IFERROR(IF(ISERROR(FIND("-P",Relaciones!A222)),"",Relaciones!A222),"")</f>
        <v/>
      </c>
      <c r="B221" s="90" t="str">
        <f>IFERROR(IF(A221="","",Relaciones!D222),"")</f>
        <v/>
      </c>
      <c r="C221" s="70" t="str">
        <f>IFERROR(IF(A221="","",Relaciones!G222),"")</f>
        <v/>
      </c>
      <c r="D221" s="71" t="str">
        <f>IFERROR(IF(A221="","",Relaciones!H222),"")</f>
        <v/>
      </c>
      <c r="E221" s="71" t="str">
        <f>IFERROR(IF(A221="","",Relaciones!I222),"")</f>
        <v/>
      </c>
    </row>
    <row r="222" ht="18.0" customHeight="1">
      <c r="A222" s="89" t="str">
        <f>IFERROR(IF(ISERROR(FIND("-P",Relaciones!A223)),"",Relaciones!A223),"")</f>
        <v/>
      </c>
      <c r="B222" s="89" t="str">
        <f>IFERROR(IF(A222="","",Relaciones!D223),"")</f>
        <v/>
      </c>
      <c r="C222" s="73" t="str">
        <f>IFERROR(IF(A222="","",Relaciones!G223),"")</f>
        <v/>
      </c>
      <c r="D222" s="74" t="str">
        <f>IFERROR(IF(A222="","",Relaciones!H223),"")</f>
        <v/>
      </c>
      <c r="E222" s="74" t="str">
        <f>IFERROR(IF(A222="","",Relaciones!I223),"")</f>
        <v/>
      </c>
    </row>
    <row r="223" ht="18.0" customHeight="1">
      <c r="A223" s="90" t="str">
        <f>IFERROR(IF(ISERROR(FIND("-P",Relaciones!A224)),"",Relaciones!A224),"")</f>
        <v/>
      </c>
      <c r="B223" s="90" t="str">
        <f>IFERROR(IF(A223="","",Relaciones!D224),"")</f>
        <v/>
      </c>
      <c r="C223" s="70" t="str">
        <f>IFERROR(IF(A223="","",Relaciones!G224),"")</f>
        <v/>
      </c>
      <c r="D223" s="71" t="str">
        <f>IFERROR(IF(A223="","",Relaciones!H224),"")</f>
        <v/>
      </c>
      <c r="E223" s="71" t="str">
        <f>IFERROR(IF(A223="","",Relaciones!I224),"")</f>
        <v/>
      </c>
    </row>
    <row r="224" ht="18.0" customHeight="1">
      <c r="A224" s="89" t="str">
        <f>IFERROR(IF(ISERROR(FIND("-P",Relaciones!A225)),"",Relaciones!A225),"")</f>
        <v/>
      </c>
      <c r="B224" s="89" t="str">
        <f>IFERROR(IF(A224="","",Relaciones!D225),"")</f>
        <v/>
      </c>
      <c r="C224" s="73" t="str">
        <f>IFERROR(IF(A224="","",Relaciones!G225),"")</f>
        <v/>
      </c>
      <c r="D224" s="74" t="str">
        <f>IFERROR(IF(A224="","",Relaciones!H225),"")</f>
        <v/>
      </c>
      <c r="E224" s="74" t="str">
        <f>IFERROR(IF(A224="","",Relaciones!I225),"")</f>
        <v/>
      </c>
    </row>
    <row r="225" ht="18.0" customHeight="1">
      <c r="A225" s="90" t="str">
        <f>IFERROR(IF(ISERROR(FIND("-P",Relaciones!A226)),"",Relaciones!A226),"")</f>
        <v/>
      </c>
      <c r="B225" s="90" t="str">
        <f>IFERROR(IF(A225="","",Relaciones!D226),"")</f>
        <v/>
      </c>
      <c r="C225" s="70" t="str">
        <f>IFERROR(IF(A225="","",Relaciones!G226),"")</f>
        <v/>
      </c>
      <c r="D225" s="71" t="str">
        <f>IFERROR(IF(A225="","",Relaciones!H226),"")</f>
        <v/>
      </c>
      <c r="E225" s="71" t="str">
        <f>IFERROR(IF(A225="","",Relaciones!I226),"")</f>
        <v/>
      </c>
    </row>
    <row r="226" ht="18.0" customHeight="1">
      <c r="A226" s="89" t="str">
        <f>IFERROR(IF(ISERROR(FIND("-P",Relaciones!A227)),"",Relaciones!A227),"")</f>
        <v/>
      </c>
      <c r="B226" s="89" t="str">
        <f>IFERROR(IF(A226="","",Relaciones!D227),"")</f>
        <v/>
      </c>
      <c r="C226" s="73" t="str">
        <f>IFERROR(IF(A226="","",Relaciones!G227),"")</f>
        <v/>
      </c>
      <c r="D226" s="74" t="str">
        <f>IFERROR(IF(A226="","",Relaciones!H227),"")</f>
        <v/>
      </c>
      <c r="E226" s="74" t="str">
        <f>IFERROR(IF(A226="","",Relaciones!I227),"")</f>
        <v/>
      </c>
    </row>
    <row r="227" ht="18.0" customHeight="1">
      <c r="A227" s="90" t="str">
        <f>IFERROR(IF(ISERROR(FIND("-P",Relaciones!A228)),"",Relaciones!A228),"")</f>
        <v/>
      </c>
      <c r="B227" s="90" t="str">
        <f>IFERROR(IF(A227="","",Relaciones!D228),"")</f>
        <v/>
      </c>
      <c r="C227" s="70" t="str">
        <f>IFERROR(IF(A227="","",Relaciones!G228),"")</f>
        <v/>
      </c>
      <c r="D227" s="71" t="str">
        <f>IFERROR(IF(A227="","",Relaciones!H228),"")</f>
        <v/>
      </c>
      <c r="E227" s="71" t="str">
        <f>IFERROR(IF(A227="","",Relaciones!I228),"")</f>
        <v/>
      </c>
    </row>
    <row r="228" ht="18.0" customHeight="1">
      <c r="A228" s="89" t="str">
        <f>IFERROR(IF(ISERROR(FIND("-P",Relaciones!A229)),"",Relaciones!A229),"")</f>
        <v/>
      </c>
      <c r="B228" s="89" t="str">
        <f>IFERROR(IF(A228="","",Relaciones!D229),"")</f>
        <v/>
      </c>
      <c r="C228" s="73" t="str">
        <f>IFERROR(IF(A228="","",Relaciones!G229),"")</f>
        <v/>
      </c>
      <c r="D228" s="74" t="str">
        <f>IFERROR(IF(A228="","",Relaciones!H229),"")</f>
        <v/>
      </c>
      <c r="E228" s="74" t="str">
        <f>IFERROR(IF(A228="","",Relaciones!I229),"")</f>
        <v/>
      </c>
    </row>
    <row r="229" ht="18.0" customHeight="1">
      <c r="A229" s="90" t="str">
        <f>IFERROR(IF(ISERROR(FIND("-P",Relaciones!A230)),"",Relaciones!A230),"")</f>
        <v/>
      </c>
      <c r="B229" s="90" t="str">
        <f>IFERROR(IF(A229="","",Relaciones!D230),"")</f>
        <v/>
      </c>
      <c r="C229" s="70" t="str">
        <f>IFERROR(IF(A229="","",Relaciones!G230),"")</f>
        <v/>
      </c>
      <c r="D229" s="71" t="str">
        <f>IFERROR(IF(A229="","",Relaciones!H230),"")</f>
        <v/>
      </c>
      <c r="E229" s="71" t="str">
        <f>IFERROR(IF(A229="","",Relaciones!I230),"")</f>
        <v/>
      </c>
    </row>
    <row r="230" ht="18.0" customHeight="1">
      <c r="A230" s="89" t="str">
        <f>IFERROR(IF(ISERROR(FIND("-P",Relaciones!A231)),"",Relaciones!A231),"")</f>
        <v/>
      </c>
      <c r="B230" s="89" t="str">
        <f>IFERROR(IF(A230="","",Relaciones!D231),"")</f>
        <v/>
      </c>
      <c r="C230" s="73" t="str">
        <f>IFERROR(IF(A230="","",Relaciones!G231),"")</f>
        <v/>
      </c>
      <c r="D230" s="74" t="str">
        <f>IFERROR(IF(A230="","",Relaciones!H231),"")</f>
        <v/>
      </c>
      <c r="E230" s="74" t="str">
        <f>IFERROR(IF(A230="","",Relaciones!I231),"")</f>
        <v/>
      </c>
    </row>
    <row r="231" ht="18.0" customHeight="1">
      <c r="A231" s="90" t="str">
        <f>IFERROR(IF(ISERROR(FIND("-P",Relaciones!A232)),"",Relaciones!A232),"")</f>
        <v/>
      </c>
      <c r="B231" s="90" t="str">
        <f>IFERROR(IF(A231="","",Relaciones!D232),"")</f>
        <v/>
      </c>
      <c r="C231" s="70" t="str">
        <f>IFERROR(IF(A231="","",Relaciones!G232),"")</f>
        <v/>
      </c>
      <c r="D231" s="71" t="str">
        <f>IFERROR(IF(A231="","",Relaciones!H232),"")</f>
        <v/>
      </c>
      <c r="E231" s="71" t="str">
        <f>IFERROR(IF(A231="","",Relaciones!I232),"")</f>
        <v/>
      </c>
    </row>
    <row r="232" ht="18.0" customHeight="1">
      <c r="A232" s="89" t="str">
        <f>IFERROR(IF(ISERROR(FIND("-P",Relaciones!A233)),"",Relaciones!A233),"")</f>
        <v/>
      </c>
      <c r="B232" s="89" t="str">
        <f>IFERROR(IF(A232="","",Relaciones!D233),"")</f>
        <v/>
      </c>
      <c r="C232" s="73" t="str">
        <f>IFERROR(IF(A232="","",Relaciones!G233),"")</f>
        <v/>
      </c>
      <c r="D232" s="74" t="str">
        <f>IFERROR(IF(A232="","",Relaciones!H233),"")</f>
        <v/>
      </c>
      <c r="E232" s="74" t="str">
        <f>IFERROR(IF(A232="","",Relaciones!I233),"")</f>
        <v/>
      </c>
    </row>
    <row r="233" ht="18.0" customHeight="1">
      <c r="A233" s="90" t="str">
        <f>IFERROR(IF(ISERROR(FIND("-P",Relaciones!A234)),"",Relaciones!A234),"")</f>
        <v/>
      </c>
      <c r="B233" s="90" t="str">
        <f>IFERROR(IF(A233="","",Relaciones!D234),"")</f>
        <v/>
      </c>
      <c r="C233" s="70" t="str">
        <f>IFERROR(IF(A233="","",Relaciones!G234),"")</f>
        <v/>
      </c>
      <c r="D233" s="71" t="str">
        <f>IFERROR(IF(A233="","",Relaciones!H234),"")</f>
        <v/>
      </c>
      <c r="E233" s="71" t="str">
        <f>IFERROR(IF(A233="","",Relaciones!I234),"")</f>
        <v/>
      </c>
    </row>
    <row r="234" ht="18.0" customHeight="1">
      <c r="A234" s="89" t="str">
        <f>IFERROR(IF(ISERROR(FIND("-P",Relaciones!A235)),"",Relaciones!A235),"")</f>
        <v/>
      </c>
      <c r="B234" s="89" t="str">
        <f>IFERROR(IF(A234="","",Relaciones!D235),"")</f>
        <v/>
      </c>
      <c r="C234" s="73" t="str">
        <f>IFERROR(IF(A234="","",Relaciones!G235),"")</f>
        <v/>
      </c>
      <c r="D234" s="74" t="str">
        <f>IFERROR(IF(A234="","",Relaciones!H235),"")</f>
        <v/>
      </c>
      <c r="E234" s="74" t="str">
        <f>IFERROR(IF(A234="","",Relaciones!I235),"")</f>
        <v/>
      </c>
    </row>
    <row r="235" ht="18.0" customHeight="1">
      <c r="A235" s="90" t="str">
        <f>IFERROR(IF(ISERROR(FIND("-P",Relaciones!A236)),"",Relaciones!A236),"")</f>
        <v/>
      </c>
      <c r="B235" s="90" t="str">
        <f>IFERROR(IF(A235="","",Relaciones!D236),"")</f>
        <v/>
      </c>
      <c r="C235" s="70" t="str">
        <f>IFERROR(IF(A235="","",Relaciones!G236),"")</f>
        <v/>
      </c>
      <c r="D235" s="71" t="str">
        <f>IFERROR(IF(A235="","",Relaciones!H236),"")</f>
        <v/>
      </c>
      <c r="E235" s="71" t="str">
        <f>IFERROR(IF(A235="","",Relaciones!I236),"")</f>
        <v/>
      </c>
    </row>
    <row r="236" ht="18.0" customHeight="1">
      <c r="A236" s="89" t="str">
        <f>IFERROR(IF(ISERROR(FIND("-P",Relaciones!A237)),"",Relaciones!A237),"")</f>
        <v/>
      </c>
      <c r="B236" s="89" t="str">
        <f>IFERROR(IF(A236="","",Relaciones!D237),"")</f>
        <v/>
      </c>
      <c r="C236" s="73" t="str">
        <f>IFERROR(IF(A236="","",Relaciones!G237),"")</f>
        <v/>
      </c>
      <c r="D236" s="74" t="str">
        <f>IFERROR(IF(A236="","",Relaciones!H237),"")</f>
        <v/>
      </c>
      <c r="E236" s="74" t="str">
        <f>IFERROR(IF(A236="","",Relaciones!I237),"")</f>
        <v/>
      </c>
    </row>
    <row r="237" ht="18.0" customHeight="1">
      <c r="A237" s="90" t="str">
        <f>IFERROR(IF(ISERROR(FIND("-P",Relaciones!A238)),"",Relaciones!A238),"")</f>
        <v/>
      </c>
      <c r="B237" s="90" t="str">
        <f>IFERROR(IF(A237="","",Relaciones!D238),"")</f>
        <v/>
      </c>
      <c r="C237" s="70" t="str">
        <f>IFERROR(IF(A237="","",Relaciones!G238),"")</f>
        <v/>
      </c>
      <c r="D237" s="71" t="str">
        <f>IFERROR(IF(A237="","",Relaciones!H238),"")</f>
        <v/>
      </c>
      <c r="E237" s="71" t="str">
        <f>IFERROR(IF(A237="","",Relaciones!I238),"")</f>
        <v/>
      </c>
    </row>
    <row r="238" ht="18.0" customHeight="1">
      <c r="A238" s="89" t="str">
        <f>IFERROR(IF(ISERROR(FIND("-P",Relaciones!A239)),"",Relaciones!A239),"")</f>
        <v/>
      </c>
      <c r="B238" s="89" t="str">
        <f>IFERROR(IF(A238="","",Relaciones!D239),"")</f>
        <v/>
      </c>
      <c r="C238" s="73" t="str">
        <f>IFERROR(IF(A238="","",Relaciones!G239),"")</f>
        <v/>
      </c>
      <c r="D238" s="74" t="str">
        <f>IFERROR(IF(A238="","",Relaciones!H239),"")</f>
        <v/>
      </c>
      <c r="E238" s="74" t="str">
        <f>IFERROR(IF(A238="","",Relaciones!I239),"")</f>
        <v/>
      </c>
    </row>
    <row r="239" ht="18.0" customHeight="1">
      <c r="A239" s="90" t="str">
        <f>IFERROR(IF(ISERROR(FIND("-P",Relaciones!A240)),"",Relaciones!A240),"")</f>
        <v/>
      </c>
      <c r="B239" s="90" t="str">
        <f>IFERROR(IF(A239="","",Relaciones!D240),"")</f>
        <v/>
      </c>
      <c r="C239" s="70" t="str">
        <f>IFERROR(IF(A239="","",Relaciones!G240),"")</f>
        <v/>
      </c>
      <c r="D239" s="71" t="str">
        <f>IFERROR(IF(A239="","",Relaciones!H240),"")</f>
        <v/>
      </c>
      <c r="E239" s="71" t="str">
        <f>IFERROR(IF(A239="","",Relaciones!I240),"")</f>
        <v/>
      </c>
    </row>
    <row r="240" ht="18.0" customHeight="1">
      <c r="A240" s="89" t="str">
        <f>IFERROR(IF(ISERROR(FIND("-P",Relaciones!A241)),"",Relaciones!A241),"")</f>
        <v/>
      </c>
      <c r="B240" s="89" t="str">
        <f>IFERROR(IF(A240="","",Relaciones!D241),"")</f>
        <v/>
      </c>
      <c r="C240" s="73" t="str">
        <f>IFERROR(IF(A240="","",Relaciones!G241),"")</f>
        <v/>
      </c>
      <c r="D240" s="74" t="str">
        <f>IFERROR(IF(A240="","",Relaciones!H241),"")</f>
        <v/>
      </c>
      <c r="E240" s="74" t="str">
        <f>IFERROR(IF(A240="","",Relaciones!I241),"")</f>
        <v/>
      </c>
    </row>
    <row r="241" ht="18.0" customHeight="1">
      <c r="A241" s="90" t="str">
        <f>IFERROR(IF(ISERROR(FIND("-P",Relaciones!A242)),"",Relaciones!A242),"")</f>
        <v/>
      </c>
      <c r="B241" s="90" t="str">
        <f>IFERROR(IF(A241="","",Relaciones!D242),"")</f>
        <v/>
      </c>
      <c r="C241" s="70" t="str">
        <f>IFERROR(IF(A241="","",Relaciones!G242),"")</f>
        <v/>
      </c>
      <c r="D241" s="71" t="str">
        <f>IFERROR(IF(A241="","",Relaciones!H242),"")</f>
        <v/>
      </c>
      <c r="E241" s="71" t="str">
        <f>IFERROR(IF(A241="","",Relaciones!I242),"")</f>
        <v/>
      </c>
    </row>
    <row r="242" ht="18.0" customHeight="1">
      <c r="A242" s="89" t="str">
        <f>IFERROR(IF(ISERROR(FIND("-P",Relaciones!A243)),"",Relaciones!A243),"")</f>
        <v/>
      </c>
      <c r="B242" s="89" t="str">
        <f>IFERROR(IF(A242="","",Relaciones!D243),"")</f>
        <v/>
      </c>
      <c r="C242" s="73" t="str">
        <f>IFERROR(IF(A242="","",Relaciones!G243),"")</f>
        <v/>
      </c>
      <c r="D242" s="74" t="str">
        <f>IFERROR(IF(A242="","",Relaciones!H243),"")</f>
        <v/>
      </c>
      <c r="E242" s="74" t="str">
        <f>IFERROR(IF(A242="","",Relaciones!I243),"")</f>
        <v/>
      </c>
    </row>
    <row r="243" ht="18.0" customHeight="1">
      <c r="A243" s="90" t="str">
        <f>IFERROR(IF(ISERROR(FIND("-P",Relaciones!A244)),"",Relaciones!A244),"")</f>
        <v/>
      </c>
      <c r="B243" s="90" t="str">
        <f>IFERROR(IF(A243="","",Relaciones!D244),"")</f>
        <v/>
      </c>
      <c r="C243" s="70" t="str">
        <f>IFERROR(IF(A243="","",Relaciones!G244),"")</f>
        <v/>
      </c>
      <c r="D243" s="71" t="str">
        <f>IFERROR(IF(A243="","",Relaciones!H244),"")</f>
        <v/>
      </c>
      <c r="E243" s="71" t="str">
        <f>IFERROR(IF(A243="","",Relaciones!I244),"")</f>
        <v/>
      </c>
    </row>
    <row r="244" ht="18.0" customHeight="1">
      <c r="A244" s="89" t="str">
        <f>IFERROR(IF(ISERROR(FIND("-P",Relaciones!A245)),"",Relaciones!A245),"")</f>
        <v/>
      </c>
      <c r="B244" s="89" t="str">
        <f>IFERROR(IF(A244="","",Relaciones!D245),"")</f>
        <v/>
      </c>
      <c r="C244" s="73" t="str">
        <f>IFERROR(IF(A244="","",Relaciones!G245),"")</f>
        <v/>
      </c>
      <c r="D244" s="74" t="str">
        <f>IFERROR(IF(A244="","",Relaciones!H245),"")</f>
        <v/>
      </c>
      <c r="E244" s="74" t="str">
        <f>IFERROR(IF(A244="","",Relaciones!I245),"")</f>
        <v/>
      </c>
    </row>
    <row r="245" ht="18.0" customHeight="1">
      <c r="A245" s="90" t="str">
        <f>IFERROR(IF(ISERROR(FIND("-P",Relaciones!A246)),"",Relaciones!A246),"")</f>
        <v/>
      </c>
      <c r="B245" s="90" t="str">
        <f>IFERROR(IF(A245="","",Relaciones!D246),"")</f>
        <v/>
      </c>
      <c r="C245" s="70" t="str">
        <f>IFERROR(IF(A245="","",Relaciones!G246),"")</f>
        <v/>
      </c>
      <c r="D245" s="71" t="str">
        <f>IFERROR(IF(A245="","",Relaciones!H246),"")</f>
        <v/>
      </c>
      <c r="E245" s="71" t="str">
        <f>IFERROR(IF(A245="","",Relaciones!I246),"")</f>
        <v/>
      </c>
    </row>
    <row r="246" ht="18.0" customHeight="1">
      <c r="A246" s="89" t="str">
        <f>IFERROR(IF(ISERROR(FIND("-P",Relaciones!A247)),"",Relaciones!A247),"")</f>
        <v/>
      </c>
      <c r="B246" s="89" t="str">
        <f>IFERROR(IF(A246="","",Relaciones!D247),"")</f>
        <v/>
      </c>
      <c r="C246" s="73" t="str">
        <f>IFERROR(IF(A246="","",Relaciones!G247),"")</f>
        <v/>
      </c>
      <c r="D246" s="74" t="str">
        <f>IFERROR(IF(A246="","",Relaciones!H247),"")</f>
        <v/>
      </c>
      <c r="E246" s="74" t="str">
        <f>IFERROR(IF(A246="","",Relaciones!I247),"")</f>
        <v/>
      </c>
    </row>
    <row r="247" ht="18.0" customHeight="1">
      <c r="A247" s="90" t="str">
        <f>IFERROR(IF(ISERROR(FIND("-P",Relaciones!A248)),"",Relaciones!A248),"")</f>
        <v/>
      </c>
      <c r="B247" s="90" t="str">
        <f>IFERROR(IF(A247="","",Relaciones!D248),"")</f>
        <v/>
      </c>
      <c r="C247" s="70" t="str">
        <f>IFERROR(IF(A247="","",Relaciones!G248),"")</f>
        <v/>
      </c>
      <c r="D247" s="71" t="str">
        <f>IFERROR(IF(A247="","",Relaciones!H248),"")</f>
        <v/>
      </c>
      <c r="E247" s="71" t="str">
        <f>IFERROR(IF(A247="","",Relaciones!I248),"")</f>
        <v/>
      </c>
    </row>
    <row r="248" ht="18.0" customHeight="1">
      <c r="A248" s="89" t="str">
        <f>IFERROR(IF(ISERROR(FIND("-P",Relaciones!A249)),"",Relaciones!A249),"")</f>
        <v/>
      </c>
      <c r="B248" s="89" t="str">
        <f>IFERROR(IF(A248="","",Relaciones!D249),"")</f>
        <v/>
      </c>
      <c r="C248" s="73" t="str">
        <f>IFERROR(IF(A248="","",Relaciones!G249),"")</f>
        <v/>
      </c>
      <c r="D248" s="74" t="str">
        <f>IFERROR(IF(A248="","",Relaciones!H249),"")</f>
        <v/>
      </c>
      <c r="E248" s="74" t="str">
        <f>IFERROR(IF(A248="","",Relaciones!I249),"")</f>
        <v/>
      </c>
    </row>
    <row r="249" ht="18.0" customHeight="1">
      <c r="A249" s="90" t="str">
        <f>IFERROR(IF(ISERROR(FIND("-P",Relaciones!A250)),"",Relaciones!A250),"")</f>
        <v/>
      </c>
      <c r="B249" s="90" t="str">
        <f>IFERROR(IF(A249="","",Relaciones!D250),"")</f>
        <v/>
      </c>
      <c r="C249" s="70" t="str">
        <f>IFERROR(IF(A249="","",Relaciones!G250),"")</f>
        <v/>
      </c>
      <c r="D249" s="71" t="str">
        <f>IFERROR(IF(A249="","",Relaciones!H250),"")</f>
        <v/>
      </c>
      <c r="E249" s="71" t="str">
        <f>IFERROR(IF(A249="","",Relaciones!I250),"")</f>
        <v/>
      </c>
    </row>
    <row r="250" ht="18.0" customHeight="1">
      <c r="A250" s="89" t="str">
        <f>IFERROR(IF(ISERROR(FIND("-P",Relaciones!A251)),"",Relaciones!A251),"")</f>
        <v/>
      </c>
      <c r="B250" s="89" t="str">
        <f>IFERROR(IF(A250="","",Relaciones!D251),"")</f>
        <v/>
      </c>
      <c r="C250" s="73" t="str">
        <f>IFERROR(IF(A250="","",Relaciones!G251),"")</f>
        <v/>
      </c>
      <c r="D250" s="74" t="str">
        <f>IFERROR(IF(A250="","",Relaciones!H251),"")</f>
        <v/>
      </c>
      <c r="E250" s="74" t="str">
        <f>IFERROR(IF(A250="","",Relaciones!I251),"")</f>
        <v/>
      </c>
    </row>
    <row r="251" ht="18.0" customHeight="1">
      <c r="A251" s="90" t="str">
        <f>IFERROR(IF(ISERROR(FIND("-P",Relaciones!A252)),"",Relaciones!A252),"")</f>
        <v/>
      </c>
      <c r="B251" s="90" t="str">
        <f>IFERROR(IF(A251="","",Relaciones!D252),"")</f>
        <v/>
      </c>
      <c r="C251" s="70" t="str">
        <f>IFERROR(IF(A251="","",Relaciones!G252),"")</f>
        <v/>
      </c>
      <c r="D251" s="71" t="str">
        <f>IFERROR(IF(A251="","",Relaciones!H252),"")</f>
        <v/>
      </c>
      <c r="E251" s="71" t="str">
        <f>IFERROR(IF(A251="","",Relaciones!I252),"")</f>
        <v/>
      </c>
    </row>
    <row r="252" ht="18.0" customHeight="1">
      <c r="A252" s="89" t="str">
        <f>IFERROR(IF(ISERROR(FIND("-P",Relaciones!A253)),"",Relaciones!A253),"")</f>
        <v/>
      </c>
      <c r="B252" s="89" t="str">
        <f>IFERROR(IF(A252="","",Relaciones!D253),"")</f>
        <v/>
      </c>
      <c r="C252" s="73" t="str">
        <f>IFERROR(IF(A252="","",Relaciones!G253),"")</f>
        <v/>
      </c>
      <c r="D252" s="74" t="str">
        <f>IFERROR(IF(A252="","",Relaciones!H253),"")</f>
        <v/>
      </c>
      <c r="E252" s="74" t="str">
        <f>IFERROR(IF(A252="","",Relaciones!I253),"")</f>
        <v/>
      </c>
    </row>
    <row r="253" ht="18.0" customHeight="1">
      <c r="A253" s="90" t="str">
        <f>IFERROR(IF(ISERROR(FIND("-P",Relaciones!A254)),"",Relaciones!A254),"")</f>
        <v/>
      </c>
      <c r="B253" s="90" t="str">
        <f>IFERROR(IF(A253="","",Relaciones!D254),"")</f>
        <v/>
      </c>
      <c r="C253" s="70" t="str">
        <f>IFERROR(IF(A253="","",Relaciones!G254),"")</f>
        <v/>
      </c>
      <c r="D253" s="71" t="str">
        <f>IFERROR(IF(A253="","",Relaciones!H254),"")</f>
        <v/>
      </c>
      <c r="E253" s="71" t="str">
        <f>IFERROR(IF(A253="","",Relaciones!I254),"")</f>
        <v/>
      </c>
    </row>
    <row r="254" ht="18.0" customHeight="1">
      <c r="A254" s="89" t="str">
        <f>IFERROR(IF(ISERROR(FIND("-P",Relaciones!A255)),"",Relaciones!A255),"")</f>
        <v/>
      </c>
      <c r="B254" s="89" t="str">
        <f>IFERROR(IF(A254="","",Relaciones!D255),"")</f>
        <v/>
      </c>
      <c r="C254" s="73" t="str">
        <f>IFERROR(IF(A254="","",Relaciones!G255),"")</f>
        <v/>
      </c>
      <c r="D254" s="74" t="str">
        <f>IFERROR(IF(A254="","",Relaciones!H255),"")</f>
        <v/>
      </c>
      <c r="E254" s="74" t="str">
        <f>IFERROR(IF(A254="","",Relaciones!I255),"")</f>
        <v/>
      </c>
    </row>
    <row r="255" ht="18.0" customHeight="1">
      <c r="A255" s="90" t="str">
        <f>IFERROR(IF(ISERROR(FIND("-P",Relaciones!A256)),"",Relaciones!A256),"")</f>
        <v/>
      </c>
      <c r="B255" s="90" t="str">
        <f>IFERROR(IF(A255="","",Relaciones!D256),"")</f>
        <v/>
      </c>
      <c r="C255" s="70" t="str">
        <f>IFERROR(IF(A255="","",Relaciones!G256),"")</f>
        <v/>
      </c>
      <c r="D255" s="71" t="str">
        <f>IFERROR(IF(A255="","",Relaciones!H256),"")</f>
        <v/>
      </c>
      <c r="E255" s="71" t="str">
        <f>IFERROR(IF(A255="","",Relaciones!I256),"")</f>
        <v/>
      </c>
    </row>
    <row r="256" ht="18.0" customHeight="1">
      <c r="A256" s="89" t="str">
        <f>IFERROR(IF(ISERROR(FIND("-P",Relaciones!A257)),"",Relaciones!A257),"")</f>
        <v/>
      </c>
      <c r="B256" s="89" t="str">
        <f>IFERROR(IF(A256="","",Relaciones!D257),"")</f>
        <v/>
      </c>
      <c r="C256" s="73" t="str">
        <f>IFERROR(IF(A256="","",Relaciones!G257),"")</f>
        <v/>
      </c>
      <c r="D256" s="74" t="str">
        <f>IFERROR(IF(A256="","",Relaciones!H257),"")</f>
        <v/>
      </c>
      <c r="E256" s="74" t="str">
        <f>IFERROR(IF(A256="","",Relaciones!I257),"")</f>
        <v/>
      </c>
    </row>
    <row r="257" ht="18.0" customHeight="1">
      <c r="A257" s="90" t="str">
        <f>IFERROR(IF(ISERROR(FIND("-P",Relaciones!A258)),"",Relaciones!A258),"")</f>
        <v/>
      </c>
      <c r="B257" s="90" t="str">
        <f>IFERROR(IF(A257="","",Relaciones!D258),"")</f>
        <v/>
      </c>
      <c r="C257" s="70" t="str">
        <f>IFERROR(IF(A257="","",Relaciones!G258),"")</f>
        <v/>
      </c>
      <c r="D257" s="71" t="str">
        <f>IFERROR(IF(A257="","",Relaciones!H258),"")</f>
        <v/>
      </c>
      <c r="E257" s="71" t="str">
        <f>IFERROR(IF(A257="","",Relaciones!I258),"")</f>
        <v/>
      </c>
    </row>
    <row r="258" ht="18.0" customHeight="1">
      <c r="A258" s="89" t="str">
        <f>IFERROR(IF(ISERROR(FIND("-P",Relaciones!A259)),"",Relaciones!A259),"")</f>
        <v/>
      </c>
      <c r="B258" s="89" t="str">
        <f>IFERROR(IF(A258="","",Relaciones!D259),"")</f>
        <v/>
      </c>
      <c r="C258" s="73" t="str">
        <f>IFERROR(IF(A258="","",Relaciones!G259),"")</f>
        <v/>
      </c>
      <c r="D258" s="74" t="str">
        <f>IFERROR(IF(A258="","",Relaciones!H259),"")</f>
        <v/>
      </c>
      <c r="E258" s="74" t="str">
        <f>IFERROR(IF(A258="","",Relaciones!I259),"")</f>
        <v/>
      </c>
    </row>
    <row r="259" ht="18.0" customHeight="1">
      <c r="A259" s="90" t="str">
        <f>IFERROR(IF(ISERROR(FIND("-P",Relaciones!A260)),"",Relaciones!A260),"")</f>
        <v/>
      </c>
      <c r="B259" s="90" t="str">
        <f>IFERROR(IF(A259="","",Relaciones!D260),"")</f>
        <v/>
      </c>
      <c r="C259" s="70" t="str">
        <f>IFERROR(IF(A259="","",Relaciones!G260),"")</f>
        <v/>
      </c>
      <c r="D259" s="71" t="str">
        <f>IFERROR(IF(A259="","",Relaciones!H260),"")</f>
        <v/>
      </c>
      <c r="E259" s="71" t="str">
        <f>IFERROR(IF(A259="","",Relaciones!I260),"")</f>
        <v/>
      </c>
    </row>
    <row r="260" ht="18.0" customHeight="1">
      <c r="A260" s="89" t="str">
        <f>IFERROR(IF(ISERROR(FIND("-P",Relaciones!A261)),"",Relaciones!A261),"")</f>
        <v/>
      </c>
      <c r="B260" s="89" t="str">
        <f>IFERROR(IF(A260="","",Relaciones!D261),"")</f>
        <v/>
      </c>
      <c r="C260" s="73" t="str">
        <f>IFERROR(IF(A260="","",Relaciones!G261),"")</f>
        <v/>
      </c>
      <c r="D260" s="74" t="str">
        <f>IFERROR(IF(A260="","",Relaciones!H261),"")</f>
        <v/>
      </c>
      <c r="E260" s="74" t="str">
        <f>IFERROR(IF(A260="","",Relaciones!I261),"")</f>
        <v/>
      </c>
    </row>
    <row r="261" ht="18.0" customHeight="1">
      <c r="A261" s="90" t="str">
        <f>IFERROR(IF(ISERROR(FIND("-P",Relaciones!A262)),"",Relaciones!A262),"")</f>
        <v/>
      </c>
      <c r="B261" s="90" t="str">
        <f>IFERROR(IF(A261="","",Relaciones!D262),"")</f>
        <v/>
      </c>
      <c r="C261" s="70" t="str">
        <f>IFERROR(IF(A261="","",Relaciones!G262),"")</f>
        <v/>
      </c>
      <c r="D261" s="71" t="str">
        <f>IFERROR(IF(A261="","",Relaciones!H262),"")</f>
        <v/>
      </c>
      <c r="E261" s="71" t="str">
        <f>IFERROR(IF(A261="","",Relaciones!I262),"")</f>
        <v/>
      </c>
    </row>
    <row r="262" ht="18.0" customHeight="1">
      <c r="A262" s="89" t="str">
        <f>IFERROR(IF(ISERROR(FIND("-P",Relaciones!A263)),"",Relaciones!A263),"")</f>
        <v/>
      </c>
      <c r="B262" s="89" t="str">
        <f>IFERROR(IF(A262="","",Relaciones!D263),"")</f>
        <v/>
      </c>
      <c r="C262" s="73" t="str">
        <f>IFERROR(IF(A262="","",Relaciones!G263),"")</f>
        <v/>
      </c>
      <c r="D262" s="74" t="str">
        <f>IFERROR(IF(A262="","",Relaciones!H263),"")</f>
        <v/>
      </c>
      <c r="E262" s="74" t="str">
        <f>IFERROR(IF(A262="","",Relaciones!I263),"")</f>
        <v/>
      </c>
    </row>
    <row r="263" ht="18.0" customHeight="1">
      <c r="A263" s="90" t="str">
        <f>IFERROR(IF(ISERROR(FIND("-P",Relaciones!A264)),"",Relaciones!A264),"")</f>
        <v/>
      </c>
      <c r="B263" s="90" t="str">
        <f>IFERROR(IF(A263="","",Relaciones!D264),"")</f>
        <v/>
      </c>
      <c r="C263" s="70" t="str">
        <f>IFERROR(IF(A263="","",Relaciones!G264),"")</f>
        <v/>
      </c>
      <c r="D263" s="71" t="str">
        <f>IFERROR(IF(A263="","",Relaciones!H264),"")</f>
        <v/>
      </c>
      <c r="E263" s="71" t="str">
        <f>IFERROR(IF(A263="","",Relaciones!I264),"")</f>
        <v/>
      </c>
    </row>
    <row r="264" ht="18.0" customHeight="1">
      <c r="A264" s="89" t="str">
        <f>IFERROR(IF(ISERROR(FIND("-P",Relaciones!A265)),"",Relaciones!A265),"")</f>
        <v/>
      </c>
      <c r="B264" s="89" t="str">
        <f>IFERROR(IF(A264="","",Relaciones!D265),"")</f>
        <v/>
      </c>
      <c r="C264" s="73" t="str">
        <f>IFERROR(IF(A264="","",Relaciones!G265),"")</f>
        <v/>
      </c>
      <c r="D264" s="74" t="str">
        <f>IFERROR(IF(A264="","",Relaciones!H265),"")</f>
        <v/>
      </c>
      <c r="E264" s="74" t="str">
        <f>IFERROR(IF(A264="","",Relaciones!I265),"")</f>
        <v/>
      </c>
    </row>
    <row r="265" ht="18.0" customHeight="1">
      <c r="A265" s="90" t="str">
        <f>IFERROR(IF(ISERROR(FIND("-P",Relaciones!A266)),"",Relaciones!A266),"")</f>
        <v/>
      </c>
      <c r="B265" s="90" t="str">
        <f>IFERROR(IF(A265="","",Relaciones!D266),"")</f>
        <v/>
      </c>
      <c r="C265" s="70" t="str">
        <f>IFERROR(IF(A265="","",Relaciones!G266),"")</f>
        <v/>
      </c>
      <c r="D265" s="71" t="str">
        <f>IFERROR(IF(A265="","",Relaciones!H266),"")</f>
        <v/>
      </c>
      <c r="E265" s="71" t="str">
        <f>IFERROR(IF(A265="","",Relaciones!I266),"")</f>
        <v/>
      </c>
    </row>
    <row r="266" ht="18.0" customHeight="1">
      <c r="A266" s="89" t="str">
        <f>IFERROR(IF(ISERROR(FIND("-P",Relaciones!A267)),"",Relaciones!A267),"")</f>
        <v/>
      </c>
      <c r="B266" s="89" t="str">
        <f>IFERROR(IF(A266="","",Relaciones!D267),"")</f>
        <v/>
      </c>
      <c r="C266" s="73" t="str">
        <f>IFERROR(IF(A266="","",Relaciones!G267),"")</f>
        <v/>
      </c>
      <c r="D266" s="74" t="str">
        <f>IFERROR(IF(A266="","",Relaciones!H267),"")</f>
        <v/>
      </c>
      <c r="E266" s="74" t="str">
        <f>IFERROR(IF(A266="","",Relaciones!I267),"")</f>
        <v/>
      </c>
    </row>
    <row r="267" ht="18.0" customHeight="1">
      <c r="A267" s="90" t="str">
        <f>IFERROR(IF(ISERROR(FIND("-P",Relaciones!A268)),"",Relaciones!A268),"")</f>
        <v/>
      </c>
      <c r="B267" s="90" t="str">
        <f>IFERROR(IF(A267="","",Relaciones!D268),"")</f>
        <v/>
      </c>
      <c r="C267" s="70" t="str">
        <f>IFERROR(IF(A267="","",Relaciones!G268),"")</f>
        <v/>
      </c>
      <c r="D267" s="71" t="str">
        <f>IFERROR(IF(A267="","",Relaciones!H268),"")</f>
        <v/>
      </c>
      <c r="E267" s="71" t="str">
        <f>IFERROR(IF(A267="","",Relaciones!I268),"")</f>
        <v/>
      </c>
    </row>
    <row r="268" ht="18.0" customHeight="1">
      <c r="A268" s="89" t="str">
        <f>IFERROR(IF(ISERROR(FIND("-P",Relaciones!A269)),"",Relaciones!A269),"")</f>
        <v/>
      </c>
      <c r="B268" s="89" t="str">
        <f>IFERROR(IF(A268="","",Relaciones!D269),"")</f>
        <v/>
      </c>
      <c r="C268" s="73" t="str">
        <f>IFERROR(IF(A268="","",Relaciones!G269),"")</f>
        <v/>
      </c>
      <c r="D268" s="74" t="str">
        <f>IFERROR(IF(A268="","",Relaciones!H269),"")</f>
        <v/>
      </c>
      <c r="E268" s="74" t="str">
        <f>IFERROR(IF(A268="","",Relaciones!I269),"")</f>
        <v/>
      </c>
    </row>
    <row r="269" ht="18.0" customHeight="1">
      <c r="A269" s="90" t="str">
        <f>IFERROR(IF(ISERROR(FIND("-P",Relaciones!A270)),"",Relaciones!A270),"")</f>
        <v/>
      </c>
      <c r="B269" s="90" t="str">
        <f>IFERROR(IF(A269="","",Relaciones!D270),"")</f>
        <v/>
      </c>
      <c r="C269" s="70" t="str">
        <f>IFERROR(IF(A269="","",Relaciones!G270),"")</f>
        <v/>
      </c>
      <c r="D269" s="71" t="str">
        <f>IFERROR(IF(A269="","",Relaciones!H270),"")</f>
        <v/>
      </c>
      <c r="E269" s="71" t="str">
        <f>IFERROR(IF(A269="","",Relaciones!I270),"")</f>
        <v/>
      </c>
    </row>
    <row r="270" ht="18.0" customHeight="1">
      <c r="A270" s="89" t="str">
        <f>IFERROR(IF(ISERROR(FIND("-P",Relaciones!A271)),"",Relaciones!A271),"")</f>
        <v/>
      </c>
      <c r="B270" s="89" t="str">
        <f>IFERROR(IF(A270="","",Relaciones!D271),"")</f>
        <v/>
      </c>
      <c r="C270" s="73" t="str">
        <f>IFERROR(IF(A270="","",Relaciones!G271),"")</f>
        <v/>
      </c>
      <c r="D270" s="74" t="str">
        <f>IFERROR(IF(A270="","",Relaciones!H271),"")</f>
        <v/>
      </c>
      <c r="E270" s="74" t="str">
        <f>IFERROR(IF(A270="","",Relaciones!I271),"")</f>
        <v/>
      </c>
    </row>
    <row r="271" ht="18.0" customHeight="1">
      <c r="A271" s="90" t="str">
        <f>IFERROR(IF(ISERROR(FIND("-P",Relaciones!A272)),"",Relaciones!A272),"")</f>
        <v/>
      </c>
      <c r="B271" s="90" t="str">
        <f>IFERROR(IF(A271="","",Relaciones!D272),"")</f>
        <v/>
      </c>
      <c r="C271" s="70" t="str">
        <f>IFERROR(IF(A271="","",Relaciones!G272),"")</f>
        <v/>
      </c>
      <c r="D271" s="71" t="str">
        <f>IFERROR(IF(A271="","",Relaciones!H272),"")</f>
        <v/>
      </c>
      <c r="E271" s="71" t="str">
        <f>IFERROR(IF(A271="","",Relaciones!I272),"")</f>
        <v/>
      </c>
    </row>
    <row r="272" ht="18.0" customHeight="1">
      <c r="A272" s="89" t="str">
        <f>IFERROR(IF(ISERROR(FIND("-P",Relaciones!A273)),"",Relaciones!A273),"")</f>
        <v/>
      </c>
      <c r="B272" s="89" t="str">
        <f>IFERROR(IF(A272="","",Relaciones!D273),"")</f>
        <v/>
      </c>
      <c r="C272" s="73" t="str">
        <f>IFERROR(IF(A272="","",Relaciones!G273),"")</f>
        <v/>
      </c>
      <c r="D272" s="74" t="str">
        <f>IFERROR(IF(A272="","",Relaciones!H273),"")</f>
        <v/>
      </c>
      <c r="E272" s="74" t="str">
        <f>IFERROR(IF(A272="","",Relaciones!I273),"")</f>
        <v/>
      </c>
    </row>
    <row r="273" ht="18.0" customHeight="1">
      <c r="A273" s="90" t="str">
        <f>IFERROR(IF(ISERROR(FIND("-P",Relaciones!A274)),"",Relaciones!A274),"")</f>
        <v/>
      </c>
      <c r="B273" s="90" t="str">
        <f>IFERROR(IF(A273="","",Relaciones!D274),"")</f>
        <v/>
      </c>
      <c r="C273" s="70" t="str">
        <f>IFERROR(IF(A273="","",Relaciones!G274),"")</f>
        <v/>
      </c>
      <c r="D273" s="71" t="str">
        <f>IFERROR(IF(A273="","",Relaciones!H274),"")</f>
        <v/>
      </c>
      <c r="E273" s="71" t="str">
        <f>IFERROR(IF(A273="","",Relaciones!I274),"")</f>
        <v/>
      </c>
    </row>
    <row r="274" ht="18.0" customHeight="1">
      <c r="A274" s="89" t="str">
        <f>IFERROR(IF(ISERROR(FIND("-P",Relaciones!A275)),"",Relaciones!A275),"")</f>
        <v/>
      </c>
      <c r="B274" s="89" t="str">
        <f>IFERROR(IF(A274="","",Relaciones!D275),"")</f>
        <v/>
      </c>
      <c r="C274" s="73" t="str">
        <f>IFERROR(IF(A274="","",Relaciones!G275),"")</f>
        <v/>
      </c>
      <c r="D274" s="74" t="str">
        <f>IFERROR(IF(A274="","",Relaciones!H275),"")</f>
        <v/>
      </c>
      <c r="E274" s="74" t="str">
        <f>IFERROR(IF(A274="","",Relaciones!I275),"")</f>
        <v/>
      </c>
    </row>
    <row r="275" ht="18.0" customHeight="1">
      <c r="A275" s="90" t="str">
        <f>IFERROR(IF(ISERROR(FIND("-P",Relaciones!A276)),"",Relaciones!A276),"")</f>
        <v/>
      </c>
      <c r="B275" s="90" t="str">
        <f>IFERROR(IF(A275="","",Relaciones!D276),"")</f>
        <v/>
      </c>
      <c r="C275" s="70" t="str">
        <f>IFERROR(IF(A275="","",Relaciones!G276),"")</f>
        <v/>
      </c>
      <c r="D275" s="71" t="str">
        <f>IFERROR(IF(A275="","",Relaciones!H276),"")</f>
        <v/>
      </c>
      <c r="E275" s="71" t="str">
        <f>IFERROR(IF(A275="","",Relaciones!I276),"")</f>
        <v/>
      </c>
    </row>
    <row r="276" ht="18.0" customHeight="1">
      <c r="A276" s="89" t="str">
        <f>IFERROR(IF(ISERROR(FIND("-P",Relaciones!A277)),"",Relaciones!A277),"")</f>
        <v/>
      </c>
      <c r="B276" s="89" t="str">
        <f>IFERROR(IF(A276="","",Relaciones!D277),"")</f>
        <v/>
      </c>
      <c r="C276" s="73" t="str">
        <f>IFERROR(IF(A276="","",Relaciones!G277),"")</f>
        <v/>
      </c>
      <c r="D276" s="74" t="str">
        <f>IFERROR(IF(A276="","",Relaciones!H277),"")</f>
        <v/>
      </c>
      <c r="E276" s="74" t="str">
        <f>IFERROR(IF(A276="","",Relaciones!I277),"")</f>
        <v/>
      </c>
    </row>
    <row r="277" ht="18.0" customHeight="1">
      <c r="A277" s="90" t="str">
        <f>IFERROR(IF(ISERROR(FIND("-P",Relaciones!A278)),"",Relaciones!A278),"")</f>
        <v/>
      </c>
      <c r="B277" s="90" t="str">
        <f>IFERROR(IF(A277="","",Relaciones!D278),"")</f>
        <v/>
      </c>
      <c r="C277" s="70" t="str">
        <f>IFERROR(IF(A277="","",Relaciones!G278),"")</f>
        <v/>
      </c>
      <c r="D277" s="71" t="str">
        <f>IFERROR(IF(A277="","",Relaciones!H278),"")</f>
        <v/>
      </c>
      <c r="E277" s="71" t="str">
        <f>IFERROR(IF(A277="","",Relaciones!I278),"")</f>
        <v/>
      </c>
    </row>
    <row r="278" ht="18.0" customHeight="1">
      <c r="A278" s="89" t="str">
        <f>IFERROR(IF(ISERROR(FIND("-P",Relaciones!A279)),"",Relaciones!A279),"")</f>
        <v/>
      </c>
      <c r="B278" s="89" t="str">
        <f>IFERROR(IF(A278="","",Relaciones!D279),"")</f>
        <v/>
      </c>
      <c r="C278" s="73" t="str">
        <f>IFERROR(IF(A278="","",Relaciones!G279),"")</f>
        <v/>
      </c>
      <c r="D278" s="74" t="str">
        <f>IFERROR(IF(A278="","",Relaciones!H279),"")</f>
        <v/>
      </c>
      <c r="E278" s="74" t="str">
        <f>IFERROR(IF(A278="","",Relaciones!I279),"")</f>
        <v/>
      </c>
    </row>
    <row r="279" ht="18.0" customHeight="1">
      <c r="A279" s="90" t="str">
        <f>IFERROR(IF(ISERROR(FIND("-P",Relaciones!A280)),"",Relaciones!A280),"")</f>
        <v/>
      </c>
      <c r="B279" s="90" t="str">
        <f>IFERROR(IF(A279="","",Relaciones!D280),"")</f>
        <v/>
      </c>
      <c r="C279" s="70" t="str">
        <f>IFERROR(IF(A279="","",Relaciones!G280),"")</f>
        <v/>
      </c>
      <c r="D279" s="71" t="str">
        <f>IFERROR(IF(A279="","",Relaciones!H280),"")</f>
        <v/>
      </c>
      <c r="E279" s="71" t="str">
        <f>IFERROR(IF(A279="","",Relaciones!I280),"")</f>
        <v/>
      </c>
    </row>
    <row r="280" ht="18.0" customHeight="1">
      <c r="A280" s="89" t="str">
        <f>IFERROR(IF(ISERROR(FIND("-P",Relaciones!A281)),"",Relaciones!A281),"")</f>
        <v/>
      </c>
      <c r="B280" s="89" t="str">
        <f>IFERROR(IF(A280="","",Relaciones!D281),"")</f>
        <v/>
      </c>
      <c r="C280" s="73" t="str">
        <f>IFERROR(IF(A280="","",Relaciones!G281),"")</f>
        <v/>
      </c>
      <c r="D280" s="74" t="str">
        <f>IFERROR(IF(A280="","",Relaciones!H281),"")</f>
        <v/>
      </c>
      <c r="E280" s="74" t="str">
        <f>IFERROR(IF(A280="","",Relaciones!I281),"")</f>
        <v/>
      </c>
    </row>
    <row r="281" ht="18.0" customHeight="1">
      <c r="A281" s="90" t="str">
        <f>IFERROR(IF(ISERROR(FIND("-P",Relaciones!A282)),"",Relaciones!A282),"")</f>
        <v/>
      </c>
      <c r="B281" s="90" t="str">
        <f>IFERROR(IF(A281="","",Relaciones!D282),"")</f>
        <v/>
      </c>
      <c r="C281" s="70" t="str">
        <f>IFERROR(IF(A281="","",Relaciones!G282),"")</f>
        <v/>
      </c>
      <c r="D281" s="71" t="str">
        <f>IFERROR(IF(A281="","",Relaciones!H282),"")</f>
        <v/>
      </c>
      <c r="E281" s="71" t="str">
        <f>IFERROR(IF(A281="","",Relaciones!I282),"")</f>
        <v/>
      </c>
    </row>
    <row r="282" ht="18.0" customHeight="1">
      <c r="A282" s="89" t="str">
        <f>IFERROR(IF(ISERROR(FIND("-P",Relaciones!A283)),"",Relaciones!A283),"")</f>
        <v/>
      </c>
      <c r="B282" s="89" t="str">
        <f>IFERROR(IF(A282="","",Relaciones!D283),"")</f>
        <v/>
      </c>
      <c r="C282" s="73" t="str">
        <f>IFERROR(IF(A282="","",Relaciones!G283),"")</f>
        <v/>
      </c>
      <c r="D282" s="74" t="str">
        <f>IFERROR(IF(A282="","",Relaciones!H283),"")</f>
        <v/>
      </c>
      <c r="E282" s="74" t="str">
        <f>IFERROR(IF(A282="","",Relaciones!I283),"")</f>
        <v/>
      </c>
    </row>
    <row r="283" ht="18.0" customHeight="1">
      <c r="A283" s="90" t="str">
        <f>IFERROR(IF(ISERROR(FIND("-P",Relaciones!A284)),"",Relaciones!A284),"")</f>
        <v/>
      </c>
      <c r="B283" s="90" t="str">
        <f>IFERROR(IF(A283="","",Relaciones!D284),"")</f>
        <v/>
      </c>
      <c r="C283" s="70" t="str">
        <f>IFERROR(IF(A283="","",Relaciones!G284),"")</f>
        <v/>
      </c>
      <c r="D283" s="71" t="str">
        <f>IFERROR(IF(A283="","",Relaciones!H284),"")</f>
        <v/>
      </c>
      <c r="E283" s="71" t="str">
        <f>IFERROR(IF(A283="","",Relaciones!I284),"")</f>
        <v/>
      </c>
    </row>
    <row r="284" ht="18.0" customHeight="1">
      <c r="A284" s="89" t="str">
        <f>IFERROR(IF(ISERROR(FIND("-P",Relaciones!A285)),"",Relaciones!A285),"")</f>
        <v/>
      </c>
      <c r="B284" s="89" t="str">
        <f>IFERROR(IF(A284="","",Relaciones!D285),"")</f>
        <v/>
      </c>
      <c r="C284" s="73" t="str">
        <f>IFERROR(IF(A284="","",Relaciones!G285),"")</f>
        <v/>
      </c>
      <c r="D284" s="74" t="str">
        <f>IFERROR(IF(A284="","",Relaciones!H285),"")</f>
        <v/>
      </c>
      <c r="E284" s="74" t="str">
        <f>IFERROR(IF(A284="","",Relaciones!I285),"")</f>
        <v/>
      </c>
    </row>
    <row r="285" ht="18.0" customHeight="1">
      <c r="A285" s="90" t="str">
        <f>IFERROR(IF(ISERROR(FIND("-P",Relaciones!A286)),"",Relaciones!A286),"")</f>
        <v/>
      </c>
      <c r="B285" s="90" t="str">
        <f>IFERROR(IF(A285="","",Relaciones!D286),"")</f>
        <v/>
      </c>
      <c r="C285" s="70" t="str">
        <f>IFERROR(IF(A285="","",Relaciones!G286),"")</f>
        <v/>
      </c>
      <c r="D285" s="71" t="str">
        <f>IFERROR(IF(A285="","",Relaciones!H286),"")</f>
        <v/>
      </c>
      <c r="E285" s="71" t="str">
        <f>IFERROR(IF(A285="","",Relaciones!I286),"")</f>
        <v/>
      </c>
    </row>
    <row r="286" ht="18.0" customHeight="1">
      <c r="A286" s="89" t="str">
        <f>IFERROR(IF(ISERROR(FIND("-P",Relaciones!A287)),"",Relaciones!A287),"")</f>
        <v/>
      </c>
      <c r="B286" s="89" t="str">
        <f>IFERROR(IF(A286="","",Relaciones!D287),"")</f>
        <v/>
      </c>
      <c r="C286" s="73" t="str">
        <f>IFERROR(IF(A286="","",Relaciones!G287),"")</f>
        <v/>
      </c>
      <c r="D286" s="74" t="str">
        <f>IFERROR(IF(A286="","",Relaciones!H287),"")</f>
        <v/>
      </c>
      <c r="E286" s="74" t="str">
        <f>IFERROR(IF(A286="","",Relaciones!I287),"")</f>
        <v/>
      </c>
    </row>
    <row r="287" ht="18.0" customHeight="1">
      <c r="A287" s="90" t="str">
        <f>IFERROR(IF(ISERROR(FIND("-P",Relaciones!A288)),"",Relaciones!A288),"")</f>
        <v/>
      </c>
      <c r="B287" s="90" t="str">
        <f>IFERROR(IF(A287="","",Relaciones!D288),"")</f>
        <v/>
      </c>
      <c r="C287" s="70" t="str">
        <f>IFERROR(IF(A287="","",Relaciones!G288),"")</f>
        <v/>
      </c>
      <c r="D287" s="71" t="str">
        <f>IFERROR(IF(A287="","",Relaciones!H288),"")</f>
        <v/>
      </c>
      <c r="E287" s="71" t="str">
        <f>IFERROR(IF(A287="","",Relaciones!I288),"")</f>
        <v/>
      </c>
    </row>
    <row r="288" ht="18.0" customHeight="1">
      <c r="A288" s="89" t="str">
        <f>IFERROR(IF(ISERROR(FIND("-P",Relaciones!A289)),"",Relaciones!A289),"")</f>
        <v/>
      </c>
      <c r="B288" s="89" t="str">
        <f>IFERROR(IF(A288="","",Relaciones!D289),"")</f>
        <v/>
      </c>
      <c r="C288" s="73" t="str">
        <f>IFERROR(IF(A288="","",Relaciones!G289),"")</f>
        <v/>
      </c>
      <c r="D288" s="74" t="str">
        <f>IFERROR(IF(A288="","",Relaciones!H289),"")</f>
        <v/>
      </c>
      <c r="E288" s="74" t="str">
        <f>IFERROR(IF(A288="","",Relaciones!I289),"")</f>
        <v/>
      </c>
    </row>
    <row r="289" ht="18.0" customHeight="1">
      <c r="A289" s="90" t="str">
        <f>IFERROR(IF(ISERROR(FIND("-P",Relaciones!A290)),"",Relaciones!A290),"")</f>
        <v/>
      </c>
      <c r="B289" s="90" t="str">
        <f>IFERROR(IF(A289="","",Relaciones!D290),"")</f>
        <v/>
      </c>
      <c r="C289" s="70" t="str">
        <f>IFERROR(IF(A289="","",Relaciones!G290),"")</f>
        <v/>
      </c>
      <c r="D289" s="71" t="str">
        <f>IFERROR(IF(A289="","",Relaciones!H290),"")</f>
        <v/>
      </c>
      <c r="E289" s="71" t="str">
        <f>IFERROR(IF(A289="","",Relaciones!I290),"")</f>
        <v/>
      </c>
    </row>
    <row r="290" ht="18.0" customHeight="1">
      <c r="A290" s="89" t="str">
        <f>IFERROR(IF(ISERROR(FIND("-P",Relaciones!A291)),"",Relaciones!A291),"")</f>
        <v/>
      </c>
      <c r="B290" s="89" t="str">
        <f>IFERROR(IF(A290="","",Relaciones!D291),"")</f>
        <v/>
      </c>
      <c r="C290" s="73" t="str">
        <f>IFERROR(IF(A290="","",Relaciones!G291),"")</f>
        <v/>
      </c>
      <c r="D290" s="74" t="str">
        <f>IFERROR(IF(A290="","",Relaciones!H291),"")</f>
        <v/>
      </c>
      <c r="E290" s="74" t="str">
        <f>IFERROR(IF(A290="","",Relaciones!I291),"")</f>
        <v/>
      </c>
    </row>
    <row r="291" ht="18.0" customHeight="1">
      <c r="A291" s="90" t="str">
        <f>IFERROR(IF(ISERROR(FIND("-P",Relaciones!A292)),"",Relaciones!A292),"")</f>
        <v/>
      </c>
      <c r="B291" s="90" t="str">
        <f>IFERROR(IF(A291="","",Relaciones!D292),"")</f>
        <v/>
      </c>
      <c r="C291" s="70" t="str">
        <f>IFERROR(IF(A291="","",Relaciones!G292),"")</f>
        <v/>
      </c>
      <c r="D291" s="71" t="str">
        <f>IFERROR(IF(A291="","",Relaciones!H292),"")</f>
        <v/>
      </c>
      <c r="E291" s="71" t="str">
        <f>IFERROR(IF(A291="","",Relaciones!I292),"")</f>
        <v/>
      </c>
    </row>
    <row r="292" ht="18.0" customHeight="1">
      <c r="A292" s="89" t="str">
        <f>IFERROR(IF(ISERROR(FIND("-P",Relaciones!A293)),"",Relaciones!A293),"")</f>
        <v/>
      </c>
      <c r="B292" s="89" t="str">
        <f>IFERROR(IF(A292="","",Relaciones!D293),"")</f>
        <v/>
      </c>
      <c r="C292" s="73" t="str">
        <f>IFERROR(IF(A292="","",Relaciones!G293),"")</f>
        <v/>
      </c>
      <c r="D292" s="74" t="str">
        <f>IFERROR(IF(A292="","",Relaciones!H293),"")</f>
        <v/>
      </c>
      <c r="E292" s="74" t="str">
        <f>IFERROR(IF(A292="","",Relaciones!I293),"")</f>
        <v/>
      </c>
    </row>
    <row r="293" ht="18.0" customHeight="1">
      <c r="A293" s="90" t="str">
        <f>IFERROR(IF(ISERROR(FIND("-P",Relaciones!A294)),"",Relaciones!A294),"")</f>
        <v/>
      </c>
      <c r="B293" s="90" t="str">
        <f>IFERROR(IF(A293="","",Relaciones!D294),"")</f>
        <v/>
      </c>
      <c r="C293" s="70" t="str">
        <f>IFERROR(IF(A293="","",Relaciones!G294),"")</f>
        <v/>
      </c>
      <c r="D293" s="71" t="str">
        <f>IFERROR(IF(A293="","",Relaciones!H294),"")</f>
        <v/>
      </c>
      <c r="E293" s="71" t="str">
        <f>IFERROR(IF(A293="","",Relaciones!I294),"")</f>
        <v/>
      </c>
    </row>
    <row r="294" ht="18.0" customHeight="1">
      <c r="A294" s="89" t="str">
        <f>IFERROR(IF(ISERROR(FIND("-P",Relaciones!A295)),"",Relaciones!A295),"")</f>
        <v/>
      </c>
      <c r="B294" s="89" t="str">
        <f>IFERROR(IF(A294="","",Relaciones!D295),"")</f>
        <v/>
      </c>
      <c r="C294" s="73" t="str">
        <f>IFERROR(IF(A294="","",Relaciones!G295),"")</f>
        <v/>
      </c>
      <c r="D294" s="74" t="str">
        <f>IFERROR(IF(A294="","",Relaciones!H295),"")</f>
        <v/>
      </c>
      <c r="E294" s="74" t="str">
        <f>IFERROR(IF(A294="","",Relaciones!I295),"")</f>
        <v/>
      </c>
    </row>
    <row r="295" ht="18.0" customHeight="1">
      <c r="A295" s="90" t="str">
        <f>IFERROR(IF(ISERROR(FIND("-P",Relaciones!A296)),"",Relaciones!A296),"")</f>
        <v/>
      </c>
      <c r="B295" s="90" t="str">
        <f>IFERROR(IF(A295="","",Relaciones!D296),"")</f>
        <v/>
      </c>
      <c r="C295" s="70" t="str">
        <f>IFERROR(IF(A295="","",Relaciones!G296),"")</f>
        <v/>
      </c>
      <c r="D295" s="71" t="str">
        <f>IFERROR(IF(A295="","",Relaciones!H296),"")</f>
        <v/>
      </c>
      <c r="E295" s="71" t="str">
        <f>IFERROR(IF(A295="","",Relaciones!I296),"")</f>
        <v/>
      </c>
    </row>
    <row r="296" ht="18.0" customHeight="1">
      <c r="A296" s="89" t="str">
        <f>IFERROR(IF(ISERROR(FIND("-P",Relaciones!A297)),"",Relaciones!A297),"")</f>
        <v/>
      </c>
      <c r="B296" s="89" t="str">
        <f>IFERROR(IF(A296="","",Relaciones!D297),"")</f>
        <v/>
      </c>
      <c r="C296" s="73" t="str">
        <f>IFERROR(IF(A296="","",Relaciones!G297),"")</f>
        <v/>
      </c>
      <c r="D296" s="74" t="str">
        <f>IFERROR(IF(A296="","",Relaciones!H297),"")</f>
        <v/>
      </c>
      <c r="E296" s="74" t="str">
        <f>IFERROR(IF(A296="","",Relaciones!I297),"")</f>
        <v/>
      </c>
    </row>
    <row r="297" ht="18.0" customHeight="1">
      <c r="A297" s="90" t="str">
        <f>IFERROR(IF(ISERROR(FIND("-P",Relaciones!A298)),"",Relaciones!A298),"")</f>
        <v/>
      </c>
      <c r="B297" s="90" t="str">
        <f>IFERROR(IF(A297="","",Relaciones!D298),"")</f>
        <v/>
      </c>
      <c r="C297" s="70" t="str">
        <f>IFERROR(IF(A297="","",Relaciones!G298),"")</f>
        <v/>
      </c>
      <c r="D297" s="71" t="str">
        <f>IFERROR(IF(A297="","",Relaciones!H298),"")</f>
        <v/>
      </c>
      <c r="E297" s="71" t="str">
        <f>IFERROR(IF(A297="","",Relaciones!I298),"")</f>
        <v/>
      </c>
    </row>
    <row r="298" ht="18.0" customHeight="1">
      <c r="A298" s="89" t="str">
        <f>IFERROR(IF(ISERROR(FIND("-P",Relaciones!A299)),"",Relaciones!A299),"")</f>
        <v/>
      </c>
      <c r="B298" s="89" t="str">
        <f>IFERROR(IF(A298="","",Relaciones!D299),"")</f>
        <v/>
      </c>
      <c r="C298" s="73" t="str">
        <f>IFERROR(IF(A298="","",Relaciones!G299),"")</f>
        <v/>
      </c>
      <c r="D298" s="74" t="str">
        <f>IFERROR(IF(A298="","",Relaciones!H299),"")</f>
        <v/>
      </c>
      <c r="E298" s="74" t="str">
        <f>IFERROR(IF(A298="","",Relaciones!I299),"")</f>
        <v/>
      </c>
    </row>
    <row r="299" ht="18.0" customHeight="1">
      <c r="A299" s="90" t="str">
        <f>IFERROR(IF(ISERROR(FIND("-P",Relaciones!A300)),"",Relaciones!A300),"")</f>
        <v/>
      </c>
      <c r="B299" s="90" t="str">
        <f>IFERROR(IF(A299="","",Relaciones!D300),"")</f>
        <v/>
      </c>
      <c r="C299" s="70" t="str">
        <f>IFERROR(IF(A299="","",Relaciones!G300),"")</f>
        <v/>
      </c>
      <c r="D299" s="71" t="str">
        <f>IFERROR(IF(A299="","",Relaciones!H300),"")</f>
        <v/>
      </c>
      <c r="E299" s="71" t="str">
        <f>IFERROR(IF(A299="","",Relaciones!I300),"")</f>
        <v/>
      </c>
    </row>
    <row r="300" ht="18.0" customHeight="1">
      <c r="A300" s="89" t="str">
        <f>IFERROR(IF(ISERROR(FIND("-P",Relaciones!A301)),"",Relaciones!A301),"")</f>
        <v/>
      </c>
      <c r="B300" s="89" t="str">
        <f>IFERROR(IF(A300="","",Relaciones!D301),"")</f>
        <v/>
      </c>
      <c r="C300" s="73" t="str">
        <f>IFERROR(IF(A300="","",Relaciones!G301),"")</f>
        <v/>
      </c>
      <c r="D300" s="74" t="str">
        <f>IFERROR(IF(A300="","",Relaciones!H301),"")</f>
        <v/>
      </c>
      <c r="E300" s="74" t="str">
        <f>IFERROR(IF(A300="","",Relaciones!I301),"")</f>
        <v/>
      </c>
    </row>
    <row r="301" ht="18.0" customHeight="1">
      <c r="A301" s="90" t="str">
        <f>IFERROR(IF(ISERROR(FIND("-P",Relaciones!A302)),"",Relaciones!A302),"")</f>
        <v/>
      </c>
      <c r="B301" s="90" t="str">
        <f>IFERROR(IF(A301="","",Relaciones!D302),"")</f>
        <v/>
      </c>
      <c r="C301" s="70" t="str">
        <f>IFERROR(IF(A301="","",Relaciones!G302),"")</f>
        <v/>
      </c>
      <c r="D301" s="71" t="str">
        <f>IFERROR(IF(A301="","",Relaciones!H302),"")</f>
        <v/>
      </c>
      <c r="E301" s="71" t="str">
        <f>IFERROR(IF(A301="","",Relaciones!I302),"")</f>
        <v/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2026-05-26T14:13:51Z</dcterms:created>
  <dc:creator>openpyxl</dc:creator>
</cp:coreProperties>
</file>