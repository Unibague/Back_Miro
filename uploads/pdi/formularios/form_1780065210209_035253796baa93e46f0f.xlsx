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UNIBAGUE\Downloads\"/>
    </mc:Choice>
  </mc:AlternateContent>
  <xr:revisionPtr revIDLastSave="0" documentId="13_ncr:1_{5E409717-75D8-4FBD-BBDA-51942EDC2B77}" xr6:coauthVersionLast="47" xr6:coauthVersionMax="47" xr10:uidLastSave="{00000000-0000-0000-0000-000000000000}"/>
  <bookViews>
    <workbookView xWindow="-120" yWindow="-120" windowWidth="29040" windowHeight="15720" tabRatio="500" activeTab="1" xr2:uid="{00000000-000D-0000-FFFF-FFFF00000000}"/>
  </bookViews>
  <sheets>
    <sheet name="General" sheetId="1" r:id="rId1"/>
    <sheet name="Gráfico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I7" i="2" l="1"/>
  <c r="F7" i="2"/>
  <c r="C7" i="2"/>
  <c r="C15" i="1"/>
  <c r="E11" i="1"/>
  <c r="C17" i="1" s="1"/>
  <c r="D11" i="1"/>
  <c r="C16" i="1" s="1"/>
  <c r="C11" i="1"/>
</calcChain>
</file>

<file path=xl/sharedStrings.xml><?xml version="1.0" encoding="utf-8"?>
<sst xmlns="http://schemas.openxmlformats.org/spreadsheetml/2006/main" count="41" uniqueCount="13">
  <si>
    <t>DIAGNÓSTICO DISEÑO 2026 — LUZ RIVERA</t>
  </si>
  <si>
    <t>Mes</t>
  </si>
  <si>
    <t>Luz Rivera</t>
  </si>
  <si>
    <t>Solicitudes</t>
  </si>
  <si>
    <t>Esfuerzo</t>
  </si>
  <si>
    <t>No. Piezas</t>
  </si>
  <si>
    <t>Enero</t>
  </si>
  <si>
    <t>Febrero</t>
  </si>
  <si>
    <t>Marzo</t>
  </si>
  <si>
    <t>Abril</t>
  </si>
  <si>
    <t>Mayo</t>
  </si>
  <si>
    <t>TOTAL</t>
  </si>
  <si>
    <t>Resumen — Enero a Mayo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</si>
</sst>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1"/>
    </font>
    <font>
      <b/>
      <sz val="13"/>
      <color rgb="FFFFFFFF"/>
      <name val="Arial"/>
      <family val="2"/>
    </font>
    <font>
      <b/>
      <sz val="11"/>
      <color rgb="FFFFFFFF"/>
      <name val="Arial"/>
      <family val="2"/>
    </font>
    <font>
      <b/>
      <sz val="10"/>
      <color rgb="FFFFFFFF"/>
      <name val="Arial"/>
      <family val="2"/>
    </font>
    <font>
      <b/>
      <sz val="10"/>
      <name val="Arial"/>
      <family val="2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2E75B6"/>
        <bgColor rgb="FF0066CC"/>
      </patternFill>
    </fill>
    <fill>
      <patternFill patternType="solid">
        <fgColor rgb="FFF2F7FB"/>
        <bgColor rgb="FFF9F9F9"/>
      </patternFill>
    </fill>
    <fill>
      <patternFill patternType="solid">
        <fgColor rgb="FFFFFFFF"/>
        <bgColor rgb="FFF9F9F9"/>
      </patternFill>
    </fill>
  </fills>
  <borders count="4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/>
      <diagonal/>
    </border>
    <border>
      <left style="thin">
        <color rgb="FFAAAAAA"/>
      </left>
      <right/>
      <top style="thin">
        <color rgb="FFAAAAAA"/>
      </top>
      <bottom style="thin">
        <color rgb="FFAAAAAA"/>
      </bottom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2" borderId="0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1" fillId="2" borderId="0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4" fillId="4" borderId="3" xfId="0" applyFont="1" applyFill="1" applyBorder="1" applyAlignment="1">
      <alignment horizontal="left" vertical="center"/>
    </xf>
    <xf numFmtId="0" fontId="5" fillId="4" borderId="3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left" vertical="center"/>
    </xf>
    <xf numFmtId="0" fontId="5" fillId="5" borderId="3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993366"/>
      <rgbColor rgb="FFF9F9F9"/>
      <rgbColor rgb="FFF2F7FB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666699"/>
      <rgbColor rgb="FFAAAAAA"/>
      <rgbColor rgb="FF003366"/>
      <rgbColor rgb="FF339966"/>
      <rgbColor rgb="FF003300"/>
      <rgbColor rgb="FF333300"/>
      <rgbColor rgb="FF993300"/>
      <rgbColor rgb="FF993366"/>
      <rgbColor rgb="FF1F4E7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s-CO" sz="1800" b="1" strike="noStrike" spc="-1">
                <a:solidFill>
                  <a:srgbClr val="000000"/>
                </a:solidFill>
                <a:latin typeface="Calibri"/>
              </a:rPr>
              <a:t>Solicitudes por Mes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Gráficos!$C$1</c:f>
              <c:strCache>
                <c:ptCount val="1"/>
                <c:pt idx="0">
                  <c:v>Solicitudes</c:v>
                </c:pt>
              </c:strCache>
            </c:strRef>
          </c:tx>
          <c:spPr>
            <a:solidFill>
              <a:srgbClr val="2E75B6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s-CO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Gráficos!$B$2:$B$6</c:f>
              <c:strCache>
                <c:ptCount val="5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</c:strCache>
            </c:strRef>
          </c:cat>
          <c:val>
            <c:numRef>
              <c:f>Gráficos!$C$2:$C$6</c:f>
              <c:numCache>
                <c:formatCode>General</c:formatCode>
                <c:ptCount val="5"/>
                <c:pt idx="0">
                  <c:v>26</c:v>
                </c:pt>
                <c:pt idx="1">
                  <c:v>18</c:v>
                </c:pt>
                <c:pt idx="2">
                  <c:v>21</c:v>
                </c:pt>
                <c:pt idx="3">
                  <c:v>14</c:v>
                </c:pt>
                <c:pt idx="4">
                  <c:v>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AC8-43DF-A24C-FCC35CE3EF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080254"/>
        <c:axId val="13063158"/>
      </c:barChart>
      <c:catAx>
        <c:axId val="1908025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CO"/>
          </a:p>
        </c:txPr>
        <c:crossAx val="13063158"/>
        <c:crosses val="autoZero"/>
        <c:auto val="1"/>
        <c:lblAlgn val="ctr"/>
        <c:lblOffset val="100"/>
        <c:noMultiLvlLbl val="0"/>
      </c:catAx>
      <c:valAx>
        <c:axId val="1306315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CO"/>
          </a:p>
        </c:txPr>
        <c:crossAx val="19080254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s-CO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s-CO" sz="1800" b="1" strike="noStrike" spc="-1">
                <a:solidFill>
                  <a:srgbClr val="000000"/>
                </a:solidFill>
                <a:latin typeface="Calibri"/>
              </a:rPr>
              <a:t>Esfuerzo por Mes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Gráficos!$F$1</c:f>
              <c:strCache>
                <c:ptCount val="1"/>
                <c:pt idx="0">
                  <c:v>Esfuerzo</c:v>
                </c:pt>
              </c:strCache>
            </c:strRef>
          </c:tx>
          <c:spPr>
            <a:solidFill>
              <a:srgbClr val="2E75B6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s-CO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Gráficos!$E$2:$E$6</c:f>
              <c:strCache>
                <c:ptCount val="5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</c:strCache>
            </c:strRef>
          </c:cat>
          <c:val>
            <c:numRef>
              <c:f>Gráficos!$F$2:$F$6</c:f>
              <c:numCache>
                <c:formatCode>General</c:formatCode>
                <c:ptCount val="5"/>
                <c:pt idx="0">
                  <c:v>291</c:v>
                </c:pt>
                <c:pt idx="1">
                  <c:v>418</c:v>
                </c:pt>
                <c:pt idx="2">
                  <c:v>256</c:v>
                </c:pt>
                <c:pt idx="3">
                  <c:v>100</c:v>
                </c:pt>
                <c:pt idx="4">
                  <c:v>145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F24-459A-B04C-71A498765E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0502387"/>
        <c:axId val="58954671"/>
      </c:barChart>
      <c:catAx>
        <c:axId val="705023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CO"/>
          </a:p>
        </c:txPr>
        <c:crossAx val="58954671"/>
        <c:crosses val="autoZero"/>
        <c:auto val="1"/>
        <c:lblAlgn val="ctr"/>
        <c:lblOffset val="100"/>
        <c:noMultiLvlLbl val="0"/>
      </c:catAx>
      <c:valAx>
        <c:axId val="5895467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CO"/>
          </a:p>
        </c:txPr>
        <c:crossAx val="70502387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s-CO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s-CO" sz="1800" b="1" strike="noStrike" spc="-1">
                <a:solidFill>
                  <a:srgbClr val="000000"/>
                </a:solidFill>
                <a:latin typeface="Calibri"/>
              </a:rPr>
              <a:t>No. Piezas por Mes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Gráficos!$I$1</c:f>
              <c:strCache>
                <c:ptCount val="1"/>
                <c:pt idx="0">
                  <c:v>No. Piezas</c:v>
                </c:pt>
              </c:strCache>
            </c:strRef>
          </c:tx>
          <c:spPr>
            <a:solidFill>
              <a:srgbClr val="2E75B6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s-CO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Gráficos!$H$2:$H$6</c:f>
              <c:strCache>
                <c:ptCount val="5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</c:strCache>
            </c:strRef>
          </c:cat>
          <c:val>
            <c:numRef>
              <c:f>Gráficos!$I$2:$I$6</c:f>
              <c:numCache>
                <c:formatCode>General</c:formatCode>
                <c:ptCount val="5"/>
                <c:pt idx="0">
                  <c:v>83</c:v>
                </c:pt>
                <c:pt idx="1">
                  <c:v>71</c:v>
                </c:pt>
                <c:pt idx="2">
                  <c:v>100</c:v>
                </c:pt>
                <c:pt idx="3">
                  <c:v>36</c:v>
                </c:pt>
                <c:pt idx="4">
                  <c:v>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D4E-4680-91F5-14CDFD94B0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5267749"/>
        <c:axId val="37617085"/>
      </c:barChart>
      <c:catAx>
        <c:axId val="8526774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CO"/>
          </a:p>
        </c:txPr>
        <c:crossAx val="37617085"/>
        <c:crosses val="autoZero"/>
        <c:auto val="1"/>
        <c:lblAlgn val="ctr"/>
        <c:lblOffset val="100"/>
        <c:noMultiLvlLbl val="0"/>
      </c:catAx>
      <c:valAx>
        <c:axId val="3761708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CO"/>
          </a:p>
        </c:txPr>
        <c:crossAx val="85267749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s-CO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0</xdr:row>
      <xdr:rowOff>0</xdr:rowOff>
    </xdr:from>
    <xdr:to>
      <xdr:col>20</xdr:col>
      <xdr:colOff>255960</xdr:colOff>
      <xdr:row>22</xdr:row>
      <xdr:rowOff>128520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11</xdr:col>
      <xdr:colOff>0</xdr:colOff>
      <xdr:row>16</xdr:row>
      <xdr:rowOff>0</xdr:rowOff>
    </xdr:from>
    <xdr:to>
      <xdr:col>20</xdr:col>
      <xdr:colOff>255960</xdr:colOff>
      <xdr:row>38</xdr:row>
      <xdr:rowOff>128880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11</xdr:col>
      <xdr:colOff>0</xdr:colOff>
      <xdr:row>32</xdr:row>
      <xdr:rowOff>0</xdr:rowOff>
    </xdr:from>
    <xdr:to>
      <xdr:col>20</xdr:col>
      <xdr:colOff>255960</xdr:colOff>
      <xdr:row>54</xdr:row>
      <xdr:rowOff>128520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E17"/>
  <sheetViews>
    <sheetView showGridLines="0" zoomScaleNormal="100" workbookViewId="0"/>
  </sheetViews>
  <sheetFormatPr baseColWidth="10" defaultColWidth="8.7109375" defaultRowHeight="15" x14ac:dyDescent="0.25"/>
  <cols>
    <col min="1" max="1" width="2" customWidth="1"/>
    <col min="2" max="3" width="14" customWidth="1"/>
    <col min="4" max="5" width="12" customWidth="1"/>
  </cols>
  <sheetData>
    <row r="2" spans="2:5" ht="30" customHeight="1" x14ac:dyDescent="0.25">
      <c r="B2" s="4" t="s">
        <v>0</v>
      </c>
      <c r="C2" s="4"/>
      <c r="D2" s="4"/>
      <c r="E2" s="4"/>
    </row>
    <row r="4" spans="2:5" ht="21.75" customHeight="1" x14ac:dyDescent="0.25">
      <c r="B4" s="3" t="s">
        <v>1</v>
      </c>
      <c r="C4" s="2" t="s">
        <v>2</v>
      </c>
      <c r="D4" s="2"/>
      <c r="E4" s="2"/>
    </row>
    <row r="5" spans="2:5" ht="21.75" customHeight="1" x14ac:dyDescent="0.25">
      <c r="B5" s="3"/>
      <c r="C5" s="5" t="s">
        <v>3</v>
      </c>
      <c r="D5" s="5" t="s">
        <v>4</v>
      </c>
      <c r="E5" s="5" t="s">
        <v>5</v>
      </c>
    </row>
    <row r="6" spans="2:5" ht="18" customHeight="1" x14ac:dyDescent="0.25">
      <c r="B6" s="6" t="s">
        <v>6</v>
      </c>
      <c r="C6" s="7">
        <v>26</v>
      </c>
      <c r="D6" s="7">
        <v>291</v>
      </c>
      <c r="E6" s="7">
        <v>83</v>
      </c>
    </row>
    <row r="7" spans="2:5" ht="18" customHeight="1" x14ac:dyDescent="0.25">
      <c r="B7" s="8" t="s">
        <v>7</v>
      </c>
      <c r="C7" s="9">
        <v>18</v>
      </c>
      <c r="D7" s="9">
        <v>418</v>
      </c>
      <c r="E7" s="9">
        <v>71</v>
      </c>
    </row>
    <row r="8" spans="2:5" ht="18" customHeight="1" x14ac:dyDescent="0.25">
      <c r="B8" s="6" t="s">
        <v>8</v>
      </c>
      <c r="C8" s="7">
        <v>21</v>
      </c>
      <c r="D8" s="7">
        <v>256</v>
      </c>
      <c r="E8" s="7">
        <v>100</v>
      </c>
    </row>
    <row r="9" spans="2:5" ht="18" customHeight="1" x14ac:dyDescent="0.25">
      <c r="B9" s="8" t="s">
        <v>9</v>
      </c>
      <c r="C9" s="9">
        <v>14</v>
      </c>
      <c r="D9" s="9">
        <v>100</v>
      </c>
      <c r="E9" s="9">
        <v>36</v>
      </c>
    </row>
    <row r="10" spans="2:5" ht="18" customHeight="1" x14ac:dyDescent="0.25">
      <c r="B10" s="6" t="s">
        <v>10</v>
      </c>
      <c r="C10" s="7">
        <v>27</v>
      </c>
      <c r="D10" s="7">
        <v>145</v>
      </c>
      <c r="E10" s="7">
        <v>43</v>
      </c>
    </row>
    <row r="11" spans="2:5" ht="19.5" customHeight="1" x14ac:dyDescent="0.25">
      <c r="B11" s="10" t="s">
        <v>11</v>
      </c>
      <c r="C11" s="10">
        <f>SUM(C6:C10)</f>
        <v>106</v>
      </c>
      <c r="D11" s="10">
        <f>SUM(D6:D10)</f>
        <v>1210</v>
      </c>
      <c r="E11" s="10">
        <f>SUM(E6:E10)</f>
        <v>333</v>
      </c>
    </row>
    <row r="13" spans="2:5" ht="21.75" customHeight="1" x14ac:dyDescent="0.25">
      <c r="B13" s="1" t="s">
        <v>12</v>
      </c>
      <c r="C13" s="1"/>
      <c r="D13" s="1"/>
      <c r="E13" s="1"/>
    </row>
    <row r="14" spans="2:5" x14ac:dyDescent="0.25">
      <c r="B14" s="5"/>
      <c r="C14" s="5" t="s">
        <v>2</v>
      </c>
      <c r="D14" s="5"/>
      <c r="E14" s="5"/>
    </row>
    <row r="15" spans="2:5" ht="18" customHeight="1" x14ac:dyDescent="0.25">
      <c r="B15" s="8" t="s">
        <v>3</v>
      </c>
      <c r="C15" s="9">
        <f>C11</f>
        <v>106</v>
      </c>
    </row>
    <row r="16" spans="2:5" ht="18" customHeight="1" x14ac:dyDescent="0.25">
      <c r="B16" s="8" t="s">
        <v>4</v>
      </c>
      <c r="C16" s="9">
        <f>D11</f>
        <v>1210</v>
      </c>
    </row>
    <row r="17" spans="2:3" ht="18" customHeight="1" x14ac:dyDescent="0.25">
      <c r="B17" s="8" t="s">
        <v>5</v>
      </c>
      <c r="C17" s="9">
        <f>E11</f>
        <v>333</v>
      </c>
    </row>
  </sheetData>
  <mergeCells count="4">
    <mergeCell ref="B2:E2"/>
    <mergeCell ref="B4:B5"/>
    <mergeCell ref="C4:E4"/>
    <mergeCell ref="B13:E13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I7"/>
  <sheetViews>
    <sheetView showGridLines="0" tabSelected="1" zoomScaleNormal="100" workbookViewId="0"/>
  </sheetViews>
  <sheetFormatPr baseColWidth="10" defaultColWidth="8.7109375" defaultRowHeight="15" x14ac:dyDescent="0.25"/>
  <cols>
    <col min="2" max="9" width="12" customWidth="1"/>
  </cols>
  <sheetData>
    <row r="1" spans="2:9" x14ac:dyDescent="0.25">
      <c r="B1" s="5" t="s">
        <v>1</v>
      </c>
      <c r="C1" s="5" t="s">
        <v>3</v>
      </c>
      <c r="E1" s="5" t="s">
        <v>1</v>
      </c>
      <c r="F1" s="5" t="s">
        <v>4</v>
      </c>
      <c r="H1" s="5" t="s">
        <v>1</v>
      </c>
      <c r="I1" s="5" t="s">
        <v>5</v>
      </c>
    </row>
    <row r="2" spans="2:9" x14ac:dyDescent="0.25">
      <c r="B2" s="6" t="s">
        <v>6</v>
      </c>
      <c r="C2" s="7">
        <v>26</v>
      </c>
      <c r="E2" s="6" t="s">
        <v>6</v>
      </c>
      <c r="F2" s="7">
        <v>291</v>
      </c>
      <c r="H2" s="6" t="s">
        <v>6</v>
      </c>
      <c r="I2" s="7">
        <v>83</v>
      </c>
    </row>
    <row r="3" spans="2:9" x14ac:dyDescent="0.25">
      <c r="B3" s="8" t="s">
        <v>7</v>
      </c>
      <c r="C3" s="9">
        <v>18</v>
      </c>
      <c r="E3" s="8" t="s">
        <v>7</v>
      </c>
      <c r="F3" s="9">
        <v>418</v>
      </c>
      <c r="H3" s="8" t="s">
        <v>7</v>
      </c>
      <c r="I3" s="9">
        <v>71</v>
      </c>
    </row>
    <row r="4" spans="2:9" x14ac:dyDescent="0.25">
      <c r="B4" s="6" t="s">
        <v>8</v>
      </c>
      <c r="C4" s="7">
        <v>21</v>
      </c>
      <c r="E4" s="6" t="s">
        <v>8</v>
      </c>
      <c r="F4" s="7">
        <v>256</v>
      </c>
      <c r="H4" s="6" t="s">
        <v>8</v>
      </c>
      <c r="I4" s="7">
        <v>100</v>
      </c>
    </row>
    <row r="5" spans="2:9" x14ac:dyDescent="0.25">
      <c r="B5" s="8" t="s">
        <v>9</v>
      </c>
      <c r="C5" s="9">
        <v>14</v>
      </c>
      <c r="E5" s="8" t="s">
        <v>9</v>
      </c>
      <c r="F5" s="9">
        <v>100</v>
      </c>
      <c r="H5" s="8" t="s">
        <v>9</v>
      </c>
      <c r="I5" s="9">
        <v>36</v>
      </c>
    </row>
    <row r="6" spans="2:9" x14ac:dyDescent="0.25">
      <c r="B6" s="6" t="s">
        <v>10</v>
      </c>
      <c r="C6" s="7">
        <v>27</v>
      </c>
      <c r="E6" s="6" t="s">
        <v>10</v>
      </c>
      <c r="F6" s="7">
        <v>145</v>
      </c>
      <c r="H6" s="6" t="s">
        <v>10</v>
      </c>
      <c r="I6" s="7">
        <v>43</v>
      </c>
    </row>
    <row r="7" spans="2:9" x14ac:dyDescent="0.25">
      <c r="B7" s="10" t="s">
        <v>11</v>
      </c>
      <c r="C7" s="10">
        <f>SUM(C2:C6)</f>
        <v>106</v>
      </c>
      <c r="E7" s="10" t="s">
        <v>11</v>
      </c>
      <c r="F7" s="10">
        <f>SUM(F2:F6)</f>
        <v>1210</v>
      </c>
      <c r="H7" s="10" t="s">
        <v>11</v>
      </c>
      <c r="I7" s="10">
        <f>SUM(I2:I6)</f>
        <v>333</v>
      </c>
    </row>
  </sheetData>
  <pageMargins left="0.75" right="0.75" top="1" bottom="1" header="0.511811023622047" footer="0.511811023622047"/>
  <pageSetup paperSize="9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General</vt:lpstr>
      <vt:lpstr>Gráficos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MARIANA MILLAN MENESES</cp:lastModifiedBy>
  <cp:revision>1</cp:revision>
  <dcterms:created xsi:type="dcterms:W3CDTF">2026-05-29T14:24:36Z</dcterms:created>
  <dcterms:modified xsi:type="dcterms:W3CDTF">2026-05-29T14:26:00Z</dcterms:modified>
  <dc:language>en-US</dc:language>
</cp:coreProperties>
</file>