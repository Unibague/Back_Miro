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NIBAGUE\Downloads\"/>
    </mc:Choice>
  </mc:AlternateContent>
  <xr:revisionPtr revIDLastSave="0" documentId="13_ncr:1_{846CA92F-07C4-4758-9872-3ED9139B117E}" xr6:coauthVersionLast="47" xr6:coauthVersionMax="47" xr10:uidLastSave="{00000000-0000-0000-0000-000000000000}"/>
  <bookViews>
    <workbookView xWindow="-120" yWindow="-120" windowWidth="29040" windowHeight="15720" tabRatio="500" xr2:uid="{00000000-000D-0000-FFFF-FFFF00000000}"/>
  </bookViews>
  <sheets>
    <sheet name="Matriz_Activos" sheetId="1" r:id="rId1"/>
    <sheet name="Listas" sheetId="2" r:id="rId2"/>
  </sheets>
  <definedNames>
    <definedName name="_xlnm._FilterDatabase" localSheetId="0" hidden="1">Matriz_Activos!$A$4:$M$1853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H1853" i="1" l="1"/>
  <c r="G1853" i="1"/>
  <c r="H1852" i="1"/>
  <c r="G1852" i="1"/>
  <c r="H1851" i="1"/>
  <c r="G1851" i="1"/>
  <c r="H1850" i="1"/>
  <c r="G1850" i="1"/>
  <c r="H1849" i="1"/>
  <c r="G1849" i="1"/>
  <c r="H1848" i="1"/>
  <c r="G1848" i="1"/>
  <c r="H1847" i="1"/>
  <c r="G1847" i="1"/>
  <c r="H1846" i="1"/>
  <c r="G1846" i="1"/>
  <c r="H1845" i="1"/>
  <c r="G1845" i="1"/>
  <c r="H1844" i="1"/>
  <c r="G1844" i="1"/>
  <c r="H1843" i="1"/>
  <c r="G1843" i="1"/>
  <c r="H1842" i="1"/>
  <c r="G1842" i="1"/>
  <c r="H1841" i="1"/>
  <c r="G1841" i="1"/>
  <c r="H1840" i="1"/>
  <c r="G1840" i="1"/>
  <c r="H1839" i="1"/>
  <c r="G1839" i="1"/>
  <c r="H1838" i="1"/>
  <c r="G1838" i="1"/>
  <c r="H1837" i="1"/>
  <c r="G1837" i="1"/>
  <c r="H1836" i="1"/>
  <c r="G1836" i="1"/>
  <c r="H1835" i="1"/>
  <c r="G1835" i="1"/>
  <c r="H1834" i="1"/>
  <c r="G1834" i="1"/>
  <c r="H1833" i="1"/>
  <c r="G1833" i="1"/>
  <c r="H1832" i="1"/>
  <c r="G1832" i="1"/>
  <c r="H1831" i="1"/>
  <c r="G1831" i="1"/>
  <c r="H1830" i="1"/>
  <c r="G1830" i="1"/>
  <c r="H1829" i="1"/>
  <c r="G1829" i="1"/>
  <c r="H1828" i="1"/>
  <c r="G1828" i="1"/>
  <c r="H1827" i="1"/>
  <c r="G1827" i="1"/>
  <c r="H1826" i="1"/>
  <c r="G1826" i="1"/>
  <c r="H1825" i="1"/>
  <c r="G1825" i="1"/>
  <c r="H1824" i="1"/>
  <c r="G1824" i="1"/>
  <c r="H1823" i="1"/>
  <c r="G1823" i="1"/>
  <c r="H1822" i="1"/>
  <c r="G1822" i="1"/>
  <c r="H1821" i="1"/>
  <c r="G1821" i="1"/>
  <c r="H1820" i="1"/>
  <c r="G1820" i="1"/>
  <c r="H1819" i="1"/>
  <c r="G1819" i="1"/>
  <c r="H1818" i="1"/>
  <c r="G1818" i="1"/>
  <c r="H1817" i="1"/>
  <c r="G1817" i="1"/>
  <c r="H1816" i="1"/>
  <c r="G1816" i="1"/>
  <c r="H1815" i="1"/>
  <c r="G1815" i="1"/>
  <c r="H1814" i="1"/>
  <c r="G1814" i="1"/>
  <c r="H1813" i="1"/>
  <c r="G1813" i="1"/>
  <c r="H1812" i="1"/>
  <c r="G1812" i="1"/>
  <c r="H1811" i="1"/>
  <c r="G1811" i="1"/>
  <c r="H1810" i="1"/>
  <c r="G1810" i="1"/>
  <c r="H1809" i="1"/>
  <c r="G1809" i="1"/>
  <c r="H1808" i="1"/>
  <c r="G1808" i="1"/>
  <c r="H1807" i="1"/>
  <c r="G1807" i="1"/>
  <c r="H1806" i="1"/>
  <c r="G1806" i="1"/>
  <c r="H1805" i="1"/>
  <c r="G1805" i="1"/>
  <c r="H1804" i="1"/>
  <c r="G1804" i="1"/>
  <c r="H1803" i="1"/>
  <c r="G1803" i="1"/>
  <c r="H1802" i="1"/>
  <c r="G1802" i="1"/>
  <c r="H1801" i="1"/>
  <c r="G1801" i="1"/>
  <c r="H1800" i="1"/>
  <c r="G1800" i="1"/>
  <c r="H1799" i="1"/>
  <c r="G1799" i="1"/>
  <c r="H1798" i="1"/>
  <c r="G1798" i="1"/>
  <c r="H1797" i="1"/>
  <c r="G1797" i="1"/>
  <c r="H1796" i="1"/>
  <c r="G1796" i="1"/>
  <c r="H1795" i="1"/>
  <c r="G1795" i="1"/>
  <c r="H1794" i="1"/>
  <c r="G1794" i="1"/>
  <c r="H1793" i="1"/>
  <c r="G1793" i="1"/>
  <c r="H1792" i="1"/>
  <c r="G1792" i="1"/>
  <c r="H1791" i="1"/>
  <c r="G1791" i="1"/>
  <c r="H1790" i="1"/>
  <c r="G1790" i="1"/>
  <c r="H1789" i="1"/>
  <c r="G1789" i="1"/>
  <c r="H1788" i="1"/>
  <c r="G1788" i="1"/>
  <c r="H1787" i="1"/>
  <c r="G1787" i="1"/>
  <c r="H1786" i="1"/>
  <c r="G1786" i="1"/>
  <c r="H1785" i="1"/>
  <c r="G1785" i="1"/>
  <c r="H1784" i="1"/>
  <c r="G1784" i="1"/>
  <c r="H1783" i="1"/>
  <c r="G1783" i="1"/>
  <c r="H1782" i="1"/>
  <c r="G1782" i="1"/>
  <c r="H1781" i="1"/>
  <c r="G1781" i="1"/>
  <c r="H1780" i="1"/>
  <c r="G1780" i="1"/>
  <c r="H1779" i="1"/>
  <c r="G1779" i="1"/>
  <c r="H1778" i="1"/>
  <c r="G1778" i="1"/>
  <c r="H1777" i="1"/>
  <c r="G1777" i="1"/>
  <c r="H1776" i="1"/>
  <c r="G1776" i="1"/>
  <c r="H1775" i="1"/>
  <c r="G1775" i="1"/>
  <c r="H1774" i="1"/>
  <c r="G1774" i="1"/>
  <c r="H1773" i="1"/>
  <c r="G1773" i="1"/>
  <c r="H1772" i="1"/>
  <c r="G1772" i="1"/>
  <c r="H1771" i="1"/>
  <c r="G1771" i="1"/>
  <c r="H1770" i="1"/>
  <c r="G1770" i="1"/>
  <c r="H1769" i="1"/>
  <c r="G1769" i="1"/>
  <c r="H1768" i="1"/>
  <c r="G1768" i="1"/>
  <c r="H1767" i="1"/>
  <c r="G1767" i="1"/>
  <c r="H1766" i="1"/>
  <c r="G1766" i="1"/>
  <c r="H1765" i="1"/>
  <c r="G1765" i="1"/>
  <c r="H1764" i="1"/>
  <c r="G1764" i="1"/>
  <c r="H1763" i="1"/>
  <c r="G1763" i="1"/>
  <c r="H1762" i="1"/>
  <c r="G1762" i="1"/>
  <c r="H1761" i="1"/>
  <c r="G1761" i="1"/>
  <c r="H1760" i="1"/>
  <c r="G1760" i="1"/>
  <c r="H1759" i="1"/>
  <c r="G1759" i="1"/>
  <c r="H1758" i="1"/>
  <c r="G1758" i="1"/>
  <c r="H1757" i="1"/>
  <c r="G1757" i="1"/>
  <c r="H1756" i="1"/>
  <c r="G1756" i="1"/>
  <c r="H1755" i="1"/>
  <c r="G1755" i="1"/>
  <c r="H1754" i="1"/>
  <c r="G1754" i="1"/>
  <c r="H1753" i="1"/>
  <c r="G1753" i="1"/>
  <c r="H1752" i="1"/>
  <c r="G1752" i="1"/>
  <c r="H1751" i="1"/>
  <c r="G1751" i="1"/>
  <c r="H1750" i="1"/>
  <c r="G1750" i="1"/>
  <c r="H1749" i="1"/>
  <c r="G1749" i="1"/>
  <c r="H1748" i="1"/>
  <c r="G1748" i="1"/>
  <c r="H1747" i="1"/>
  <c r="G1747" i="1"/>
  <c r="H1746" i="1"/>
  <c r="G1746" i="1"/>
  <c r="H1745" i="1"/>
  <c r="G1745" i="1"/>
  <c r="H1744" i="1"/>
  <c r="G1744" i="1"/>
  <c r="H1743" i="1"/>
  <c r="G1743" i="1"/>
  <c r="H1742" i="1"/>
  <c r="G1742" i="1"/>
  <c r="H1741" i="1"/>
  <c r="G1741" i="1"/>
  <c r="H1740" i="1"/>
  <c r="G1740" i="1"/>
  <c r="H1739" i="1"/>
  <c r="G1739" i="1"/>
  <c r="H1738" i="1"/>
  <c r="G1738" i="1"/>
  <c r="H1737" i="1"/>
  <c r="G1737" i="1"/>
  <c r="H1736" i="1"/>
  <c r="G1736" i="1"/>
  <c r="H1735" i="1"/>
  <c r="G1735" i="1"/>
  <c r="H1734" i="1"/>
  <c r="G1734" i="1"/>
  <c r="H1733" i="1"/>
  <c r="G1733" i="1"/>
  <c r="H1732" i="1"/>
  <c r="G1732" i="1"/>
  <c r="H1731" i="1"/>
  <c r="G1731" i="1"/>
  <c r="H1730" i="1"/>
  <c r="G1730" i="1"/>
  <c r="H1729" i="1"/>
  <c r="G1729" i="1"/>
  <c r="H1728" i="1"/>
  <c r="G1728" i="1"/>
  <c r="H1727" i="1"/>
  <c r="G1727" i="1"/>
  <c r="H1726" i="1"/>
  <c r="G1726" i="1"/>
  <c r="H1725" i="1"/>
  <c r="G1725" i="1"/>
  <c r="H1724" i="1"/>
  <c r="G1724" i="1"/>
  <c r="H1723" i="1"/>
  <c r="G1723" i="1"/>
  <c r="H1722" i="1"/>
  <c r="G1722" i="1"/>
  <c r="H1721" i="1"/>
  <c r="G1721" i="1"/>
  <c r="H1720" i="1"/>
  <c r="G1720" i="1"/>
  <c r="H1719" i="1"/>
  <c r="G1719" i="1"/>
  <c r="H1718" i="1"/>
  <c r="G1718" i="1"/>
  <c r="H1717" i="1"/>
  <c r="G1717" i="1"/>
  <c r="H1716" i="1"/>
  <c r="G1716" i="1"/>
  <c r="H1715" i="1"/>
  <c r="G1715" i="1"/>
  <c r="H1714" i="1"/>
  <c r="G1714" i="1"/>
  <c r="H1713" i="1"/>
  <c r="G1713" i="1"/>
  <c r="H1712" i="1"/>
  <c r="G1712" i="1"/>
  <c r="H1711" i="1"/>
  <c r="G1711" i="1"/>
  <c r="H1710" i="1"/>
  <c r="G1710" i="1"/>
  <c r="H1709" i="1"/>
  <c r="G1709" i="1"/>
  <c r="H1708" i="1"/>
  <c r="G1708" i="1"/>
  <c r="H1707" i="1"/>
  <c r="G1707" i="1"/>
  <c r="H1706" i="1"/>
  <c r="G1706" i="1"/>
  <c r="H1705" i="1"/>
  <c r="G1705" i="1"/>
  <c r="H1704" i="1"/>
  <c r="G1704" i="1"/>
  <c r="H1703" i="1"/>
  <c r="G1703" i="1"/>
  <c r="H1702" i="1"/>
  <c r="G1702" i="1"/>
  <c r="H1701" i="1"/>
  <c r="G1701" i="1"/>
  <c r="H1700" i="1"/>
  <c r="G1700" i="1"/>
  <c r="H1699" i="1"/>
  <c r="G1699" i="1"/>
  <c r="H1698" i="1"/>
  <c r="G1698" i="1"/>
  <c r="H1697" i="1"/>
  <c r="G1697" i="1"/>
  <c r="H1696" i="1"/>
  <c r="G1696" i="1"/>
  <c r="H1695" i="1"/>
  <c r="G1695" i="1"/>
  <c r="H1694" i="1"/>
  <c r="G1694" i="1"/>
  <c r="H1693" i="1"/>
  <c r="G1693" i="1"/>
  <c r="H1692" i="1"/>
  <c r="G1692" i="1"/>
  <c r="H1691" i="1"/>
  <c r="G1691" i="1"/>
  <c r="H1690" i="1"/>
  <c r="G1690" i="1"/>
  <c r="H1689" i="1"/>
  <c r="G1689" i="1"/>
  <c r="H1688" i="1"/>
  <c r="G1688" i="1"/>
  <c r="H1687" i="1"/>
  <c r="G1687" i="1"/>
  <c r="H1686" i="1"/>
  <c r="G1686" i="1"/>
  <c r="H1685" i="1"/>
  <c r="G1685" i="1"/>
  <c r="H1684" i="1"/>
  <c r="G1684" i="1"/>
  <c r="H1683" i="1"/>
  <c r="G1683" i="1"/>
  <c r="H1682" i="1"/>
  <c r="G1682" i="1"/>
  <c r="H1681" i="1"/>
  <c r="G1681" i="1"/>
  <c r="H1680" i="1"/>
  <c r="G1680" i="1"/>
  <c r="H1679" i="1"/>
  <c r="G1679" i="1"/>
  <c r="H1678" i="1"/>
  <c r="G1678" i="1"/>
  <c r="H1677" i="1"/>
  <c r="G1677" i="1"/>
  <c r="H1676" i="1"/>
  <c r="G1676" i="1"/>
  <c r="H1675" i="1"/>
  <c r="G1675" i="1"/>
  <c r="H1674" i="1"/>
  <c r="G1674" i="1"/>
  <c r="H1673" i="1"/>
  <c r="G1673" i="1"/>
  <c r="H1672" i="1"/>
  <c r="G1672" i="1"/>
  <c r="H1671" i="1"/>
  <c r="G1671" i="1"/>
  <c r="H1670" i="1"/>
  <c r="G1670" i="1"/>
  <c r="H1669" i="1"/>
  <c r="G1669" i="1"/>
  <c r="H1668" i="1"/>
  <c r="G1668" i="1"/>
  <c r="H1667" i="1"/>
  <c r="G1667" i="1"/>
  <c r="H1666" i="1"/>
  <c r="G1666" i="1"/>
  <c r="H1665" i="1"/>
  <c r="G1665" i="1"/>
  <c r="H1664" i="1"/>
  <c r="G1664" i="1"/>
  <c r="H1663" i="1"/>
  <c r="G1663" i="1"/>
  <c r="H1662" i="1"/>
  <c r="G1662" i="1"/>
  <c r="H1661" i="1"/>
  <c r="G1661" i="1"/>
  <c r="H1660" i="1"/>
  <c r="G1660" i="1"/>
  <c r="H1659" i="1"/>
  <c r="G1659" i="1"/>
  <c r="H1658" i="1"/>
  <c r="G1658" i="1"/>
  <c r="H1657" i="1"/>
  <c r="G1657" i="1"/>
  <c r="H1656" i="1"/>
  <c r="G1656" i="1"/>
  <c r="H1655" i="1"/>
  <c r="G1655" i="1"/>
  <c r="H1654" i="1"/>
  <c r="G1654" i="1"/>
  <c r="H1653" i="1"/>
  <c r="G1653" i="1"/>
  <c r="H1652" i="1"/>
  <c r="G1652" i="1"/>
  <c r="H1651" i="1"/>
  <c r="G1651" i="1"/>
  <c r="H1650" i="1"/>
  <c r="G1650" i="1"/>
  <c r="H1649" i="1"/>
  <c r="G1649" i="1"/>
  <c r="H1648" i="1"/>
  <c r="G1648" i="1"/>
  <c r="H1647" i="1"/>
  <c r="G1647" i="1"/>
  <c r="H1646" i="1"/>
  <c r="G1646" i="1"/>
  <c r="H1645" i="1"/>
  <c r="G1645" i="1"/>
  <c r="H1644" i="1"/>
  <c r="G1644" i="1"/>
  <c r="H1643" i="1"/>
  <c r="G1643" i="1"/>
  <c r="H1642" i="1"/>
  <c r="G1642" i="1"/>
  <c r="H1641" i="1"/>
  <c r="G1641" i="1"/>
  <c r="H1640" i="1"/>
  <c r="G1640" i="1"/>
  <c r="H1639" i="1"/>
  <c r="G1639" i="1"/>
  <c r="H1638" i="1"/>
  <c r="G1638" i="1"/>
  <c r="H1637" i="1"/>
  <c r="G1637" i="1"/>
  <c r="H1636" i="1"/>
  <c r="G1636" i="1"/>
  <c r="H1635" i="1"/>
  <c r="G1635" i="1"/>
  <c r="H1634" i="1"/>
  <c r="G1634" i="1"/>
  <c r="H1633" i="1"/>
  <c r="G1633" i="1"/>
  <c r="H1632" i="1"/>
  <c r="G1632" i="1"/>
  <c r="H1631" i="1"/>
  <c r="G1631" i="1"/>
  <c r="H1630" i="1"/>
  <c r="G1630" i="1"/>
  <c r="H1629" i="1"/>
  <c r="G1629" i="1"/>
  <c r="H1628" i="1"/>
  <c r="G1628" i="1"/>
  <c r="H1627" i="1"/>
  <c r="G1627" i="1"/>
  <c r="H1626" i="1"/>
  <c r="G1626" i="1"/>
  <c r="H1625" i="1"/>
  <c r="G1625" i="1"/>
  <c r="H1624" i="1"/>
  <c r="G1624" i="1"/>
  <c r="H1623" i="1"/>
  <c r="G1623" i="1"/>
  <c r="H1622" i="1"/>
  <c r="G1622" i="1"/>
  <c r="H1621" i="1"/>
  <c r="G1621" i="1"/>
  <c r="H1620" i="1"/>
  <c r="G1620" i="1"/>
  <c r="H1619" i="1"/>
  <c r="G1619" i="1"/>
  <c r="H1618" i="1"/>
  <c r="G1618" i="1"/>
  <c r="H1617" i="1"/>
  <c r="G1617" i="1"/>
  <c r="H1616" i="1"/>
  <c r="G1616" i="1"/>
  <c r="H1615" i="1"/>
  <c r="G1615" i="1"/>
  <c r="H1614" i="1"/>
  <c r="G1614" i="1"/>
  <c r="H1613" i="1"/>
  <c r="G1613" i="1"/>
  <c r="H1612" i="1"/>
  <c r="G1612" i="1"/>
  <c r="H1611" i="1"/>
  <c r="G1611" i="1"/>
  <c r="H1610" i="1"/>
  <c r="G1610" i="1"/>
  <c r="H1609" i="1"/>
  <c r="G1609" i="1"/>
  <c r="H1608" i="1"/>
  <c r="G1608" i="1"/>
  <c r="H1607" i="1"/>
  <c r="G1607" i="1"/>
  <c r="H1606" i="1"/>
  <c r="G1606" i="1"/>
  <c r="H1605" i="1"/>
  <c r="G1605" i="1"/>
  <c r="H1604" i="1"/>
  <c r="G1604" i="1"/>
  <c r="H1603" i="1"/>
  <c r="G1603" i="1"/>
  <c r="H1602" i="1"/>
  <c r="G1602" i="1"/>
  <c r="H1601" i="1"/>
  <c r="G1601" i="1"/>
  <c r="H1600" i="1"/>
  <c r="G1600" i="1"/>
  <c r="H1599" i="1"/>
  <c r="G1599" i="1"/>
  <c r="H1598" i="1"/>
  <c r="G1598" i="1"/>
  <c r="H1597" i="1"/>
  <c r="G1597" i="1"/>
  <c r="H1596" i="1"/>
  <c r="G1596" i="1"/>
  <c r="H1595" i="1"/>
  <c r="G1595" i="1"/>
  <c r="H1594" i="1"/>
  <c r="G1594" i="1"/>
  <c r="H1593" i="1"/>
  <c r="G1593" i="1"/>
  <c r="H1592" i="1"/>
  <c r="G1592" i="1"/>
  <c r="H1591" i="1"/>
  <c r="G1591" i="1"/>
  <c r="H1590" i="1"/>
  <c r="G1590" i="1"/>
  <c r="H1589" i="1"/>
  <c r="G1589" i="1"/>
  <c r="H1588" i="1"/>
  <c r="G1588" i="1"/>
  <c r="H1587" i="1"/>
  <c r="G1587" i="1"/>
  <c r="H1586" i="1"/>
  <c r="G1586" i="1"/>
  <c r="H1585" i="1"/>
  <c r="G1585" i="1"/>
  <c r="H1584" i="1"/>
  <c r="G1584" i="1"/>
  <c r="H1583" i="1"/>
  <c r="G1583" i="1"/>
  <c r="H1582" i="1"/>
  <c r="G1582" i="1"/>
  <c r="H1581" i="1"/>
  <c r="G1581" i="1"/>
  <c r="H1580" i="1"/>
  <c r="G1580" i="1"/>
  <c r="H1579" i="1"/>
  <c r="G1579" i="1"/>
  <c r="H1578" i="1"/>
  <c r="G1578" i="1"/>
  <c r="H1577" i="1"/>
  <c r="G1577" i="1"/>
  <c r="H1576" i="1"/>
  <c r="G1576" i="1"/>
  <c r="H1575" i="1"/>
  <c r="G1575" i="1"/>
  <c r="H1574" i="1"/>
  <c r="G1574" i="1"/>
  <c r="H1573" i="1"/>
  <c r="G1573" i="1"/>
  <c r="H1572" i="1"/>
  <c r="G1572" i="1"/>
  <c r="H1571" i="1"/>
  <c r="G1571" i="1"/>
  <c r="H1570" i="1"/>
  <c r="G1570" i="1"/>
  <c r="H1569" i="1"/>
  <c r="G1569" i="1"/>
  <c r="H1568" i="1"/>
  <c r="G1568" i="1"/>
  <c r="H1567" i="1"/>
  <c r="G1567" i="1"/>
  <c r="H1566" i="1"/>
  <c r="G1566" i="1"/>
  <c r="H1565" i="1"/>
  <c r="G1565" i="1"/>
  <c r="H1564" i="1"/>
  <c r="G1564" i="1"/>
  <c r="H1563" i="1"/>
  <c r="G1563" i="1"/>
  <c r="H1562" i="1"/>
  <c r="G1562" i="1"/>
  <c r="H1561" i="1"/>
  <c r="G1561" i="1"/>
  <c r="H1560" i="1"/>
  <c r="G1560" i="1"/>
  <c r="H1559" i="1"/>
  <c r="G1559" i="1"/>
  <c r="H1558" i="1"/>
  <c r="G1558" i="1"/>
  <c r="H1557" i="1"/>
  <c r="G1557" i="1"/>
  <c r="H1556" i="1"/>
  <c r="G1556" i="1"/>
  <c r="H1555" i="1"/>
  <c r="G1555" i="1"/>
  <c r="H1554" i="1"/>
  <c r="G1554" i="1"/>
  <c r="H1553" i="1"/>
  <c r="G1553" i="1"/>
  <c r="H1552" i="1"/>
  <c r="G1552" i="1"/>
  <c r="H1551" i="1"/>
  <c r="G1551" i="1"/>
  <c r="H1550" i="1"/>
  <c r="G1550" i="1"/>
  <c r="H1549" i="1"/>
  <c r="G1549" i="1"/>
  <c r="H1548" i="1"/>
  <c r="G1548" i="1"/>
  <c r="H1547" i="1"/>
  <c r="G1547" i="1"/>
  <c r="H1546" i="1"/>
  <c r="G1546" i="1"/>
  <c r="H1545" i="1"/>
  <c r="G1545" i="1"/>
  <c r="H1544" i="1"/>
  <c r="G1544" i="1"/>
  <c r="H1543" i="1"/>
  <c r="G1543" i="1"/>
  <c r="H1542" i="1"/>
  <c r="G1542" i="1"/>
  <c r="H1541" i="1"/>
  <c r="G1541" i="1"/>
  <c r="H1540" i="1"/>
  <c r="G1540" i="1"/>
  <c r="H1539" i="1"/>
  <c r="G1539" i="1"/>
  <c r="H1538" i="1"/>
  <c r="G1538" i="1"/>
  <c r="H1537" i="1"/>
  <c r="G1537" i="1"/>
  <c r="H1536" i="1"/>
  <c r="G1536" i="1"/>
  <c r="H1535" i="1"/>
  <c r="G1535" i="1"/>
  <c r="H1534" i="1"/>
  <c r="G1534" i="1"/>
  <c r="H1533" i="1"/>
  <c r="G1533" i="1"/>
  <c r="H1532" i="1"/>
  <c r="G1532" i="1"/>
  <c r="H1531" i="1"/>
  <c r="G1531" i="1"/>
  <c r="H1530" i="1"/>
  <c r="G1530" i="1"/>
  <c r="H1529" i="1"/>
  <c r="G1529" i="1"/>
  <c r="H1528" i="1"/>
  <c r="G1528" i="1"/>
  <c r="H1527" i="1"/>
  <c r="G1527" i="1"/>
  <c r="H1526" i="1"/>
  <c r="G1526" i="1"/>
  <c r="H1525" i="1"/>
  <c r="G1525" i="1"/>
  <c r="H1524" i="1"/>
  <c r="G1524" i="1"/>
  <c r="H1523" i="1"/>
  <c r="G1523" i="1"/>
  <c r="H1522" i="1"/>
  <c r="G1522" i="1"/>
  <c r="H1521" i="1"/>
  <c r="G1521" i="1"/>
  <c r="H1520" i="1"/>
  <c r="G1520" i="1"/>
  <c r="H1519" i="1"/>
  <c r="G1519" i="1"/>
  <c r="H1518" i="1"/>
  <c r="G1518" i="1"/>
  <c r="H1517" i="1"/>
  <c r="G1517" i="1"/>
  <c r="H1516" i="1"/>
  <c r="G1516" i="1"/>
  <c r="H1515" i="1"/>
  <c r="G1515" i="1"/>
  <c r="H1514" i="1"/>
  <c r="G1514" i="1"/>
  <c r="H1513" i="1"/>
  <c r="G1513" i="1"/>
  <c r="H1512" i="1"/>
  <c r="G1512" i="1"/>
  <c r="H1511" i="1"/>
  <c r="G1511" i="1"/>
  <c r="H1510" i="1"/>
  <c r="G1510" i="1"/>
  <c r="H1509" i="1"/>
  <c r="G1509" i="1"/>
  <c r="H1508" i="1"/>
  <c r="G1508" i="1"/>
  <c r="H1507" i="1"/>
  <c r="G1507" i="1"/>
  <c r="H1506" i="1"/>
  <c r="G1506" i="1"/>
  <c r="H1505" i="1"/>
  <c r="G1505" i="1"/>
  <c r="H1504" i="1"/>
  <c r="G1504" i="1"/>
  <c r="H1503" i="1"/>
  <c r="G1503" i="1"/>
  <c r="H1502" i="1"/>
  <c r="G1502" i="1"/>
  <c r="H1501" i="1"/>
  <c r="G1501" i="1"/>
  <c r="H1500" i="1"/>
  <c r="G1500" i="1"/>
  <c r="H1499" i="1"/>
  <c r="G1499" i="1"/>
  <c r="H1498" i="1"/>
  <c r="G1498" i="1"/>
  <c r="H1497" i="1"/>
  <c r="G1497" i="1"/>
  <c r="H1496" i="1"/>
  <c r="G1496" i="1"/>
  <c r="H1495" i="1"/>
  <c r="G1495" i="1"/>
  <c r="H1494" i="1"/>
  <c r="G1494" i="1"/>
  <c r="H1493" i="1"/>
  <c r="G1493" i="1"/>
  <c r="H1492" i="1"/>
  <c r="G1492" i="1"/>
  <c r="H1491" i="1"/>
  <c r="G1491" i="1"/>
  <c r="H1490" i="1"/>
  <c r="G1490" i="1"/>
  <c r="H1489" i="1"/>
  <c r="G1489" i="1"/>
  <c r="H1488" i="1"/>
  <c r="G1488" i="1"/>
  <c r="H1487" i="1"/>
  <c r="G1487" i="1"/>
  <c r="H1486" i="1"/>
  <c r="G1486" i="1"/>
  <c r="H1485" i="1"/>
  <c r="G1485" i="1"/>
  <c r="H1484" i="1"/>
  <c r="G1484" i="1"/>
  <c r="H1483" i="1"/>
  <c r="G1483" i="1"/>
  <c r="H1482" i="1"/>
  <c r="G1482" i="1"/>
  <c r="H1481" i="1"/>
  <c r="G1481" i="1"/>
  <c r="H1480" i="1"/>
  <c r="G1480" i="1"/>
  <c r="H1479" i="1"/>
  <c r="G1479" i="1"/>
  <c r="H1478" i="1"/>
  <c r="G1478" i="1"/>
  <c r="H1477" i="1"/>
  <c r="G1477" i="1"/>
  <c r="H1476" i="1"/>
  <c r="G1476" i="1"/>
  <c r="H1475" i="1"/>
  <c r="G1475" i="1"/>
  <c r="H1474" i="1"/>
  <c r="G1474" i="1"/>
  <c r="H1473" i="1"/>
  <c r="G1473" i="1"/>
  <c r="H1472" i="1"/>
  <c r="G1472" i="1"/>
  <c r="H1471" i="1"/>
  <c r="G1471" i="1"/>
  <c r="H1470" i="1"/>
  <c r="G1470" i="1"/>
  <c r="H1469" i="1"/>
  <c r="G1469" i="1"/>
  <c r="H1468" i="1"/>
  <c r="G1468" i="1"/>
  <c r="H1467" i="1"/>
  <c r="G1467" i="1"/>
  <c r="H1466" i="1"/>
  <c r="G1466" i="1"/>
  <c r="H1465" i="1"/>
  <c r="G1465" i="1"/>
  <c r="H1464" i="1"/>
  <c r="G1464" i="1"/>
  <c r="H1463" i="1"/>
  <c r="G1463" i="1"/>
  <c r="H1462" i="1"/>
  <c r="G1462" i="1"/>
  <c r="H1461" i="1"/>
  <c r="G1461" i="1"/>
  <c r="H1460" i="1"/>
  <c r="G1460" i="1"/>
  <c r="H1459" i="1"/>
  <c r="G1459" i="1"/>
  <c r="H1458" i="1"/>
  <c r="G1458" i="1"/>
  <c r="H1457" i="1"/>
  <c r="G1457" i="1"/>
  <c r="H1456" i="1"/>
  <c r="G1456" i="1"/>
  <c r="H1455" i="1"/>
  <c r="G1455" i="1"/>
  <c r="H1454" i="1"/>
  <c r="G1454" i="1"/>
  <c r="H1453" i="1"/>
  <c r="G1453" i="1"/>
  <c r="H1452" i="1"/>
  <c r="G1452" i="1"/>
  <c r="H1451" i="1"/>
  <c r="G1451" i="1"/>
  <c r="H1450" i="1"/>
  <c r="G1450" i="1"/>
  <c r="H1449" i="1"/>
  <c r="G1449" i="1"/>
  <c r="H1448" i="1"/>
  <c r="G1448" i="1"/>
  <c r="H1447" i="1"/>
  <c r="G1447" i="1"/>
  <c r="H1446" i="1"/>
  <c r="G1446" i="1"/>
  <c r="H1445" i="1"/>
  <c r="G1445" i="1"/>
  <c r="H1444" i="1"/>
  <c r="G1444" i="1"/>
  <c r="H1443" i="1"/>
  <c r="G1443" i="1"/>
  <c r="H1442" i="1"/>
  <c r="G1442" i="1"/>
  <c r="H1441" i="1"/>
  <c r="G1441" i="1"/>
  <c r="H1440" i="1"/>
  <c r="G1440" i="1"/>
  <c r="H1439" i="1"/>
  <c r="G1439" i="1"/>
  <c r="H1438" i="1"/>
  <c r="G1438" i="1"/>
  <c r="H1437" i="1"/>
  <c r="G1437" i="1"/>
  <c r="H1436" i="1"/>
  <c r="G1436" i="1"/>
  <c r="H1435" i="1"/>
  <c r="G1435" i="1"/>
  <c r="H1434" i="1"/>
  <c r="G1434" i="1"/>
  <c r="H1433" i="1"/>
  <c r="G1433" i="1"/>
  <c r="H1432" i="1"/>
  <c r="G1432" i="1"/>
  <c r="H1431" i="1"/>
  <c r="G1431" i="1"/>
  <c r="H1430" i="1"/>
  <c r="G1430" i="1"/>
  <c r="H1429" i="1"/>
  <c r="G1429" i="1"/>
  <c r="H1428" i="1"/>
  <c r="G1428" i="1"/>
  <c r="H1427" i="1"/>
  <c r="G1427" i="1"/>
  <c r="H1426" i="1"/>
  <c r="G1426" i="1"/>
  <c r="H1425" i="1"/>
  <c r="G1425" i="1"/>
  <c r="H1424" i="1"/>
  <c r="G1424" i="1"/>
  <c r="H1423" i="1"/>
  <c r="G1423" i="1"/>
  <c r="H1422" i="1"/>
  <c r="G1422" i="1"/>
  <c r="H1421" i="1"/>
  <c r="G1421" i="1"/>
  <c r="H1420" i="1"/>
  <c r="G1420" i="1"/>
  <c r="H1419" i="1"/>
  <c r="G1419" i="1"/>
  <c r="H1418" i="1"/>
  <c r="G1418" i="1"/>
  <c r="H1417" i="1"/>
  <c r="G1417" i="1"/>
  <c r="H1416" i="1"/>
  <c r="G1416" i="1"/>
  <c r="H1415" i="1"/>
  <c r="G1415" i="1"/>
  <c r="H1414" i="1"/>
  <c r="G1414" i="1"/>
  <c r="H1413" i="1"/>
  <c r="G1413" i="1"/>
  <c r="H1412" i="1"/>
  <c r="G1412" i="1"/>
  <c r="H1411" i="1"/>
  <c r="G1411" i="1"/>
  <c r="H1410" i="1"/>
  <c r="G1410" i="1"/>
  <c r="H1409" i="1"/>
  <c r="G1409" i="1"/>
  <c r="H1408" i="1"/>
  <c r="G1408" i="1"/>
  <c r="H1407" i="1"/>
  <c r="G1407" i="1"/>
  <c r="H1406" i="1"/>
  <c r="G1406" i="1"/>
  <c r="H1405" i="1"/>
  <c r="G1405" i="1"/>
  <c r="H1404" i="1"/>
  <c r="G1404" i="1"/>
  <c r="H1403" i="1"/>
  <c r="G1403" i="1"/>
  <c r="H1402" i="1"/>
  <c r="G1402" i="1"/>
  <c r="H1401" i="1"/>
  <c r="G1401" i="1"/>
  <c r="H1400" i="1"/>
  <c r="G1400" i="1"/>
  <c r="H1399" i="1"/>
  <c r="G1399" i="1"/>
  <c r="H1398" i="1"/>
  <c r="G1398" i="1"/>
  <c r="H1397" i="1"/>
  <c r="G1397" i="1"/>
  <c r="H1396" i="1"/>
  <c r="G1396" i="1"/>
  <c r="H1395" i="1"/>
  <c r="G1395" i="1"/>
  <c r="H1394" i="1"/>
  <c r="G1394" i="1"/>
  <c r="H1393" i="1"/>
  <c r="G1393" i="1"/>
  <c r="H1392" i="1"/>
  <c r="G1392" i="1"/>
  <c r="H1391" i="1"/>
  <c r="G1391" i="1"/>
  <c r="H1390" i="1"/>
  <c r="G1390" i="1"/>
  <c r="H1389" i="1"/>
  <c r="G1389" i="1"/>
  <c r="H1388" i="1"/>
  <c r="G1388" i="1"/>
  <c r="H1387" i="1"/>
  <c r="G1387" i="1"/>
  <c r="H1386" i="1"/>
  <c r="G1386" i="1"/>
  <c r="H1385" i="1"/>
  <c r="G1385" i="1"/>
  <c r="H1384" i="1"/>
  <c r="G1384" i="1"/>
  <c r="H1383" i="1"/>
  <c r="G1383" i="1"/>
  <c r="H1382" i="1"/>
  <c r="G1382" i="1"/>
  <c r="H1381" i="1"/>
  <c r="G1381" i="1"/>
  <c r="H1380" i="1"/>
  <c r="G1380" i="1"/>
  <c r="H1379" i="1"/>
  <c r="G1379" i="1"/>
  <c r="H1378" i="1"/>
  <c r="G1378" i="1"/>
  <c r="H1377" i="1"/>
  <c r="G1377" i="1"/>
  <c r="H1376" i="1"/>
  <c r="G1376" i="1"/>
  <c r="H1375" i="1"/>
  <c r="G1375" i="1"/>
  <c r="H1374" i="1"/>
  <c r="G1374" i="1"/>
  <c r="H1373" i="1"/>
  <c r="G1373" i="1"/>
  <c r="H1372" i="1"/>
  <c r="G1372" i="1"/>
  <c r="H1371" i="1"/>
  <c r="G1371" i="1"/>
  <c r="H1370" i="1"/>
  <c r="G1370" i="1"/>
  <c r="H1369" i="1"/>
  <c r="G1369" i="1"/>
  <c r="H1368" i="1"/>
  <c r="G1368" i="1"/>
  <c r="H1367" i="1"/>
  <c r="G1367" i="1"/>
  <c r="H1366" i="1"/>
  <c r="G1366" i="1"/>
  <c r="H1365" i="1"/>
  <c r="G1365" i="1"/>
  <c r="H1364" i="1"/>
  <c r="G1364" i="1"/>
  <c r="H1363" i="1"/>
  <c r="G1363" i="1"/>
  <c r="H1362" i="1"/>
  <c r="G1362" i="1"/>
  <c r="H1361" i="1"/>
  <c r="G1361" i="1"/>
  <c r="H1360" i="1"/>
  <c r="G1360" i="1"/>
  <c r="H1359" i="1"/>
  <c r="G1359" i="1"/>
  <c r="H1358" i="1"/>
  <c r="G1358" i="1"/>
  <c r="H1357" i="1"/>
  <c r="G1357" i="1"/>
  <c r="H1356" i="1"/>
  <c r="G1356" i="1"/>
  <c r="H1355" i="1"/>
  <c r="G1355" i="1"/>
  <c r="H1354" i="1"/>
  <c r="G1354" i="1"/>
  <c r="H1353" i="1"/>
  <c r="G1353" i="1"/>
  <c r="H1352" i="1"/>
  <c r="G1352" i="1"/>
  <c r="H1351" i="1"/>
  <c r="G1351" i="1"/>
  <c r="H1350" i="1"/>
  <c r="G1350" i="1"/>
  <c r="H1349" i="1"/>
  <c r="G1349" i="1"/>
  <c r="H1348" i="1"/>
  <c r="G1348" i="1"/>
  <c r="H1347" i="1"/>
  <c r="G1347" i="1"/>
  <c r="H1346" i="1"/>
  <c r="G1346" i="1"/>
  <c r="H1345" i="1"/>
  <c r="G1345" i="1"/>
  <c r="H1344" i="1"/>
  <c r="G1344" i="1"/>
  <c r="H1343" i="1"/>
  <c r="G1343" i="1"/>
  <c r="H1342" i="1"/>
  <c r="G1342" i="1"/>
  <c r="H1341" i="1"/>
  <c r="G1341" i="1"/>
  <c r="H1340" i="1"/>
  <c r="G1340" i="1"/>
  <c r="H1339" i="1"/>
  <c r="G1339" i="1"/>
  <c r="H1338" i="1"/>
  <c r="G1338" i="1"/>
  <c r="H1337" i="1"/>
  <c r="G1337" i="1"/>
  <c r="H1336" i="1"/>
  <c r="G1336" i="1"/>
  <c r="H1335" i="1"/>
  <c r="G1335" i="1"/>
  <c r="H1334" i="1"/>
  <c r="G1334" i="1"/>
  <c r="H1333" i="1"/>
  <c r="G1333" i="1"/>
  <c r="H1332" i="1"/>
  <c r="G1332" i="1"/>
  <c r="H1331" i="1"/>
  <c r="G1331" i="1"/>
  <c r="H1330" i="1"/>
  <c r="G1330" i="1"/>
  <c r="H1329" i="1"/>
  <c r="G1329" i="1"/>
  <c r="H1328" i="1"/>
  <c r="G1328" i="1"/>
  <c r="H1327" i="1"/>
  <c r="G1327" i="1"/>
  <c r="H1326" i="1"/>
  <c r="G1326" i="1"/>
  <c r="H1325" i="1"/>
  <c r="G1325" i="1"/>
  <c r="H1324" i="1"/>
  <c r="G1324" i="1"/>
  <c r="H1323" i="1"/>
  <c r="G1323" i="1"/>
  <c r="H1322" i="1"/>
  <c r="G1322" i="1"/>
  <c r="H1321" i="1"/>
  <c r="G1321" i="1"/>
  <c r="H1320" i="1"/>
  <c r="G1320" i="1"/>
  <c r="H1319" i="1"/>
  <c r="G1319" i="1"/>
  <c r="H1318" i="1"/>
  <c r="G1318" i="1"/>
  <c r="H1317" i="1"/>
  <c r="G1317" i="1"/>
  <c r="H1316" i="1"/>
  <c r="G1316" i="1"/>
  <c r="H1315" i="1"/>
  <c r="G1315" i="1"/>
  <c r="H1314" i="1"/>
  <c r="G1314" i="1"/>
  <c r="H1313" i="1"/>
  <c r="G1313" i="1"/>
  <c r="H1312" i="1"/>
  <c r="G1312" i="1"/>
  <c r="H1311" i="1"/>
  <c r="G1311" i="1"/>
  <c r="H1310" i="1"/>
  <c r="G1310" i="1"/>
  <c r="H1309" i="1"/>
  <c r="G1309" i="1"/>
  <c r="H1308" i="1"/>
  <c r="G1308" i="1"/>
  <c r="H1307" i="1"/>
  <c r="G1307" i="1"/>
  <c r="H1306" i="1"/>
  <c r="G1306" i="1"/>
  <c r="H1305" i="1"/>
  <c r="G1305" i="1"/>
  <c r="H1304" i="1"/>
  <c r="G1304" i="1"/>
  <c r="H1303" i="1"/>
  <c r="G1303" i="1"/>
  <c r="H1302" i="1"/>
  <c r="G1302" i="1"/>
  <c r="H1301" i="1"/>
  <c r="G1301" i="1"/>
  <c r="H1300" i="1"/>
  <c r="G1300" i="1"/>
  <c r="H1299" i="1"/>
  <c r="G1299" i="1"/>
  <c r="H1298" i="1"/>
  <c r="G1298" i="1"/>
  <c r="H1297" i="1"/>
  <c r="G1297" i="1"/>
  <c r="H1296" i="1"/>
  <c r="G1296" i="1"/>
  <c r="H1295" i="1"/>
  <c r="G1295" i="1"/>
  <c r="H1294" i="1"/>
  <c r="G1294" i="1"/>
  <c r="H1293" i="1"/>
  <c r="G1293" i="1"/>
  <c r="H1292" i="1"/>
  <c r="G1292" i="1"/>
  <c r="H1291" i="1"/>
  <c r="G1291" i="1"/>
  <c r="H1290" i="1"/>
  <c r="G1290" i="1"/>
  <c r="H1289" i="1"/>
  <c r="G1289" i="1"/>
  <c r="H1288" i="1"/>
  <c r="G1288" i="1"/>
  <c r="H1287" i="1"/>
  <c r="G1287" i="1"/>
  <c r="H1286" i="1"/>
  <c r="G1286" i="1"/>
  <c r="H1285" i="1"/>
  <c r="G1285" i="1"/>
  <c r="H1284" i="1"/>
  <c r="G1284" i="1"/>
  <c r="H1283" i="1"/>
  <c r="G1283" i="1"/>
  <c r="H1282" i="1"/>
  <c r="G1282" i="1"/>
  <c r="H1281" i="1"/>
  <c r="G1281" i="1"/>
  <c r="H1280" i="1"/>
  <c r="G1280" i="1"/>
  <c r="H1279" i="1"/>
  <c r="G1279" i="1"/>
  <c r="H1278" i="1"/>
  <c r="G1278" i="1"/>
  <c r="H1277" i="1"/>
  <c r="G1277" i="1"/>
  <c r="H1276" i="1"/>
  <c r="G1276" i="1"/>
  <c r="H1275" i="1"/>
  <c r="G1275" i="1"/>
  <c r="H1274" i="1"/>
  <c r="G1274" i="1"/>
  <c r="H1273" i="1"/>
  <c r="G1273" i="1"/>
  <c r="H1272" i="1"/>
  <c r="G1272" i="1"/>
  <c r="H1271" i="1"/>
  <c r="G1271" i="1"/>
  <c r="H1270" i="1"/>
  <c r="G1270" i="1"/>
  <c r="H1269" i="1"/>
  <c r="G1269" i="1"/>
  <c r="H1268" i="1"/>
  <c r="G1268" i="1"/>
  <c r="H1267" i="1"/>
  <c r="G1267" i="1"/>
  <c r="H1266" i="1"/>
  <c r="G1266" i="1"/>
  <c r="H1265" i="1"/>
  <c r="G1265" i="1"/>
  <c r="H1264" i="1"/>
  <c r="G1264" i="1"/>
  <c r="H1263" i="1"/>
  <c r="G1263" i="1"/>
  <c r="H1262" i="1"/>
  <c r="G1262" i="1"/>
  <c r="H1261" i="1"/>
  <c r="G1261" i="1"/>
  <c r="H1260" i="1"/>
  <c r="G1260" i="1"/>
  <c r="H1259" i="1"/>
  <c r="G1259" i="1"/>
  <c r="H1258" i="1"/>
  <c r="G1258" i="1"/>
  <c r="H1257" i="1"/>
  <c r="G1257" i="1"/>
  <c r="H1256" i="1"/>
  <c r="G1256" i="1"/>
  <c r="H1255" i="1"/>
  <c r="G1255" i="1"/>
  <c r="H1254" i="1"/>
  <c r="G1254" i="1"/>
  <c r="H1253" i="1"/>
  <c r="G1253" i="1"/>
  <c r="H1252" i="1"/>
  <c r="G1252" i="1"/>
  <c r="H1251" i="1"/>
  <c r="G1251" i="1"/>
  <c r="H1250" i="1"/>
  <c r="G1250" i="1"/>
  <c r="H1249" i="1"/>
  <c r="G1249" i="1"/>
  <c r="H1248" i="1"/>
  <c r="G1248" i="1"/>
  <c r="H1247" i="1"/>
  <c r="G1247" i="1"/>
  <c r="H1246" i="1"/>
  <c r="G1246" i="1"/>
  <c r="H1245" i="1"/>
  <c r="G1245" i="1"/>
  <c r="H1244" i="1"/>
  <c r="G1244" i="1"/>
  <c r="H1243" i="1"/>
  <c r="G1243" i="1"/>
  <c r="H1242" i="1"/>
  <c r="G1242" i="1"/>
  <c r="H1241" i="1"/>
  <c r="G1241" i="1"/>
  <c r="H1240" i="1"/>
  <c r="G1240" i="1"/>
  <c r="H1239" i="1"/>
  <c r="G1239" i="1"/>
  <c r="H1238" i="1"/>
  <c r="G1238" i="1"/>
  <c r="H1237" i="1"/>
  <c r="G1237" i="1"/>
  <c r="H1236" i="1"/>
  <c r="G1236" i="1"/>
  <c r="H1235" i="1"/>
  <c r="G1235" i="1"/>
  <c r="H1234" i="1"/>
  <c r="G1234" i="1"/>
  <c r="H1233" i="1"/>
  <c r="G1233" i="1"/>
  <c r="H1232" i="1"/>
  <c r="G1232" i="1"/>
  <c r="H1231" i="1"/>
  <c r="G1231" i="1"/>
  <c r="H1230" i="1"/>
  <c r="G1230" i="1"/>
  <c r="H1229" i="1"/>
  <c r="G1229" i="1"/>
  <c r="H1228" i="1"/>
  <c r="G1228" i="1"/>
  <c r="H1227" i="1"/>
  <c r="G1227" i="1"/>
  <c r="H1226" i="1"/>
  <c r="G1226" i="1"/>
  <c r="H1225" i="1"/>
  <c r="G1225" i="1"/>
  <c r="H1224" i="1"/>
  <c r="G1224" i="1"/>
  <c r="H1223" i="1"/>
  <c r="G1223" i="1"/>
  <c r="H1222" i="1"/>
  <c r="G1222" i="1"/>
  <c r="H1221" i="1"/>
  <c r="G1221" i="1"/>
  <c r="H1220" i="1"/>
  <c r="G1220" i="1"/>
  <c r="H1219" i="1"/>
  <c r="G1219" i="1"/>
  <c r="H1218" i="1"/>
  <c r="G1218" i="1"/>
  <c r="H1217" i="1"/>
  <c r="G1217" i="1"/>
  <c r="H1216" i="1"/>
  <c r="G1216" i="1"/>
  <c r="H1215" i="1"/>
  <c r="G1215" i="1"/>
  <c r="H1214" i="1"/>
  <c r="G1214" i="1"/>
  <c r="H1213" i="1"/>
  <c r="G1213" i="1"/>
  <c r="H1212" i="1"/>
  <c r="G1212" i="1"/>
  <c r="H1211" i="1"/>
  <c r="G1211" i="1"/>
  <c r="H1210" i="1"/>
  <c r="G1210" i="1"/>
  <c r="H1209" i="1"/>
  <c r="G1209" i="1"/>
  <c r="H1208" i="1"/>
  <c r="G1208" i="1"/>
  <c r="H1207" i="1"/>
  <c r="G1207" i="1"/>
  <c r="H1206" i="1"/>
  <c r="G1206" i="1"/>
  <c r="H1205" i="1"/>
  <c r="G1205" i="1"/>
  <c r="H1204" i="1"/>
  <c r="G1204" i="1"/>
  <c r="H1203" i="1"/>
  <c r="G1203" i="1"/>
  <c r="H1202" i="1"/>
  <c r="G1202" i="1"/>
  <c r="H1201" i="1"/>
  <c r="G1201" i="1"/>
  <c r="H1200" i="1"/>
  <c r="G1200" i="1"/>
  <c r="H1199" i="1"/>
  <c r="G1199" i="1"/>
  <c r="H1198" i="1"/>
  <c r="G1198" i="1"/>
  <c r="H1197" i="1"/>
  <c r="G1197" i="1"/>
  <c r="H1196" i="1"/>
  <c r="G1196" i="1"/>
  <c r="H1195" i="1"/>
  <c r="G1195" i="1"/>
  <c r="H1194" i="1"/>
  <c r="G1194" i="1"/>
  <c r="H1193" i="1"/>
  <c r="G1193" i="1"/>
  <c r="H1192" i="1"/>
  <c r="G1192" i="1"/>
  <c r="H1191" i="1"/>
  <c r="G1191" i="1"/>
  <c r="H1190" i="1"/>
  <c r="G1190" i="1"/>
  <c r="H1189" i="1"/>
  <c r="G1189" i="1"/>
  <c r="H1188" i="1"/>
  <c r="G1188" i="1"/>
  <c r="H1187" i="1"/>
  <c r="G1187" i="1"/>
  <c r="H1186" i="1"/>
  <c r="G1186" i="1"/>
  <c r="H1185" i="1"/>
  <c r="G1185" i="1"/>
  <c r="H1184" i="1"/>
  <c r="G1184" i="1"/>
  <c r="H1183" i="1"/>
  <c r="G1183" i="1"/>
  <c r="H1182" i="1"/>
  <c r="G1182" i="1"/>
  <c r="H1181" i="1"/>
  <c r="G1181" i="1"/>
  <c r="H1180" i="1"/>
  <c r="G1180" i="1"/>
  <c r="H1179" i="1"/>
  <c r="G1179" i="1"/>
  <c r="H1178" i="1"/>
  <c r="G1178" i="1"/>
  <c r="H1177" i="1"/>
  <c r="G1177" i="1"/>
  <c r="H1176" i="1"/>
  <c r="G1176" i="1"/>
  <c r="H1175" i="1"/>
  <c r="G1175" i="1"/>
  <c r="H1174" i="1"/>
  <c r="G1174" i="1"/>
  <c r="H1173" i="1"/>
  <c r="G1173" i="1"/>
  <c r="H1172" i="1"/>
  <c r="G1172" i="1"/>
  <c r="H1171" i="1"/>
  <c r="G1171" i="1"/>
  <c r="H1170" i="1"/>
  <c r="G1170" i="1"/>
  <c r="H1169" i="1"/>
  <c r="G1169" i="1"/>
  <c r="H1168" i="1"/>
  <c r="G1168" i="1"/>
  <c r="H1167" i="1"/>
  <c r="G1167" i="1"/>
  <c r="H1166" i="1"/>
  <c r="G1166" i="1"/>
  <c r="H1165" i="1"/>
  <c r="G1165" i="1"/>
  <c r="H1164" i="1"/>
  <c r="G1164" i="1"/>
  <c r="H1163" i="1"/>
  <c r="G1163" i="1"/>
  <c r="H1162" i="1"/>
  <c r="G1162" i="1"/>
  <c r="H1161" i="1"/>
  <c r="G1161" i="1"/>
  <c r="H1160" i="1"/>
  <c r="G1160" i="1"/>
  <c r="H1159" i="1"/>
  <c r="G1159" i="1"/>
  <c r="H1158" i="1"/>
  <c r="G1158" i="1"/>
  <c r="H1157" i="1"/>
  <c r="G1157" i="1"/>
  <c r="H1156" i="1"/>
  <c r="G1156" i="1"/>
  <c r="H1155" i="1"/>
  <c r="G1155" i="1"/>
  <c r="H1154" i="1"/>
  <c r="G1154" i="1"/>
  <c r="H1153" i="1"/>
  <c r="G1153" i="1"/>
  <c r="H1152" i="1"/>
  <c r="G1152" i="1"/>
  <c r="H1151" i="1"/>
  <c r="G1151" i="1"/>
  <c r="H1150" i="1"/>
  <c r="G1150" i="1"/>
  <c r="H1149" i="1"/>
  <c r="G1149" i="1"/>
  <c r="H1148" i="1"/>
  <c r="G1148" i="1"/>
  <c r="H1147" i="1"/>
  <c r="G1147" i="1"/>
  <c r="H1146" i="1"/>
  <c r="G1146" i="1"/>
  <c r="H1145" i="1"/>
  <c r="G1145" i="1"/>
  <c r="H1144" i="1"/>
  <c r="G1144" i="1"/>
  <c r="H1143" i="1"/>
  <c r="G1143" i="1"/>
  <c r="H1142" i="1"/>
  <c r="G1142" i="1"/>
  <c r="H1141" i="1"/>
  <c r="G1141" i="1"/>
  <c r="H1140" i="1"/>
  <c r="G1140" i="1"/>
  <c r="H1139" i="1"/>
  <c r="G1139" i="1"/>
  <c r="H1138" i="1"/>
  <c r="G1138" i="1"/>
  <c r="H1137" i="1"/>
  <c r="G1137" i="1"/>
  <c r="H1136" i="1"/>
  <c r="G1136" i="1"/>
  <c r="H1135" i="1"/>
  <c r="G1135" i="1"/>
  <c r="H1134" i="1"/>
  <c r="G1134" i="1"/>
  <c r="H1133" i="1"/>
  <c r="G1133" i="1"/>
  <c r="H1132" i="1"/>
  <c r="G1132" i="1"/>
  <c r="H1131" i="1"/>
  <c r="G1131" i="1"/>
  <c r="H1130" i="1"/>
  <c r="G1130" i="1"/>
  <c r="H1129" i="1"/>
  <c r="G1129" i="1"/>
  <c r="H1128" i="1"/>
  <c r="G1128" i="1"/>
  <c r="H1127" i="1"/>
  <c r="G1127" i="1"/>
  <c r="H1126" i="1"/>
  <c r="G1126" i="1"/>
  <c r="H1125" i="1"/>
  <c r="G1125" i="1"/>
  <c r="H1124" i="1"/>
  <c r="G1124" i="1"/>
  <c r="H1123" i="1"/>
  <c r="G1123" i="1"/>
  <c r="H1122" i="1"/>
  <c r="G1122" i="1"/>
  <c r="H1121" i="1"/>
  <c r="G1121" i="1"/>
  <c r="H1120" i="1"/>
  <c r="G1120" i="1"/>
  <c r="H1119" i="1"/>
  <c r="G1119" i="1"/>
  <c r="H1118" i="1"/>
  <c r="G1118" i="1"/>
  <c r="H1117" i="1"/>
  <c r="G1117" i="1"/>
  <c r="H1116" i="1"/>
  <c r="G1116" i="1"/>
  <c r="H1115" i="1"/>
  <c r="G1115" i="1"/>
  <c r="H1114" i="1"/>
  <c r="G1114" i="1"/>
  <c r="H1113" i="1"/>
  <c r="G1113" i="1"/>
  <c r="H1112" i="1"/>
  <c r="G1112" i="1"/>
  <c r="H1111" i="1"/>
  <c r="G1111" i="1"/>
  <c r="H1110" i="1"/>
  <c r="G1110" i="1"/>
  <c r="H1109" i="1"/>
  <c r="G1109" i="1"/>
  <c r="H1108" i="1"/>
  <c r="G1108" i="1"/>
  <c r="H1107" i="1"/>
  <c r="G1107" i="1"/>
  <c r="H1106" i="1"/>
  <c r="G1106" i="1"/>
  <c r="H1105" i="1"/>
  <c r="G1105" i="1"/>
  <c r="H1104" i="1"/>
  <c r="G1104" i="1"/>
  <c r="H1103" i="1"/>
  <c r="G1103" i="1"/>
  <c r="H1102" i="1"/>
  <c r="G1102" i="1"/>
  <c r="H1101" i="1"/>
  <c r="G1101" i="1"/>
  <c r="H1100" i="1"/>
  <c r="G1100" i="1"/>
  <c r="H1099" i="1"/>
  <c r="G1099" i="1"/>
  <c r="H1098" i="1"/>
  <c r="G1098" i="1"/>
  <c r="H1097" i="1"/>
  <c r="G1097" i="1"/>
  <c r="H1096" i="1"/>
  <c r="G1096" i="1"/>
  <c r="H1095" i="1"/>
  <c r="G1095" i="1"/>
  <c r="H1094" i="1"/>
  <c r="G1094" i="1"/>
  <c r="H1093" i="1"/>
  <c r="G1093" i="1"/>
  <c r="H1092" i="1"/>
  <c r="G1092" i="1"/>
  <c r="H1091" i="1"/>
  <c r="G1091" i="1"/>
  <c r="H1090" i="1"/>
  <c r="G1090" i="1"/>
  <c r="H1089" i="1"/>
  <c r="G1089" i="1"/>
  <c r="H1088" i="1"/>
  <c r="G1088" i="1"/>
  <c r="H1087" i="1"/>
  <c r="G1087" i="1"/>
  <c r="H1086" i="1"/>
  <c r="G1086" i="1"/>
  <c r="H1085" i="1"/>
  <c r="G1085" i="1"/>
  <c r="H1084" i="1"/>
  <c r="G1084" i="1"/>
  <c r="H1083" i="1"/>
  <c r="G1083" i="1"/>
  <c r="H1082" i="1"/>
  <c r="G1082" i="1"/>
  <c r="H1081" i="1"/>
  <c r="G1081" i="1"/>
  <c r="H1080" i="1"/>
  <c r="G1080" i="1"/>
  <c r="H1079" i="1"/>
  <c r="G1079" i="1"/>
  <c r="H1078" i="1"/>
  <c r="G1078" i="1"/>
  <c r="H1077" i="1"/>
  <c r="G1077" i="1"/>
  <c r="H1076" i="1"/>
  <c r="G1076" i="1"/>
  <c r="H1075" i="1"/>
  <c r="G1075" i="1"/>
  <c r="H1074" i="1"/>
  <c r="G1074" i="1"/>
  <c r="H1073" i="1"/>
  <c r="G1073" i="1"/>
  <c r="H1072" i="1"/>
  <c r="G1072" i="1"/>
  <c r="H1071" i="1"/>
  <c r="G1071" i="1"/>
  <c r="H1070" i="1"/>
  <c r="G1070" i="1"/>
  <c r="H1069" i="1"/>
  <c r="G1069" i="1"/>
  <c r="H1068" i="1"/>
  <c r="G1068" i="1"/>
  <c r="H1067" i="1"/>
  <c r="G1067" i="1"/>
  <c r="H1066" i="1"/>
  <c r="G1066" i="1"/>
  <c r="H1065" i="1"/>
  <c r="G1065" i="1"/>
  <c r="H1064" i="1"/>
  <c r="G1064" i="1"/>
  <c r="H1063" i="1"/>
  <c r="G1063" i="1"/>
  <c r="H1062" i="1"/>
  <c r="G1062" i="1"/>
  <c r="H1061" i="1"/>
  <c r="G1061" i="1"/>
  <c r="H1060" i="1"/>
  <c r="G1060" i="1"/>
  <c r="H1059" i="1"/>
  <c r="G1059" i="1"/>
  <c r="H1058" i="1"/>
  <c r="G1058" i="1"/>
  <c r="H1057" i="1"/>
  <c r="G1057" i="1"/>
  <c r="H1056" i="1"/>
  <c r="G1056" i="1"/>
  <c r="H1055" i="1"/>
  <c r="G1055" i="1"/>
  <c r="H1054" i="1"/>
  <c r="G1054" i="1"/>
  <c r="H1053" i="1"/>
  <c r="G1053" i="1"/>
  <c r="H1052" i="1"/>
  <c r="G1052" i="1"/>
  <c r="H1051" i="1"/>
  <c r="G1051" i="1"/>
  <c r="H1050" i="1"/>
  <c r="G1050" i="1"/>
  <c r="H1049" i="1"/>
  <c r="G1049" i="1"/>
  <c r="H1048" i="1"/>
  <c r="G1048" i="1"/>
  <c r="H1047" i="1"/>
  <c r="G1047" i="1"/>
  <c r="H1046" i="1"/>
  <c r="G1046" i="1"/>
  <c r="H1045" i="1"/>
  <c r="G1045" i="1"/>
  <c r="H1044" i="1"/>
  <c r="G1044" i="1"/>
  <c r="H1043" i="1"/>
  <c r="G1043" i="1"/>
  <c r="H1042" i="1"/>
  <c r="G1042" i="1"/>
  <c r="H1041" i="1"/>
  <c r="G1041" i="1"/>
  <c r="H1040" i="1"/>
  <c r="G1040" i="1"/>
  <c r="H1039" i="1"/>
  <c r="G1039" i="1"/>
  <c r="H1038" i="1"/>
  <c r="G1038" i="1"/>
  <c r="H1037" i="1"/>
  <c r="G1037" i="1"/>
  <c r="H1036" i="1"/>
  <c r="G1036" i="1"/>
  <c r="H1035" i="1"/>
  <c r="G1035" i="1"/>
  <c r="H1034" i="1"/>
  <c r="G1034" i="1"/>
  <c r="H1033" i="1"/>
  <c r="G1033" i="1"/>
  <c r="H1032" i="1"/>
  <c r="G1032" i="1"/>
  <c r="H1031" i="1"/>
  <c r="G1031" i="1"/>
  <c r="H1030" i="1"/>
  <c r="G1030" i="1"/>
  <c r="H1029" i="1"/>
  <c r="G1029" i="1"/>
  <c r="H1028" i="1"/>
  <c r="G1028" i="1"/>
  <c r="H1027" i="1"/>
  <c r="G1027" i="1"/>
  <c r="H1026" i="1"/>
  <c r="G1026" i="1"/>
  <c r="H1025" i="1"/>
  <c r="G1025" i="1"/>
  <c r="H1024" i="1"/>
  <c r="G1024" i="1"/>
  <c r="H1023" i="1"/>
  <c r="G1023" i="1"/>
  <c r="H1022" i="1"/>
  <c r="G1022" i="1"/>
  <c r="H1021" i="1"/>
  <c r="G1021" i="1"/>
  <c r="H1020" i="1"/>
  <c r="G1020" i="1"/>
  <c r="H1019" i="1"/>
  <c r="G1019" i="1"/>
  <c r="H1018" i="1"/>
  <c r="G1018" i="1"/>
  <c r="H1017" i="1"/>
  <c r="G1017" i="1"/>
  <c r="H1016" i="1"/>
  <c r="G1016" i="1"/>
  <c r="H1015" i="1"/>
  <c r="G1015" i="1"/>
  <c r="H1014" i="1"/>
  <c r="G1014" i="1"/>
  <c r="H1013" i="1"/>
  <c r="G1013" i="1"/>
  <c r="H1012" i="1"/>
  <c r="G1012" i="1"/>
  <c r="H1011" i="1"/>
  <c r="G1011" i="1"/>
  <c r="H1010" i="1"/>
  <c r="G1010" i="1"/>
  <c r="H1009" i="1"/>
  <c r="G1009" i="1"/>
  <c r="H1008" i="1"/>
  <c r="G1008" i="1"/>
  <c r="H1007" i="1"/>
  <c r="G1007" i="1"/>
  <c r="H1006" i="1"/>
  <c r="G1006" i="1"/>
  <c r="H1005" i="1"/>
  <c r="G1005" i="1"/>
  <c r="H1004" i="1"/>
  <c r="G1004" i="1"/>
  <c r="H1003" i="1"/>
  <c r="G1003" i="1"/>
  <c r="H1002" i="1"/>
  <c r="G1002" i="1"/>
  <c r="H1001" i="1"/>
  <c r="G1001" i="1"/>
  <c r="H1000" i="1"/>
  <c r="G1000" i="1"/>
  <c r="H999" i="1"/>
  <c r="G999" i="1"/>
  <c r="H998" i="1"/>
  <c r="G998" i="1"/>
  <c r="H997" i="1"/>
  <c r="G997" i="1"/>
  <c r="H996" i="1"/>
  <c r="G996" i="1"/>
  <c r="H995" i="1"/>
  <c r="G995" i="1"/>
  <c r="H994" i="1"/>
  <c r="G994" i="1"/>
  <c r="H993" i="1"/>
  <c r="G993" i="1"/>
  <c r="H992" i="1"/>
  <c r="G992" i="1"/>
  <c r="H991" i="1"/>
  <c r="G991" i="1"/>
  <c r="H990" i="1"/>
  <c r="G990" i="1"/>
  <c r="H989" i="1"/>
  <c r="G989" i="1"/>
  <c r="H988" i="1"/>
  <c r="G988" i="1"/>
  <c r="H987" i="1"/>
  <c r="G987" i="1"/>
  <c r="H986" i="1"/>
  <c r="G986" i="1"/>
  <c r="H985" i="1"/>
  <c r="G985" i="1"/>
  <c r="H984" i="1"/>
  <c r="G984" i="1"/>
  <c r="H983" i="1"/>
  <c r="G983" i="1"/>
  <c r="H982" i="1"/>
  <c r="G982" i="1"/>
  <c r="H981" i="1"/>
  <c r="G981" i="1"/>
  <c r="H980" i="1"/>
  <c r="G980" i="1"/>
  <c r="H979" i="1"/>
  <c r="G979" i="1"/>
  <c r="H978" i="1"/>
  <c r="G978" i="1"/>
  <c r="H977" i="1"/>
  <c r="G977" i="1"/>
  <c r="H976" i="1"/>
  <c r="G976" i="1"/>
  <c r="H975" i="1"/>
  <c r="G975" i="1"/>
  <c r="H974" i="1"/>
  <c r="G974" i="1"/>
  <c r="H973" i="1"/>
  <c r="G973" i="1"/>
  <c r="H972" i="1"/>
  <c r="G972" i="1"/>
  <c r="H971" i="1"/>
  <c r="G971" i="1"/>
  <c r="H970" i="1"/>
  <c r="G970" i="1"/>
  <c r="H969" i="1"/>
  <c r="G969" i="1"/>
  <c r="H968" i="1"/>
  <c r="G968" i="1"/>
  <c r="H967" i="1"/>
  <c r="G967" i="1"/>
  <c r="H966" i="1"/>
  <c r="G966" i="1"/>
  <c r="H965" i="1"/>
  <c r="G965" i="1"/>
  <c r="H964" i="1"/>
  <c r="G964" i="1"/>
  <c r="H963" i="1"/>
  <c r="G963" i="1"/>
  <c r="H962" i="1"/>
  <c r="G962" i="1"/>
  <c r="H961" i="1"/>
  <c r="G961" i="1"/>
  <c r="H960" i="1"/>
  <c r="G960" i="1"/>
  <c r="H959" i="1"/>
  <c r="G959" i="1"/>
  <c r="H958" i="1"/>
  <c r="G958" i="1"/>
  <c r="H957" i="1"/>
  <c r="G957" i="1"/>
  <c r="H956" i="1"/>
  <c r="G956" i="1"/>
  <c r="H955" i="1"/>
  <c r="G955" i="1"/>
  <c r="H954" i="1"/>
  <c r="G954" i="1"/>
  <c r="H953" i="1"/>
  <c r="G953" i="1"/>
  <c r="H952" i="1"/>
  <c r="G952" i="1"/>
  <c r="H951" i="1"/>
  <c r="G951" i="1"/>
  <c r="H950" i="1"/>
  <c r="G950" i="1"/>
  <c r="H949" i="1"/>
  <c r="G949" i="1"/>
  <c r="H948" i="1"/>
  <c r="G948" i="1"/>
  <c r="H947" i="1"/>
  <c r="G947" i="1"/>
  <c r="H946" i="1"/>
  <c r="G946" i="1"/>
  <c r="H945" i="1"/>
  <c r="G945" i="1"/>
  <c r="H944" i="1"/>
  <c r="G944" i="1"/>
  <c r="H943" i="1"/>
  <c r="G943" i="1"/>
  <c r="H942" i="1"/>
  <c r="G942" i="1"/>
  <c r="H941" i="1"/>
  <c r="G941" i="1"/>
  <c r="H940" i="1"/>
  <c r="G940" i="1"/>
  <c r="H939" i="1"/>
  <c r="G939" i="1"/>
  <c r="H938" i="1"/>
  <c r="G938" i="1"/>
  <c r="H937" i="1"/>
  <c r="G937" i="1"/>
  <c r="H936" i="1"/>
  <c r="G936" i="1"/>
  <c r="H935" i="1"/>
  <c r="G935" i="1"/>
  <c r="H934" i="1"/>
  <c r="G934" i="1"/>
  <c r="H933" i="1"/>
  <c r="G933" i="1"/>
  <c r="H932" i="1"/>
  <c r="G932" i="1"/>
  <c r="H931" i="1"/>
  <c r="G931" i="1"/>
  <c r="H930" i="1"/>
  <c r="G930" i="1"/>
  <c r="H929" i="1"/>
  <c r="G929" i="1"/>
  <c r="H928" i="1"/>
  <c r="G928" i="1"/>
  <c r="H927" i="1"/>
  <c r="G927" i="1"/>
  <c r="H926" i="1"/>
  <c r="G926" i="1"/>
  <c r="H925" i="1"/>
  <c r="G925" i="1"/>
  <c r="H924" i="1"/>
  <c r="G924" i="1"/>
  <c r="H923" i="1"/>
  <c r="G923" i="1"/>
  <c r="H922" i="1"/>
  <c r="G922" i="1"/>
  <c r="H921" i="1"/>
  <c r="G921" i="1"/>
  <c r="H920" i="1"/>
  <c r="G920" i="1"/>
  <c r="H919" i="1"/>
  <c r="G919" i="1"/>
  <c r="H918" i="1"/>
  <c r="G918" i="1"/>
  <c r="H917" i="1"/>
  <c r="G917" i="1"/>
  <c r="H916" i="1"/>
  <c r="G916" i="1"/>
  <c r="H915" i="1"/>
  <c r="G915" i="1"/>
  <c r="H914" i="1"/>
  <c r="G914" i="1"/>
  <c r="H913" i="1"/>
  <c r="G913" i="1"/>
  <c r="H912" i="1"/>
  <c r="G912" i="1"/>
  <c r="H911" i="1"/>
  <c r="G911" i="1"/>
  <c r="H910" i="1"/>
  <c r="G910" i="1"/>
  <c r="H909" i="1"/>
  <c r="G909" i="1"/>
  <c r="H908" i="1"/>
  <c r="G908" i="1"/>
  <c r="H907" i="1"/>
  <c r="G907" i="1"/>
  <c r="H906" i="1"/>
  <c r="G906" i="1"/>
  <c r="H905" i="1"/>
  <c r="G905" i="1"/>
  <c r="H904" i="1"/>
  <c r="G904" i="1"/>
  <c r="H903" i="1"/>
  <c r="G903" i="1"/>
  <c r="H902" i="1"/>
  <c r="G902" i="1"/>
  <c r="H901" i="1"/>
  <c r="G901" i="1"/>
  <c r="H900" i="1"/>
  <c r="G900" i="1"/>
  <c r="H899" i="1"/>
  <c r="G899" i="1"/>
  <c r="H898" i="1"/>
  <c r="G898" i="1"/>
  <c r="H897" i="1"/>
  <c r="G897" i="1"/>
  <c r="H896" i="1"/>
  <c r="G896" i="1"/>
  <c r="H895" i="1"/>
  <c r="G895" i="1"/>
  <c r="H894" i="1"/>
  <c r="G894" i="1"/>
  <c r="H893" i="1"/>
  <c r="G893" i="1"/>
  <c r="H892" i="1"/>
  <c r="G892" i="1"/>
  <c r="H891" i="1"/>
  <c r="G891" i="1"/>
  <c r="H890" i="1"/>
  <c r="G890" i="1"/>
  <c r="H889" i="1"/>
  <c r="G889" i="1"/>
  <c r="H888" i="1"/>
  <c r="G888" i="1"/>
  <c r="H887" i="1"/>
  <c r="G887" i="1"/>
  <c r="H886" i="1"/>
  <c r="G886" i="1"/>
  <c r="H885" i="1"/>
  <c r="G885" i="1"/>
  <c r="H884" i="1"/>
  <c r="G884" i="1"/>
  <c r="H883" i="1"/>
  <c r="G883" i="1"/>
  <c r="H882" i="1"/>
  <c r="G882" i="1"/>
  <c r="H881" i="1"/>
  <c r="G881" i="1"/>
  <c r="H880" i="1"/>
  <c r="G880" i="1"/>
  <c r="H879" i="1"/>
  <c r="G879" i="1"/>
  <c r="H878" i="1"/>
  <c r="G878" i="1"/>
  <c r="H877" i="1"/>
  <c r="G877" i="1"/>
  <c r="H876" i="1"/>
  <c r="G876" i="1"/>
  <c r="H875" i="1"/>
  <c r="G875" i="1"/>
  <c r="H874" i="1"/>
  <c r="G874" i="1"/>
  <c r="H873" i="1"/>
  <c r="G873" i="1"/>
  <c r="H872" i="1"/>
  <c r="G872" i="1"/>
  <c r="H871" i="1"/>
  <c r="G871" i="1"/>
  <c r="H870" i="1"/>
  <c r="G870" i="1"/>
  <c r="H869" i="1"/>
  <c r="G869" i="1"/>
  <c r="H868" i="1"/>
  <c r="G868" i="1"/>
  <c r="H867" i="1"/>
  <c r="G867" i="1"/>
  <c r="H866" i="1"/>
  <c r="G866" i="1"/>
  <c r="H865" i="1"/>
  <c r="G865" i="1"/>
  <c r="H864" i="1"/>
  <c r="G864" i="1"/>
  <c r="H863" i="1"/>
  <c r="G863"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8" i="1"/>
  <c r="G848" i="1"/>
  <c r="H847" i="1"/>
  <c r="G847" i="1"/>
  <c r="H846" i="1"/>
  <c r="G846" i="1"/>
  <c r="H845" i="1"/>
  <c r="G845" i="1"/>
  <c r="H844" i="1"/>
  <c r="G844" i="1"/>
  <c r="H843" i="1"/>
  <c r="G843" i="1"/>
  <c r="H842" i="1"/>
  <c r="G842" i="1"/>
  <c r="H841" i="1"/>
  <c r="G841" i="1"/>
  <c r="H840" i="1"/>
  <c r="G840" i="1"/>
  <c r="H839" i="1"/>
  <c r="G839" i="1"/>
  <c r="H838" i="1"/>
  <c r="G838" i="1"/>
  <c r="H837" i="1"/>
  <c r="G837" i="1"/>
  <c r="H836" i="1"/>
  <c r="G836" i="1"/>
  <c r="H835" i="1"/>
  <c r="G835" i="1"/>
  <c r="H834" i="1"/>
  <c r="G834" i="1"/>
  <c r="H833" i="1"/>
  <c r="G833" i="1"/>
  <c r="H832" i="1"/>
  <c r="G832" i="1"/>
  <c r="H831" i="1"/>
  <c r="G831" i="1"/>
  <c r="H830" i="1"/>
  <c r="G830" i="1"/>
  <c r="H829" i="1"/>
  <c r="G829" i="1"/>
  <c r="H828" i="1"/>
  <c r="G828" i="1"/>
  <c r="H827" i="1"/>
  <c r="G827"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6" i="1"/>
  <c r="G806" i="1"/>
  <c r="H805" i="1"/>
  <c r="G805" i="1"/>
  <c r="H804" i="1"/>
  <c r="G804" i="1"/>
  <c r="H803" i="1"/>
  <c r="G803" i="1"/>
  <c r="H802" i="1"/>
  <c r="G802" i="1"/>
  <c r="H801" i="1"/>
  <c r="G801" i="1"/>
  <c r="H800" i="1"/>
  <c r="G800" i="1"/>
  <c r="H799" i="1"/>
  <c r="G799" i="1"/>
  <c r="H798" i="1"/>
  <c r="G798" i="1"/>
  <c r="H797" i="1"/>
  <c r="G797" i="1"/>
  <c r="H796" i="1"/>
  <c r="G796" i="1"/>
  <c r="H795" i="1"/>
  <c r="G795" i="1"/>
  <c r="H794" i="1"/>
  <c r="G794" i="1"/>
  <c r="H793" i="1"/>
  <c r="G793" i="1"/>
  <c r="H792" i="1"/>
  <c r="G792" i="1"/>
  <c r="H791" i="1"/>
  <c r="G791" i="1"/>
  <c r="H790" i="1"/>
  <c r="G790" i="1"/>
  <c r="H789" i="1"/>
  <c r="G789" i="1"/>
  <c r="H788" i="1"/>
  <c r="G788" i="1"/>
  <c r="H787" i="1"/>
  <c r="G787" i="1"/>
  <c r="H786" i="1"/>
  <c r="G786" i="1"/>
  <c r="H785" i="1"/>
  <c r="G785" i="1"/>
  <c r="H784" i="1"/>
  <c r="G784" i="1"/>
  <c r="H783" i="1"/>
  <c r="G783" i="1"/>
  <c r="H782" i="1"/>
  <c r="G782" i="1"/>
  <c r="H781" i="1"/>
  <c r="G781" i="1"/>
  <c r="H780" i="1"/>
  <c r="G780" i="1"/>
  <c r="H779" i="1"/>
  <c r="G779"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8" i="1"/>
  <c r="G758" i="1"/>
  <c r="H757" i="1"/>
  <c r="G757" i="1"/>
  <c r="H756" i="1"/>
  <c r="G756" i="1"/>
  <c r="H755" i="1"/>
  <c r="G755" i="1"/>
  <c r="H754" i="1"/>
  <c r="G754" i="1"/>
  <c r="H753" i="1"/>
  <c r="G753" i="1"/>
  <c r="H752" i="1"/>
  <c r="G752" i="1"/>
  <c r="H751" i="1"/>
  <c r="G751" i="1"/>
  <c r="H750" i="1"/>
  <c r="G750" i="1"/>
  <c r="H749" i="1"/>
  <c r="G749" i="1"/>
  <c r="H748" i="1"/>
  <c r="G748" i="1"/>
  <c r="H747" i="1"/>
  <c r="G747" i="1"/>
  <c r="H746" i="1"/>
  <c r="G746" i="1"/>
  <c r="H745" i="1"/>
  <c r="G745" i="1"/>
  <c r="H744" i="1"/>
  <c r="G744"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2" i="1"/>
  <c r="G722" i="1"/>
  <c r="H721" i="1"/>
  <c r="G721" i="1"/>
  <c r="H720" i="1"/>
  <c r="G720" i="1"/>
  <c r="H719" i="1"/>
  <c r="G719" i="1"/>
  <c r="H718" i="1"/>
  <c r="G718" i="1"/>
  <c r="H717" i="1"/>
  <c r="G717" i="1"/>
  <c r="H716" i="1"/>
  <c r="G716" i="1"/>
  <c r="H715" i="1"/>
  <c r="G715" i="1"/>
  <c r="H714" i="1"/>
  <c r="G714" i="1"/>
  <c r="H713" i="1"/>
  <c r="G713" i="1"/>
  <c r="H712" i="1"/>
  <c r="G712" i="1"/>
  <c r="H711" i="1"/>
  <c r="G711" i="1"/>
  <c r="H710" i="1"/>
  <c r="G710" i="1"/>
  <c r="H709" i="1"/>
  <c r="G709" i="1"/>
  <c r="H708" i="1"/>
  <c r="G708"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7" i="1"/>
  <c r="G687" i="1"/>
  <c r="H686" i="1"/>
  <c r="G686" i="1"/>
  <c r="H685" i="1"/>
  <c r="G685" i="1"/>
  <c r="H684" i="1"/>
  <c r="G684" i="1"/>
  <c r="H683" i="1"/>
  <c r="G683" i="1"/>
  <c r="H682" i="1"/>
  <c r="G682" i="1"/>
  <c r="H681" i="1"/>
  <c r="G681" i="1"/>
  <c r="H680" i="1"/>
  <c r="G680" i="1"/>
  <c r="H679" i="1"/>
  <c r="G679" i="1"/>
  <c r="H678" i="1"/>
  <c r="G678" i="1"/>
  <c r="H677" i="1"/>
  <c r="G677" i="1"/>
  <c r="H676" i="1"/>
  <c r="G676" i="1"/>
  <c r="H675" i="1"/>
  <c r="G675" i="1"/>
  <c r="H674" i="1"/>
  <c r="G674" i="1"/>
  <c r="H673" i="1"/>
  <c r="G673"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2" i="1"/>
  <c r="G652" i="1"/>
  <c r="H651" i="1"/>
  <c r="G651" i="1"/>
  <c r="H650" i="1"/>
  <c r="G650" i="1"/>
  <c r="H649" i="1"/>
  <c r="G649" i="1"/>
  <c r="H648" i="1"/>
  <c r="G648" i="1"/>
  <c r="H647" i="1"/>
  <c r="G647" i="1"/>
  <c r="H646" i="1"/>
  <c r="G646" i="1"/>
  <c r="H645" i="1"/>
  <c r="G645" i="1"/>
  <c r="H644" i="1"/>
  <c r="G644" i="1"/>
  <c r="H643" i="1"/>
  <c r="G643" i="1"/>
  <c r="H642" i="1"/>
  <c r="G642" i="1"/>
  <c r="H641" i="1"/>
  <c r="G641" i="1"/>
  <c r="H640" i="1"/>
  <c r="G640" i="1"/>
  <c r="H639" i="1"/>
  <c r="G639" i="1"/>
  <c r="H638" i="1"/>
  <c r="G638" i="1"/>
  <c r="H637" i="1"/>
  <c r="G637" i="1"/>
  <c r="H636" i="1"/>
  <c r="G636" i="1"/>
  <c r="H635" i="1"/>
  <c r="G635" i="1"/>
  <c r="H634" i="1"/>
  <c r="G634" i="1"/>
  <c r="H633" i="1"/>
  <c r="G633" i="1"/>
  <c r="H632" i="1"/>
  <c r="G632" i="1"/>
  <c r="H631" i="1"/>
  <c r="G631" i="1"/>
  <c r="H630" i="1"/>
  <c r="G630" i="1"/>
  <c r="H629" i="1"/>
  <c r="G629" i="1"/>
  <c r="H628" i="1"/>
  <c r="G628" i="1"/>
  <c r="H627" i="1"/>
  <c r="G627" i="1"/>
  <c r="H626" i="1"/>
  <c r="G626"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2" i="1"/>
  <c r="G612" i="1"/>
  <c r="H611" i="1"/>
  <c r="G611" i="1"/>
  <c r="H610" i="1"/>
  <c r="G610" i="1"/>
  <c r="H609" i="1"/>
  <c r="G609" i="1"/>
  <c r="H608" i="1"/>
  <c r="G608" i="1"/>
  <c r="H607" i="1"/>
  <c r="G607" i="1"/>
  <c r="H606" i="1"/>
  <c r="G606" i="1"/>
  <c r="H605" i="1"/>
  <c r="G605" i="1"/>
  <c r="H604" i="1"/>
  <c r="G604" i="1"/>
  <c r="H603" i="1"/>
  <c r="G603" i="1"/>
  <c r="H602" i="1"/>
  <c r="G602" i="1"/>
  <c r="H601" i="1"/>
  <c r="G601" i="1"/>
  <c r="H600" i="1"/>
  <c r="G600" i="1"/>
  <c r="H599" i="1"/>
  <c r="G599" i="1"/>
  <c r="H598" i="1"/>
  <c r="G598" i="1"/>
  <c r="H597" i="1"/>
  <c r="G597" i="1"/>
  <c r="H596" i="1"/>
  <c r="G596" i="1"/>
  <c r="H595" i="1"/>
  <c r="G595" i="1"/>
  <c r="H594" i="1"/>
  <c r="G594" i="1"/>
  <c r="H593" i="1"/>
  <c r="G593" i="1"/>
  <c r="H592" i="1"/>
  <c r="G592" i="1"/>
  <c r="H591" i="1"/>
  <c r="G591" i="1"/>
  <c r="H590" i="1"/>
  <c r="G590" i="1"/>
  <c r="H589" i="1"/>
  <c r="G589" i="1"/>
  <c r="H588" i="1"/>
  <c r="G588" i="1"/>
  <c r="H587" i="1"/>
  <c r="G587" i="1"/>
  <c r="H586" i="1"/>
  <c r="G586" i="1"/>
  <c r="H585" i="1"/>
  <c r="G585" i="1"/>
  <c r="H584" i="1"/>
  <c r="G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3" i="1"/>
  <c r="G563" i="1"/>
  <c r="H562" i="1"/>
  <c r="G562" i="1"/>
  <c r="H561" i="1"/>
  <c r="G561" i="1"/>
  <c r="H560" i="1"/>
  <c r="G560" i="1"/>
  <c r="H559" i="1"/>
  <c r="G559" i="1"/>
  <c r="H558" i="1"/>
  <c r="G558" i="1"/>
  <c r="H557" i="1"/>
  <c r="G557" i="1"/>
  <c r="H556" i="1"/>
  <c r="G556" i="1"/>
  <c r="H555" i="1"/>
  <c r="G555" i="1"/>
  <c r="H554" i="1"/>
  <c r="G554" i="1"/>
  <c r="H553" i="1"/>
  <c r="G553" i="1"/>
  <c r="H552" i="1"/>
  <c r="G552" i="1"/>
  <c r="H551" i="1"/>
  <c r="G551" i="1"/>
  <c r="H550" i="1"/>
  <c r="G550" i="1"/>
  <c r="H549" i="1"/>
  <c r="G549"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8" i="1"/>
  <c r="G528" i="1"/>
  <c r="H527" i="1"/>
  <c r="G527" i="1"/>
  <c r="H526" i="1"/>
  <c r="G526" i="1"/>
  <c r="H525" i="1"/>
  <c r="G525" i="1"/>
  <c r="H524" i="1"/>
  <c r="G524" i="1"/>
  <c r="H523" i="1"/>
  <c r="G523" i="1"/>
  <c r="H522" i="1"/>
  <c r="G522" i="1"/>
  <c r="H521" i="1"/>
  <c r="G521" i="1"/>
  <c r="H520" i="1"/>
  <c r="G520" i="1"/>
  <c r="H519" i="1"/>
  <c r="G519" i="1"/>
  <c r="H518" i="1"/>
  <c r="G518" i="1"/>
  <c r="H517" i="1"/>
  <c r="G517" i="1"/>
  <c r="H516" i="1"/>
  <c r="G516" i="1"/>
  <c r="H515" i="1"/>
  <c r="G515" i="1"/>
  <c r="H514" i="1"/>
  <c r="G514"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5" i="1"/>
  <c r="G495" i="1"/>
  <c r="H494" i="1"/>
  <c r="G494" i="1"/>
  <c r="H493" i="1"/>
  <c r="G493" i="1"/>
  <c r="H492" i="1"/>
  <c r="G492" i="1"/>
  <c r="H491" i="1"/>
  <c r="G491" i="1"/>
  <c r="H490" i="1"/>
  <c r="G490" i="1"/>
  <c r="H489" i="1"/>
  <c r="G489" i="1"/>
  <c r="H488" i="1"/>
  <c r="G488" i="1"/>
  <c r="H487" i="1"/>
  <c r="G487" i="1"/>
  <c r="H486" i="1"/>
  <c r="G486" i="1"/>
  <c r="H485" i="1"/>
  <c r="G485" i="1"/>
  <c r="H484" i="1"/>
  <c r="G484" i="1"/>
  <c r="H483" i="1"/>
  <c r="G483" i="1"/>
  <c r="H482" i="1"/>
  <c r="G482" i="1"/>
  <c r="H481" i="1"/>
  <c r="G481" i="1"/>
  <c r="H480" i="1"/>
  <c r="G480" i="1"/>
  <c r="H479" i="1"/>
  <c r="G479" i="1"/>
  <c r="H478" i="1"/>
  <c r="G478" i="1"/>
  <c r="H477" i="1"/>
  <c r="G477" i="1"/>
  <c r="H476" i="1"/>
  <c r="G476" i="1"/>
  <c r="H475" i="1"/>
  <c r="G475" i="1"/>
  <c r="H474" i="1"/>
  <c r="G474" i="1"/>
  <c r="H473" i="1"/>
  <c r="G473" i="1"/>
  <c r="H472" i="1"/>
  <c r="G472" i="1"/>
  <c r="H471" i="1"/>
  <c r="G471" i="1"/>
  <c r="H470" i="1"/>
  <c r="G470" i="1"/>
  <c r="H469" i="1"/>
  <c r="G469" i="1"/>
  <c r="H468" i="1"/>
  <c r="G468" i="1"/>
  <c r="H467" i="1"/>
  <c r="G467" i="1"/>
  <c r="H466" i="1"/>
  <c r="G466" i="1"/>
  <c r="H465" i="1"/>
  <c r="G465" i="1"/>
  <c r="H464" i="1"/>
  <c r="G464" i="1"/>
  <c r="H463" i="1"/>
  <c r="G463" i="1"/>
  <c r="H462" i="1"/>
  <c r="G462" i="1"/>
  <c r="H461" i="1"/>
  <c r="G461" i="1"/>
  <c r="H460" i="1"/>
  <c r="G460" i="1"/>
  <c r="H459" i="1"/>
  <c r="G459" i="1"/>
  <c r="H458" i="1"/>
  <c r="G458" i="1"/>
  <c r="H457" i="1"/>
  <c r="G457" i="1"/>
  <c r="H456" i="1"/>
  <c r="G456" i="1"/>
  <c r="H455" i="1"/>
  <c r="G455" i="1"/>
  <c r="H454" i="1"/>
  <c r="G454" i="1"/>
  <c r="H453" i="1"/>
  <c r="G453" i="1"/>
  <c r="H452" i="1"/>
  <c r="G452" i="1"/>
  <c r="H451" i="1"/>
  <c r="G451" i="1"/>
  <c r="H450" i="1"/>
  <c r="G450" i="1"/>
  <c r="H449" i="1"/>
  <c r="G449" i="1"/>
  <c r="H448" i="1"/>
  <c r="G448" i="1"/>
  <c r="H447" i="1"/>
  <c r="G447" i="1"/>
  <c r="H446" i="1"/>
  <c r="G446" i="1"/>
  <c r="H445" i="1"/>
  <c r="G445" i="1"/>
  <c r="H444" i="1"/>
  <c r="G444" i="1"/>
  <c r="H443" i="1"/>
  <c r="G443" i="1"/>
  <c r="H442" i="1"/>
  <c r="G442" i="1"/>
  <c r="H441" i="1"/>
  <c r="G441" i="1"/>
  <c r="H440" i="1"/>
  <c r="G440" i="1"/>
  <c r="H439" i="1"/>
  <c r="G439" i="1"/>
  <c r="H438" i="1"/>
  <c r="G438" i="1"/>
  <c r="H437" i="1"/>
  <c r="G437" i="1"/>
  <c r="H436" i="1"/>
  <c r="G436" i="1"/>
  <c r="H435" i="1"/>
  <c r="G435" i="1"/>
  <c r="H434" i="1"/>
  <c r="G434" i="1"/>
  <c r="H433" i="1"/>
  <c r="G433" i="1"/>
  <c r="H432" i="1"/>
  <c r="G432" i="1"/>
  <c r="H431" i="1"/>
  <c r="G431" i="1"/>
  <c r="H430" i="1"/>
  <c r="G430" i="1"/>
  <c r="H429" i="1"/>
  <c r="G429" i="1"/>
  <c r="H428" i="1"/>
  <c r="G428" i="1"/>
  <c r="H427" i="1"/>
  <c r="G427" i="1"/>
  <c r="H426" i="1"/>
  <c r="G426" i="1"/>
  <c r="H425" i="1"/>
  <c r="G425" i="1"/>
  <c r="H424" i="1"/>
  <c r="G424" i="1"/>
  <c r="H423" i="1"/>
  <c r="G423" i="1"/>
  <c r="H422" i="1"/>
  <c r="G422" i="1"/>
  <c r="H421" i="1"/>
  <c r="G421" i="1"/>
  <c r="H420" i="1"/>
  <c r="G420" i="1"/>
  <c r="H419" i="1"/>
  <c r="G419" i="1"/>
  <c r="H418" i="1"/>
  <c r="G418" i="1"/>
  <c r="H417" i="1"/>
  <c r="G417" i="1"/>
  <c r="H416" i="1"/>
  <c r="G416" i="1"/>
  <c r="H415" i="1"/>
  <c r="G415" i="1"/>
  <c r="H414" i="1"/>
  <c r="G414" i="1"/>
  <c r="H413" i="1"/>
  <c r="G413" i="1"/>
  <c r="H412" i="1"/>
  <c r="G412" i="1"/>
  <c r="H411" i="1"/>
  <c r="G411" i="1"/>
  <c r="H410" i="1"/>
  <c r="G410" i="1"/>
  <c r="H409" i="1"/>
  <c r="G409" i="1"/>
  <c r="H408" i="1"/>
  <c r="G408" i="1"/>
  <c r="H407" i="1"/>
  <c r="G407" i="1"/>
  <c r="H406" i="1"/>
  <c r="G406" i="1"/>
  <c r="H405" i="1"/>
  <c r="G405" i="1"/>
  <c r="H404" i="1"/>
  <c r="G404" i="1"/>
  <c r="H403" i="1"/>
  <c r="G403" i="1"/>
  <c r="H402" i="1"/>
  <c r="G402" i="1"/>
  <c r="H401" i="1"/>
  <c r="G401" i="1"/>
  <c r="H400" i="1"/>
  <c r="G400" i="1"/>
  <c r="H399" i="1"/>
  <c r="G399" i="1"/>
  <c r="H398" i="1"/>
  <c r="G398" i="1"/>
  <c r="H397" i="1"/>
  <c r="G397" i="1"/>
  <c r="H396" i="1"/>
  <c r="G396" i="1"/>
  <c r="H395" i="1"/>
  <c r="G395" i="1"/>
  <c r="H394" i="1"/>
  <c r="G394" i="1"/>
  <c r="H393" i="1"/>
  <c r="G393" i="1"/>
  <c r="H392" i="1"/>
  <c r="G392" i="1"/>
  <c r="H391" i="1"/>
  <c r="G391" i="1"/>
  <c r="H390" i="1"/>
  <c r="G390" i="1"/>
  <c r="H389" i="1"/>
  <c r="G389" i="1"/>
  <c r="H388" i="1"/>
  <c r="G388" i="1"/>
  <c r="H387" i="1"/>
  <c r="G387" i="1"/>
  <c r="H386" i="1"/>
  <c r="G386" i="1"/>
  <c r="H385" i="1"/>
  <c r="G385" i="1"/>
  <c r="H384" i="1"/>
  <c r="G384" i="1"/>
  <c r="H383" i="1"/>
  <c r="G383" i="1"/>
  <c r="H382" i="1"/>
  <c r="G382" i="1"/>
  <c r="H381" i="1"/>
  <c r="G381" i="1"/>
  <c r="H380" i="1"/>
  <c r="G380" i="1"/>
  <c r="H379" i="1"/>
  <c r="G379" i="1"/>
  <c r="H378" i="1"/>
  <c r="G378" i="1"/>
  <c r="H377" i="1"/>
  <c r="G377" i="1"/>
  <c r="H376" i="1"/>
  <c r="G376" i="1"/>
  <c r="H375" i="1"/>
  <c r="G375" i="1"/>
  <c r="H374" i="1"/>
  <c r="G374" i="1"/>
  <c r="H373" i="1"/>
  <c r="G373" i="1"/>
  <c r="H372" i="1"/>
  <c r="G372" i="1"/>
  <c r="H371" i="1"/>
  <c r="G371" i="1"/>
  <c r="H370" i="1"/>
  <c r="G370" i="1"/>
  <c r="H369" i="1"/>
  <c r="G369" i="1"/>
  <c r="H368" i="1"/>
  <c r="G368" i="1"/>
  <c r="H367" i="1"/>
  <c r="G367" i="1"/>
  <c r="H366" i="1"/>
  <c r="G366" i="1"/>
  <c r="H365" i="1"/>
  <c r="G365" i="1"/>
  <c r="H364" i="1"/>
  <c r="G364" i="1"/>
  <c r="H363" i="1"/>
  <c r="G363" i="1"/>
  <c r="H362" i="1"/>
  <c r="G362" i="1"/>
  <c r="H361" i="1"/>
  <c r="G361" i="1"/>
  <c r="H360" i="1"/>
  <c r="G360" i="1"/>
  <c r="H359" i="1"/>
  <c r="G359" i="1"/>
  <c r="H358" i="1"/>
  <c r="G358" i="1"/>
  <c r="H357" i="1"/>
  <c r="G357" i="1"/>
  <c r="H356" i="1"/>
  <c r="G356" i="1"/>
  <c r="H355" i="1"/>
  <c r="G355" i="1"/>
  <c r="H354" i="1"/>
  <c r="G354" i="1"/>
  <c r="H353" i="1"/>
  <c r="G353" i="1"/>
  <c r="H352" i="1"/>
  <c r="G352" i="1"/>
  <c r="H351" i="1"/>
  <c r="G351" i="1"/>
  <c r="H350" i="1"/>
  <c r="G350" i="1"/>
  <c r="H349" i="1"/>
  <c r="G349" i="1"/>
  <c r="H348" i="1"/>
  <c r="G348" i="1"/>
  <c r="H347" i="1"/>
  <c r="G347" i="1"/>
  <c r="H346" i="1"/>
  <c r="G346" i="1"/>
  <c r="H345" i="1"/>
  <c r="G345" i="1"/>
  <c r="H344" i="1"/>
  <c r="G344" i="1"/>
  <c r="H343" i="1"/>
  <c r="G343" i="1"/>
  <c r="H342" i="1"/>
  <c r="G342" i="1"/>
  <c r="H341" i="1"/>
  <c r="G341" i="1"/>
  <c r="H340" i="1"/>
  <c r="G340" i="1"/>
  <c r="H339" i="1"/>
  <c r="G339" i="1"/>
  <c r="H338" i="1"/>
  <c r="G338" i="1"/>
  <c r="H337" i="1"/>
  <c r="G337" i="1"/>
  <c r="H336" i="1"/>
  <c r="G336" i="1"/>
  <c r="H335" i="1"/>
  <c r="G335" i="1"/>
  <c r="H334" i="1"/>
  <c r="G334" i="1"/>
  <c r="H333" i="1"/>
  <c r="G333" i="1"/>
  <c r="H332" i="1"/>
  <c r="G332" i="1"/>
  <c r="H331" i="1"/>
  <c r="G331" i="1"/>
  <c r="H330" i="1"/>
  <c r="G330" i="1"/>
  <c r="H329" i="1"/>
  <c r="G329" i="1"/>
  <c r="H328" i="1"/>
  <c r="G328" i="1"/>
  <c r="H327" i="1"/>
  <c r="G327" i="1"/>
  <c r="H326" i="1"/>
  <c r="G326" i="1"/>
  <c r="H325" i="1"/>
  <c r="G325" i="1"/>
  <c r="H324" i="1"/>
  <c r="G324" i="1"/>
  <c r="H323" i="1"/>
  <c r="G323" i="1"/>
  <c r="H322" i="1"/>
  <c r="G322" i="1"/>
  <c r="H321" i="1"/>
  <c r="G321" i="1"/>
  <c r="H320" i="1"/>
  <c r="G320" i="1"/>
  <c r="H319" i="1"/>
  <c r="G319" i="1"/>
  <c r="H318" i="1"/>
  <c r="G318" i="1"/>
  <c r="H317" i="1"/>
  <c r="G317" i="1"/>
  <c r="H316" i="1"/>
  <c r="G316" i="1"/>
  <c r="H315" i="1"/>
  <c r="G315" i="1"/>
  <c r="H314" i="1"/>
  <c r="G314" i="1"/>
  <c r="H313" i="1"/>
  <c r="G313" i="1"/>
  <c r="H312" i="1"/>
  <c r="G312" i="1"/>
  <c r="H311" i="1"/>
  <c r="G311" i="1"/>
  <c r="H310" i="1"/>
  <c r="G310" i="1"/>
  <c r="H309" i="1"/>
  <c r="G309" i="1"/>
  <c r="H308" i="1"/>
  <c r="G308" i="1"/>
  <c r="H307" i="1"/>
  <c r="G307" i="1"/>
  <c r="H306" i="1"/>
  <c r="G306" i="1"/>
  <c r="H305" i="1"/>
  <c r="G305" i="1"/>
  <c r="H304" i="1"/>
  <c r="G304" i="1"/>
  <c r="H303" i="1"/>
  <c r="G303" i="1"/>
  <c r="H302" i="1"/>
  <c r="G302" i="1"/>
  <c r="H301" i="1"/>
  <c r="G301" i="1"/>
  <c r="H300" i="1"/>
  <c r="G300" i="1"/>
  <c r="H299" i="1"/>
  <c r="G299" i="1"/>
  <c r="H298" i="1"/>
  <c r="G298" i="1"/>
  <c r="H297" i="1"/>
  <c r="G297" i="1"/>
  <c r="H296" i="1"/>
  <c r="G296" i="1"/>
  <c r="H295" i="1"/>
  <c r="G295" i="1"/>
  <c r="H294" i="1"/>
  <c r="G294" i="1"/>
  <c r="H293" i="1"/>
  <c r="G293" i="1"/>
  <c r="H292" i="1"/>
  <c r="G292" i="1"/>
  <c r="H291" i="1"/>
  <c r="G291" i="1"/>
  <c r="H290" i="1"/>
  <c r="G290" i="1"/>
  <c r="H289" i="1"/>
  <c r="G289" i="1"/>
  <c r="H288" i="1"/>
  <c r="G288" i="1"/>
  <c r="H287" i="1"/>
  <c r="G287" i="1"/>
  <c r="H286" i="1"/>
  <c r="G286" i="1"/>
  <c r="H285" i="1"/>
  <c r="G285" i="1"/>
  <c r="H284" i="1"/>
  <c r="G284" i="1"/>
  <c r="H283" i="1"/>
  <c r="G283" i="1"/>
  <c r="H282" i="1"/>
  <c r="G282" i="1"/>
  <c r="H281" i="1"/>
  <c r="G281" i="1"/>
  <c r="H280" i="1"/>
  <c r="G280" i="1"/>
  <c r="H279" i="1"/>
  <c r="G279" i="1"/>
  <c r="H278" i="1"/>
  <c r="G278" i="1"/>
  <c r="H277" i="1"/>
  <c r="G277" i="1"/>
  <c r="H276" i="1"/>
  <c r="G276" i="1"/>
  <c r="H275" i="1"/>
  <c r="G275" i="1"/>
  <c r="H274" i="1"/>
  <c r="G274" i="1"/>
  <c r="H273" i="1"/>
  <c r="G273" i="1"/>
  <c r="H272" i="1"/>
  <c r="G272" i="1"/>
  <c r="H271" i="1"/>
  <c r="G271" i="1"/>
  <c r="H270" i="1"/>
  <c r="G270" i="1"/>
  <c r="H269" i="1"/>
  <c r="G269" i="1"/>
  <c r="H268" i="1"/>
  <c r="G268" i="1"/>
  <c r="H267" i="1"/>
  <c r="G267" i="1"/>
  <c r="H266" i="1"/>
  <c r="G266" i="1"/>
  <c r="H265" i="1"/>
  <c r="G265" i="1"/>
  <c r="H264" i="1"/>
  <c r="G264" i="1"/>
  <c r="H263" i="1"/>
  <c r="G263" i="1"/>
  <c r="H262" i="1"/>
  <c r="G262" i="1"/>
  <c r="H261" i="1"/>
  <c r="G261" i="1"/>
  <c r="H260" i="1"/>
  <c r="G260" i="1"/>
  <c r="H259" i="1"/>
  <c r="G259" i="1"/>
  <c r="H258" i="1"/>
  <c r="G258" i="1"/>
  <c r="H257" i="1"/>
  <c r="G257" i="1"/>
  <c r="H256" i="1"/>
  <c r="G256" i="1"/>
  <c r="H255" i="1"/>
  <c r="G255" i="1"/>
  <c r="H254" i="1"/>
  <c r="G254" i="1"/>
  <c r="H253" i="1"/>
  <c r="G253" i="1"/>
  <c r="H252" i="1"/>
  <c r="G252" i="1"/>
  <c r="H251" i="1"/>
  <c r="G251" i="1"/>
  <c r="H250" i="1"/>
  <c r="G250" i="1"/>
  <c r="H249" i="1"/>
  <c r="G249" i="1"/>
  <c r="H248" i="1"/>
  <c r="G248" i="1"/>
  <c r="H247" i="1"/>
  <c r="G247" i="1"/>
  <c r="H246" i="1"/>
  <c r="G246" i="1"/>
  <c r="H245" i="1"/>
  <c r="G245" i="1"/>
  <c r="H244" i="1"/>
  <c r="G244" i="1"/>
  <c r="H243" i="1"/>
  <c r="G243" i="1"/>
  <c r="H242" i="1"/>
  <c r="G242" i="1"/>
  <c r="H241" i="1"/>
  <c r="G241" i="1"/>
  <c r="H240" i="1"/>
  <c r="G240" i="1"/>
  <c r="H239" i="1"/>
  <c r="G239" i="1"/>
  <c r="H238" i="1"/>
  <c r="G238" i="1"/>
  <c r="H237" i="1"/>
  <c r="G237" i="1"/>
  <c r="H236" i="1"/>
  <c r="G236" i="1"/>
  <c r="H235" i="1"/>
  <c r="G235" i="1"/>
  <c r="H234" i="1"/>
  <c r="G234" i="1"/>
  <c r="H233" i="1"/>
  <c r="G233" i="1"/>
  <c r="H232" i="1"/>
  <c r="G232" i="1"/>
  <c r="H231" i="1"/>
  <c r="G231" i="1"/>
  <c r="H230" i="1"/>
  <c r="G230" i="1"/>
  <c r="H229" i="1"/>
  <c r="G229" i="1"/>
  <c r="H228" i="1"/>
  <c r="G228" i="1"/>
  <c r="H227" i="1"/>
  <c r="G227" i="1"/>
  <c r="H226" i="1"/>
  <c r="G226" i="1"/>
  <c r="H225" i="1"/>
  <c r="G225" i="1"/>
  <c r="H224" i="1"/>
  <c r="G224" i="1"/>
  <c r="H223" i="1"/>
  <c r="G223" i="1"/>
  <c r="H222" i="1"/>
  <c r="G222" i="1"/>
  <c r="H221" i="1"/>
  <c r="G221" i="1"/>
  <c r="H220" i="1"/>
  <c r="G220" i="1"/>
  <c r="H219" i="1"/>
  <c r="G219" i="1"/>
  <c r="H218" i="1"/>
  <c r="G218" i="1"/>
  <c r="H217" i="1"/>
  <c r="G217" i="1"/>
  <c r="H216" i="1"/>
  <c r="G216" i="1"/>
  <c r="H215" i="1"/>
  <c r="G215" i="1"/>
  <c r="H214" i="1"/>
  <c r="G214" i="1"/>
  <c r="H213" i="1"/>
  <c r="G213" i="1"/>
  <c r="H212" i="1"/>
  <c r="G212" i="1"/>
  <c r="H211" i="1"/>
  <c r="G211" i="1"/>
  <c r="H210" i="1"/>
  <c r="G210" i="1"/>
  <c r="H209" i="1"/>
  <c r="G209" i="1"/>
  <c r="H208" i="1"/>
  <c r="G208" i="1"/>
  <c r="H207" i="1"/>
  <c r="G207" i="1"/>
  <c r="H206" i="1"/>
  <c r="G206" i="1"/>
  <c r="H205" i="1"/>
  <c r="G205" i="1"/>
  <c r="H204" i="1"/>
  <c r="G204" i="1"/>
  <c r="H203" i="1"/>
  <c r="G203" i="1"/>
  <c r="H202" i="1"/>
  <c r="G202" i="1"/>
  <c r="H201" i="1"/>
  <c r="G201" i="1"/>
  <c r="H200" i="1"/>
  <c r="G200" i="1"/>
  <c r="H199" i="1"/>
  <c r="G199" i="1"/>
  <c r="H198" i="1"/>
  <c r="G198" i="1"/>
  <c r="H197" i="1"/>
  <c r="G197" i="1"/>
  <c r="H196" i="1"/>
  <c r="G196" i="1"/>
  <c r="H195" i="1"/>
  <c r="G195" i="1"/>
  <c r="H194" i="1"/>
  <c r="G194" i="1"/>
  <c r="H193" i="1"/>
  <c r="G193" i="1"/>
  <c r="H192" i="1"/>
  <c r="G192" i="1"/>
  <c r="H191" i="1"/>
  <c r="G191" i="1"/>
  <c r="H190" i="1"/>
  <c r="G190" i="1"/>
  <c r="H189" i="1"/>
  <c r="G189" i="1"/>
  <c r="H188" i="1"/>
  <c r="G188" i="1"/>
  <c r="H187" i="1"/>
  <c r="G187" i="1"/>
  <c r="H186" i="1"/>
  <c r="G186" i="1"/>
  <c r="H185" i="1"/>
  <c r="G185" i="1"/>
  <c r="H184" i="1"/>
  <c r="G184" i="1"/>
  <c r="H183" i="1"/>
  <c r="G183" i="1"/>
  <c r="H182" i="1"/>
  <c r="G182" i="1"/>
  <c r="H181" i="1"/>
  <c r="G181" i="1"/>
  <c r="H180" i="1"/>
  <c r="G180" i="1"/>
  <c r="H179" i="1"/>
  <c r="G179" i="1"/>
  <c r="H178" i="1"/>
  <c r="G178" i="1"/>
  <c r="H177" i="1"/>
  <c r="G177" i="1"/>
  <c r="H176" i="1"/>
  <c r="G176" i="1"/>
  <c r="H175" i="1"/>
  <c r="G175" i="1"/>
  <c r="H174" i="1"/>
  <c r="G174" i="1"/>
  <c r="H173" i="1"/>
  <c r="G173" i="1"/>
  <c r="H172" i="1"/>
  <c r="G172" i="1"/>
  <c r="H171" i="1"/>
  <c r="G171" i="1"/>
  <c r="H170" i="1"/>
  <c r="G170" i="1"/>
  <c r="H169" i="1"/>
  <c r="G169" i="1"/>
  <c r="H168" i="1"/>
  <c r="G168" i="1"/>
  <c r="H167" i="1"/>
  <c r="G167" i="1"/>
  <c r="H166" i="1"/>
  <c r="G166" i="1"/>
  <c r="H165" i="1"/>
  <c r="G165" i="1"/>
  <c r="H164" i="1"/>
  <c r="G164" i="1"/>
  <c r="H163" i="1"/>
  <c r="G163" i="1"/>
  <c r="H162" i="1"/>
  <c r="G162" i="1"/>
  <c r="H161" i="1"/>
  <c r="G161" i="1"/>
  <c r="H160" i="1"/>
  <c r="G160" i="1"/>
  <c r="H159" i="1"/>
  <c r="G159" i="1"/>
  <c r="H158" i="1"/>
  <c r="G158" i="1"/>
  <c r="H157" i="1"/>
  <c r="G157" i="1"/>
  <c r="H156" i="1"/>
  <c r="G156" i="1"/>
  <c r="H155" i="1"/>
  <c r="G155" i="1"/>
  <c r="H154" i="1"/>
  <c r="G154" i="1"/>
  <c r="H153" i="1"/>
  <c r="G153" i="1"/>
  <c r="H152" i="1"/>
  <c r="G152" i="1"/>
  <c r="H151" i="1"/>
  <c r="G151" i="1"/>
  <c r="H150" i="1"/>
  <c r="G150" i="1"/>
  <c r="H149" i="1"/>
  <c r="G149" i="1"/>
  <c r="H148" i="1"/>
  <c r="G148" i="1"/>
  <c r="H147" i="1"/>
  <c r="G147" i="1"/>
  <c r="H146" i="1"/>
  <c r="G146" i="1"/>
  <c r="H145" i="1"/>
  <c r="G145" i="1"/>
  <c r="H144" i="1"/>
  <c r="G144" i="1"/>
  <c r="H143" i="1"/>
  <c r="G143" i="1"/>
  <c r="H142" i="1"/>
  <c r="G142" i="1"/>
  <c r="H141" i="1"/>
  <c r="G141" i="1"/>
  <c r="H140" i="1"/>
  <c r="G140" i="1"/>
  <c r="H139" i="1"/>
  <c r="G139" i="1"/>
  <c r="H138" i="1"/>
  <c r="G138" i="1"/>
  <c r="H137" i="1"/>
  <c r="G137" i="1"/>
  <c r="H136" i="1"/>
  <c r="G136" i="1"/>
  <c r="H135" i="1"/>
  <c r="G135" i="1"/>
  <c r="H134" i="1"/>
  <c r="G134" i="1"/>
  <c r="H133" i="1"/>
  <c r="G133" i="1"/>
  <c r="H132" i="1"/>
  <c r="G132" i="1"/>
  <c r="H131" i="1"/>
  <c r="G131" i="1"/>
  <c r="H130" i="1"/>
  <c r="G130" i="1"/>
  <c r="H129" i="1"/>
  <c r="G129" i="1"/>
  <c r="H128" i="1"/>
  <c r="G128" i="1"/>
  <c r="H127" i="1"/>
  <c r="G127" i="1"/>
  <c r="H126" i="1"/>
  <c r="G126" i="1"/>
  <c r="H125" i="1"/>
  <c r="G125" i="1"/>
  <c r="H124" i="1"/>
  <c r="G124" i="1"/>
  <c r="H123" i="1"/>
  <c r="G123" i="1"/>
  <c r="H122" i="1"/>
  <c r="G122" i="1"/>
  <c r="H121" i="1"/>
  <c r="G121" i="1"/>
  <c r="H120" i="1"/>
  <c r="G120" i="1"/>
  <c r="H119" i="1"/>
  <c r="G119" i="1"/>
  <c r="H118" i="1"/>
  <c r="G118" i="1"/>
  <c r="H117" i="1"/>
  <c r="G117" i="1"/>
  <c r="H116" i="1"/>
  <c r="G116" i="1"/>
  <c r="H115" i="1"/>
  <c r="G115" i="1"/>
  <c r="H114" i="1"/>
  <c r="G114" i="1"/>
  <c r="H113" i="1"/>
  <c r="G113" i="1"/>
  <c r="H112" i="1"/>
  <c r="G112" i="1"/>
  <c r="H111" i="1"/>
  <c r="G111" i="1"/>
  <c r="H110" i="1"/>
  <c r="G110" i="1"/>
  <c r="H109" i="1"/>
  <c r="G109" i="1"/>
  <c r="H108" i="1"/>
  <c r="G108" i="1"/>
  <c r="H107" i="1"/>
  <c r="G107" i="1"/>
  <c r="H106" i="1"/>
  <c r="G106" i="1"/>
  <c r="H105" i="1"/>
  <c r="G105" i="1"/>
  <c r="H104" i="1"/>
  <c r="G104" i="1"/>
  <c r="H103" i="1"/>
  <c r="G103" i="1"/>
  <c r="H102" i="1"/>
  <c r="G102" i="1"/>
  <c r="H101" i="1"/>
  <c r="G101" i="1"/>
  <c r="H100" i="1"/>
  <c r="G100" i="1"/>
  <c r="H99" i="1"/>
  <c r="G99" i="1"/>
  <c r="H98" i="1"/>
  <c r="G98" i="1"/>
  <c r="H97" i="1"/>
  <c r="G97" i="1"/>
  <c r="H96" i="1"/>
  <c r="G96" i="1"/>
  <c r="H95" i="1"/>
  <c r="G95" i="1"/>
  <c r="H94" i="1"/>
  <c r="G94" i="1"/>
  <c r="H93" i="1"/>
  <c r="G93" i="1"/>
  <c r="H92" i="1"/>
  <c r="G92" i="1"/>
  <c r="H91" i="1"/>
  <c r="G91" i="1"/>
  <c r="H90" i="1"/>
  <c r="G90" i="1"/>
  <c r="H89" i="1"/>
  <c r="G89" i="1"/>
  <c r="H88" i="1"/>
  <c r="G88" i="1"/>
  <c r="H87" i="1"/>
  <c r="G87" i="1"/>
  <c r="H86" i="1"/>
  <c r="G86" i="1"/>
  <c r="H85" i="1"/>
  <c r="G85" i="1"/>
  <c r="H84" i="1"/>
  <c r="G84" i="1"/>
  <c r="H83" i="1"/>
  <c r="G83" i="1"/>
  <c r="H82" i="1"/>
  <c r="G82" i="1"/>
  <c r="H81" i="1"/>
  <c r="G81" i="1"/>
  <c r="H80" i="1"/>
  <c r="G80" i="1"/>
  <c r="H79" i="1"/>
  <c r="G79" i="1"/>
  <c r="H78" i="1"/>
  <c r="G78" i="1"/>
  <c r="H77" i="1"/>
  <c r="G77" i="1"/>
  <c r="H76" i="1"/>
  <c r="G76" i="1"/>
  <c r="H75" i="1"/>
  <c r="G75" i="1"/>
  <c r="H74" i="1"/>
  <c r="G74" i="1"/>
  <c r="H73" i="1"/>
  <c r="G73" i="1"/>
  <c r="H72" i="1"/>
  <c r="G72" i="1"/>
  <c r="H71" i="1"/>
  <c r="G71" i="1"/>
  <c r="H70" i="1"/>
  <c r="G70" i="1"/>
  <c r="H69" i="1"/>
  <c r="G69" i="1"/>
  <c r="H68" i="1"/>
  <c r="G68" i="1"/>
  <c r="H67" i="1"/>
  <c r="G67" i="1"/>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H22" i="1"/>
  <c r="G22" i="1"/>
  <c r="H21" i="1"/>
  <c r="G21" i="1"/>
  <c r="H20" i="1"/>
  <c r="G20" i="1"/>
  <c r="H19" i="1"/>
  <c r="G19" i="1"/>
  <c r="H18" i="1"/>
  <c r="G18" i="1"/>
  <c r="H17" i="1"/>
  <c r="G17" i="1"/>
  <c r="H16" i="1"/>
  <c r="G16" i="1"/>
  <c r="H15" i="1"/>
  <c r="G15" i="1"/>
  <c r="H14" i="1"/>
  <c r="G14" i="1"/>
  <c r="H13" i="1"/>
  <c r="G13" i="1"/>
  <c r="H12" i="1"/>
  <c r="G12" i="1"/>
  <c r="H11" i="1"/>
  <c r="G11" i="1"/>
  <c r="H10" i="1"/>
  <c r="G10" i="1"/>
  <c r="H9" i="1"/>
  <c r="G9" i="1"/>
  <c r="H8" i="1"/>
  <c r="G8" i="1"/>
  <c r="H7" i="1"/>
  <c r="G7" i="1"/>
  <c r="H6" i="1"/>
  <c r="G6" i="1"/>
  <c r="H5" i="1"/>
  <c r="G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000-000001000000}">
      <text>
        <r>
          <rPr>
            <sz val="10"/>
            <rFont val="Arial"/>
            <family val="2"/>
          </rPr>
          <t>Identificador único del activo. Ejemplo: ACT-001.</t>
        </r>
      </text>
    </comment>
    <comment ref="D4" authorId="0" shapeId="0" xr:uid="{00000000-0006-0000-0000-000002000000}">
      <text>
        <r>
          <rPr>
            <sz val="10"/>
            <rFont val="Arial"/>
            <family val="2"/>
          </rPr>
          <t>Área responsable. Use la lista desplegable o actualice la hoja Listas.</t>
        </r>
      </text>
    </comment>
    <comment ref="F4" authorId="0" shapeId="0" xr:uid="{00000000-0006-0000-0000-000003000000}">
      <text>
        <r>
          <rPr>
            <sz val="10"/>
            <rFont val="Arial"/>
            <family val="2"/>
          </rPr>
          <t>Fecha del último mantenimiento registrado. Formato dd/mm/aaaa.</t>
        </r>
      </text>
    </comment>
    <comment ref="G4" authorId="0" shapeId="0" xr:uid="{00000000-0006-0000-0000-000004000000}">
      <text>
        <r>
          <rPr>
            <sz val="10"/>
            <rFont val="Arial"/>
            <family val="2"/>
          </rPr>
          <t>Campo auxiliar para ordenar exportaciones por Área. Puede mantenerse oculto.</t>
        </r>
      </text>
    </comment>
  </commentList>
</comments>
</file>

<file path=xl/sharedStrings.xml><?xml version="1.0" encoding="utf-8"?>
<sst xmlns="http://schemas.openxmlformats.org/spreadsheetml/2006/main" count="11140" uniqueCount="3030">
  <si>
    <t>Matriz consolidada de activos por área y mantenimiento</t>
  </si>
  <si>
    <t>Cruce exacto de placas contra activos.xlsx. No se aplicaron correcciones automáticas a placas no coincidentes.</t>
  </si>
  <si>
    <t>Activo</t>
  </si>
  <si>
    <t>Nombre</t>
  </si>
  <si>
    <t>Descripción</t>
  </si>
  <si>
    <t>Área</t>
  </si>
  <si>
    <t>Dependencia</t>
  </si>
  <si>
    <t>Fecha de Último mantenimiento</t>
  </si>
  <si>
    <t>Orden Área</t>
  </si>
  <si>
    <t>Estado mantenimiento</t>
  </si>
  <si>
    <t>Aporta al Plan de Mejoramiento</t>
  </si>
  <si>
    <t>NUMERO_PERIODOS_VIDA_UTIL</t>
  </si>
  <si>
    <t>CANTIDAD_PERIODOS_DEPRECIADOS</t>
  </si>
  <si>
    <t>FECHA_INICIO_DEPRECIACION</t>
  </si>
  <si>
    <t>DEPRECIADO</t>
  </si>
  <si>
    <t>U15201000681</t>
  </si>
  <si>
    <t>COMPACTADOR AUTOMÁTICO PARA ENSAYOS CBR Y PROCTOR</t>
  </si>
  <si>
    <t>EQUIPO LABORATORIO - COMPACTADOR AUTOMATICO PARA PROCTOR</t>
  </si>
  <si>
    <t>Académica</t>
  </si>
  <si>
    <t>CIPAV</t>
  </si>
  <si>
    <t>N</t>
  </si>
  <si>
    <t>U15201000680</t>
  </si>
  <si>
    <t>COMPACTADOR MARSHALL AUTOMÁTICO</t>
  </si>
  <si>
    <t>EQUIPO LABORATORIO - COMPACTADOR AUTOMATICO MARSHALL PARA MUESTRAS ASFALTICAS</t>
  </si>
  <si>
    <t>U15201000678</t>
  </si>
  <si>
    <t>EQUIPO DE ENSAYO DE PLACA DE CARGA</t>
  </si>
  <si>
    <t>EQUIPO LABORATORIO - VIGAS BENKELMAN DOBLE PARA MEDIR EL RADIO CORVATURA DEL ASFAL</t>
  </si>
  <si>
    <t>U15201000677</t>
  </si>
  <si>
    <t>Manual de Operación: Punto de Reblandecimiento del Asfalto</t>
  </si>
  <si>
    <t>EQUIPO LABORATORIO - PROBADOR AUTOMATICO DE ANILLO Y BOLA O PUNTO DE ABLANDAMIENTO.</t>
  </si>
  <si>
    <t>U15201000668</t>
  </si>
  <si>
    <t>PERMEÁMETRO MULTIPROPÓSITO PARA ENSAYOS DE PERMEABILIDAD EN SUELOS</t>
  </si>
  <si>
    <t>EQUIPO LABORATORIO - CONSTRUCCIÓN, ENSAMBLAJE Y SUMINISTRO DE UN DISPOSITIVO PERMEÁMETRO MULTIPROPÓSITO, SEGÚN DISEÑO ESCOGIDO POR EL CLIENTE REF: PER001</t>
  </si>
  <si>
    <t>U15201000010</t>
  </si>
  <si>
    <t>VISCOSÍMETRO DIGITAL BROOKFIELD PARA ENSAYOS DE VISCOSIDAD EN CEMENTOS ASFÁLTICOS</t>
  </si>
  <si>
    <t>EQUIPO LABORATORIO PENETRO-METRO . PROVEEDOR:890704382 UNIVERSIDAD DE IBAGUE</t>
  </si>
  <si>
    <t>S</t>
  </si>
  <si>
    <t>U15201000407</t>
  </si>
  <si>
    <t>Ac voltage/current data loger</t>
  </si>
  <si>
    <t>EQUIPO LABORATORIO ANALIZADOR DE CORRIENTE EXTECH. PROVEEDOR:93411261 HERNAN DARIO QUIÑONES</t>
  </si>
  <si>
    <t>Energías renovables</t>
  </si>
  <si>
    <t>U15201000408</t>
  </si>
  <si>
    <t>EQUIPO LABORATORIO ANALIZADOR DE CORRIENTE EXTECH. PROVEEDOR:890704382 UNIVERSIDAD DE IBAGUE</t>
  </si>
  <si>
    <t>U15201000409</t>
  </si>
  <si>
    <t>U15201000413</t>
  </si>
  <si>
    <t>EQUIPO LABORATORIO ANALIZADOR DE CORRIENTE MARCA ERASMUS MODELO EDL - 10. PROVEEDOR:890704382 UNIVERSIDAD DE IBAGUE</t>
  </si>
  <si>
    <t>U15201000414</t>
  </si>
  <si>
    <t>U15201000415</t>
  </si>
  <si>
    <t>U15201000419</t>
  </si>
  <si>
    <t>U15201000420</t>
  </si>
  <si>
    <t>U15201000421</t>
  </si>
  <si>
    <t>U15201000422</t>
  </si>
  <si>
    <t>U15200501368</t>
  </si>
  <si>
    <t>Agitador magnético con plancha</t>
  </si>
  <si>
    <t>MAQUINARIA Y EQUIPO AGITADOR MAGNETICO CON PLANCHA DE CALENTAMIENTO MARCA EIQ. PROVEEDOR:890704382 UNIVERSIDAD DE IBAGUE</t>
  </si>
  <si>
    <t>U15200500611</t>
  </si>
  <si>
    <t>Analizador de humedad 110 VAC</t>
  </si>
  <si>
    <t>MAQUINARIA Y EQUIPO ANALIZADOR DE HUMEDAD . PROVEEDOR:890704382 UNIVERSIDAD DE IBAGUE</t>
  </si>
  <si>
    <t>U15201000541</t>
  </si>
  <si>
    <t>Balanza 30kg</t>
  </si>
  <si>
    <t>EQUIPO LABORATORIO BALANZA DIGITAL MARCA FENIX . PROVEEDOR:890704382 UNIVERSIDAD DE IBAGUE</t>
  </si>
  <si>
    <t>U15201000201</t>
  </si>
  <si>
    <t>Balanza de brazo</t>
  </si>
  <si>
    <t>EQUIPO LABORATORIO BALANZA . PROVEEDOR:890704382 UNIVERSIDAD DE IBAGUE</t>
  </si>
  <si>
    <t>U15201000287</t>
  </si>
  <si>
    <t>Balanza triple brazo</t>
  </si>
  <si>
    <t>EQUIPO LABORATORIO BALANZA OHAUS DE 5 LB. PROVEEDOR:890704382 UNIVERSIDAD DE IBAGUE</t>
  </si>
  <si>
    <t>U15201000288</t>
  </si>
  <si>
    <t>U15201000289</t>
  </si>
  <si>
    <t>U15200500617</t>
  </si>
  <si>
    <t>Baño de agua termostatico 220 VAC</t>
  </si>
  <si>
    <t>MAQUINARIA Y EQUIPO BAÑO TERMOESTATICO DE AGUA . PROVEEDOR:890704382 UNIVERSIDAD DE IBAGUE</t>
  </si>
  <si>
    <t>U15201000423</t>
  </si>
  <si>
    <t>calorímetro de bomba de Oxígeno</t>
  </si>
  <si>
    <t>EQUIPO LABORATORIO BOMBA CALORIMETRICA. PROVEEDOR:890704382 UNIVERSIDAD DE IBAGUE</t>
  </si>
  <si>
    <t>U15200501360</t>
  </si>
  <si>
    <t>Centrifuga de 4 tubos 110VAC</t>
  </si>
  <si>
    <t>MAQUINARIA Y EQUIPO CENTRIFUGA DE 4 PUESTOS MARCA YEQUIM MODELO ESTÁNDAR 4T. PROVEEDOR:890704382 UNIVERSIDAD DE IBAGUE</t>
  </si>
  <si>
    <t>U15200501369</t>
  </si>
  <si>
    <t>Esterilizador eléctrico de vapor a presión 120VAC</t>
  </si>
  <si>
    <t>MAQUINARIA Y EQUIPO AUTOCLAVE . PROVEEDOR:890704382 UNIVERSIDAD DE IBAGUE</t>
  </si>
  <si>
    <t>U15200500572</t>
  </si>
  <si>
    <t>Horno Eléctrico de mufla 208VA</t>
  </si>
  <si>
    <t>MAQUINARIA Y EQUIPO HORNO TIPO MUFLA. PROVEEDOR:890704382 UNIVERSIDAD DE IBAGUE</t>
  </si>
  <si>
    <t>U15201000410</t>
  </si>
  <si>
    <t>Medidor de energía solar</t>
  </si>
  <si>
    <t>EQUIPO LABORATORIO MEDIDOR DE ENERGIA SOLAR MODELO ES-2000 MARCA ERASMUS. PROVEEDOR:890704382 UNIVERSIDAD DE IBAGUE</t>
  </si>
  <si>
    <t>U15201000411</t>
  </si>
  <si>
    <t>U15200500589</t>
  </si>
  <si>
    <t>Medidor de humedad</t>
  </si>
  <si>
    <t>MAQUINARIA Y EQUIPO MOISTURE METER ULTRON MODELO MS- 7003. PROVEEDOR:890704382 UNIVERSIDAD DE IBAGUE</t>
  </si>
  <si>
    <t>U15200500588</t>
  </si>
  <si>
    <t>Medidor de humedad para madera</t>
  </si>
  <si>
    <t>MAQUINARIA Y EQUIPO DIGITAL MOISTURE METER . PROVEEDOR:890704382 UNIVERSIDAD DE IBAGUE</t>
  </si>
  <si>
    <t>U15200500567</t>
  </si>
  <si>
    <t>Pinza amperimétrica</t>
  </si>
  <si>
    <t>MAQUINARIA Y EQUIPO PINZA VOLTIAMPERIMETRICA. PROVEEDOR:890704382 UNIVERSIDAD DE IBAGUE</t>
  </si>
  <si>
    <t>U15200500587</t>
  </si>
  <si>
    <t>Placa calefactora de agitación</t>
  </si>
  <si>
    <t>MAQUINARIA Y EQUIPO PLANCHA MAGNETICA MARCA CORNING MODELO PC- 420D. PROVEEDOR:890704382 UNIVERSIDAD DE IBAGUE</t>
  </si>
  <si>
    <t>U15200500590</t>
  </si>
  <si>
    <t>MAQUINARIA Y EQUIPO PLANCHA DE AGITACION MAGNETICA MARCA CORNING PC -420D. PROVEEDOR:890704382 UNIVERSIDAD DE IBAGUE</t>
  </si>
  <si>
    <t>U15201000202</t>
  </si>
  <si>
    <t>Tanque de oxígeno</t>
  </si>
  <si>
    <t>EQUIPO LABORATORIO PIPETA DE OXIGENO . PROVEEDOR:890704382 UNIVERSIDAD DE IBAGUE</t>
  </si>
  <si>
    <t>U15201000427</t>
  </si>
  <si>
    <t>Viscocimetro</t>
  </si>
  <si>
    <t>EQUIPO LABORATORIO AGUJA PARA MEDIR VISCOSIDAD MARCA BROOKFIELD. PROVEEDOR:890704382 UNIVERSIDAD DE IBAGUE</t>
  </si>
  <si>
    <t>U15201001242</t>
  </si>
  <si>
    <t>MODULO AUTOMATIZACION</t>
  </si>
  <si>
    <t>SISTEMA DE AUTOMATIZACIÓN</t>
  </si>
  <si>
    <t>L6</t>
  </si>
  <si>
    <t>U15201001163</t>
  </si>
  <si>
    <t>BALANZA ANALITICA</t>
  </si>
  <si>
    <t>BALANZA - BALANZA DIGITAL: BALANZA ANALITICA, TUNING FORK SENSOR, CALIBRACION EXTERNA CAP 220 G LEG 0.0001 G REF HT224 MARCA VIBRA</t>
  </si>
  <si>
    <t>Lab. de Diseño de Sistemas Mecanicos</t>
  </si>
  <si>
    <t>U15200500130</t>
  </si>
  <si>
    <t>BANCO DE ENSAYOS DE EXTREMA PRESION</t>
  </si>
  <si>
    <t>MAQUINARIA Y EQUIPO BANCO PARA ENSAYOS DE EXTREMA PRESION EN ACEITE LUBRICANTES . PROVEEDOR:890704382 UNIVERSIDAD DE IBAGUE</t>
  </si>
  <si>
    <t>U15200500133</t>
  </si>
  <si>
    <t>BANCO DE VIBRACIONES</t>
  </si>
  <si>
    <t>MAQUINARIA Y EQUIPO BANCO PARA ENSAYO PARA VIBRACIONES . PROVEEDOR:890704382 UNIVERSIDAD DE IBAGUE</t>
  </si>
  <si>
    <t>U15200500131</t>
  </si>
  <si>
    <t>BANCO PIN ON DISC</t>
  </si>
  <si>
    <t>MAQUINARIA Y EQUIPO PIN ON DISC. PROVEEDOR:890704382 UNIVERSIDAD DE IBAGUE</t>
  </si>
  <si>
    <t>U15201001146</t>
  </si>
  <si>
    <t>CAMARA TERMOGRAFICA</t>
  </si>
  <si>
    <t>CAMARA TERMOGRAFICA - W8060</t>
  </si>
  <si>
    <t>U15200503445</t>
  </si>
  <si>
    <t>DESHUMIDIFICADOR</t>
  </si>
  <si>
    <t>DESHUMIDIFICADOR ELECTROLUX MODELO FFAD2234W1 115 VOLTS SERVICE MODEL FFAD2234W10</t>
  </si>
  <si>
    <t>U15201001225</t>
  </si>
  <si>
    <t>EQUIPO DE VIBRACIONES</t>
  </si>
  <si>
    <t>EQUIPO DE VIBRACIONES ERBESSD</t>
  </si>
  <si>
    <t>U15201000162</t>
  </si>
  <si>
    <t>LAMPARA ESTROBOSCOPICA</t>
  </si>
  <si>
    <t>EQUIPO LABORATORIO LAMPARA ESTREBOSTROPICA MARCA SKF MODELO TKRS20. PROVEEDOR:890704382 UNIVERSIDAD DE IBAGUE</t>
  </si>
  <si>
    <t>U15200500132</t>
  </si>
  <si>
    <t>MOTOR BANCO DE TRANSMISION</t>
  </si>
  <si>
    <t>MAQUINARIA Y EQUIPO MOTOR - BANCO PARA ENSAYOS DE TRANSMISION O ENLASES FLEXIBLES . PROVEEDOR:890704382 UNIVERSIDAD DE IBAGUE</t>
  </si>
  <si>
    <t>U15280502039</t>
  </si>
  <si>
    <t>PC WORKSTATION</t>
  </si>
  <si>
    <t>ESTACION DE TRABAJO - TORRE DELL PRECISION 5820 XCTO BASE - 1028387277809 PROCESADOR INTEL® XEON® W-2145 3.7GHZ, 4.5GHZ TURBO, 8C, 11M CACHE, HT, (140W) DDR4-2666 WINDOWS® 10 PRO PARA WORKSTATION (4 NÚCLEOS PLUS) ESPAÑOL PRUEBA DE 30 DÍAS DE MICROSOFT OFFICE DUAL NVIDIA® QUADRO®P1000, 4GB, 4 MDP (5820T) MOD; DIMM; 64 G; 4 X 16 G; 2667; RDIM UNIDAD DE ESTADO SÓLIDO CLASE 20 SATA DE 512 GB Y 2,5" DISCO DURO SATA DE 3,5 GB - 2 TB DE 7200 RPM UNIDAD ÓPTICA 8X DELGADA (DVD +/- RW) TECLADO CON CABLE DELL KB216, ESPAÑOL MOUSE CABLEADO DELL MS116; NEGRO 3 AÑOS DE PROSUPPORT CON SERVICIO EN SITIO AL SIGUIENTE DÍA LABORABLE DELL 24 MONITOR | P2417H</t>
  </si>
  <si>
    <t>U15200500518</t>
  </si>
  <si>
    <t>PINZA VOLTIAMPERIMETRICA</t>
  </si>
  <si>
    <t>MAQUINARIA Y EQUIPO PINZAS VOLTIAMPERIMETRICA. PROVEEDOR:890704382 UNIVERSIDAD DE IBAGUE</t>
  </si>
  <si>
    <t>U15200500519</t>
  </si>
  <si>
    <t>U15201000070</t>
  </si>
  <si>
    <t>PROTOTIPO CNC</t>
  </si>
  <si>
    <t>EQUIPO LABORATORIO PROTOTIPO DE MAQUINA CNC. PROVEEDOR:890704382 UNIVERSIDAD DE IBAGUE</t>
  </si>
  <si>
    <t>U15201001074</t>
  </si>
  <si>
    <t>RUGOSIMETRO</t>
  </si>
  <si>
    <t>RUGOSIMETRO - TIME 3221 CON CARACTERÍSTICAS DE MEDICIÓN MULTIPARAMETRICA: RA, RP, RV, RT, RZ, RQ, RSK, RKU, RC, RPC, RSM, RMR (C), TP, RMR, RPM, RZ1MAX, RZJIS, RMAX, HTP, R¿C ,, R¿Q , R¿A, PA, PP, PV, PT, PZ, PQ, PSK, PKU, PC, PSM, PMR (C), PMR, PZ1MAX, PZJIS, P¿C, P¿Q RK, RPK, RVK, MR1, MR2, A1, A2 ; PASTILLA DE INDUCTANCIA DE ALTA PRECISIÓN MÉTODOS DE FILTRADO DE 2RC, GAUSS COMPATIBLE CON CUATRO ESTÁNDARES DE ISO1997, ANSI Y JIS2001. INCLUYE SOFTWARE NUESTRO TIME3221 SE PUEDE CONECTAR CON EL SOFTWARE, EN EL QUE PUEDE TRANSFERIR TODOS LOS DATOS A LA PC, INCLUIDAS LAS ONDAS</t>
  </si>
  <si>
    <t>U15200500520</t>
  </si>
  <si>
    <t>TERMOMETRO DIGITAL</t>
  </si>
  <si>
    <t>MAQUINARIA Y EQUIPO PIROMETRO. PROVEEDOR:890704382 UNIVERSIDAD DE IBAGUE</t>
  </si>
  <si>
    <t>U15200501446</t>
  </si>
  <si>
    <t>UPS</t>
  </si>
  <si>
    <t>MAQUINARIA Y EQUIPO UPS MARCA APC . PROVEEDOR:890704382 UNIVERSIDAD DE IBAGUE</t>
  </si>
  <si>
    <t>U15200501447</t>
  </si>
  <si>
    <t>U15200501449</t>
  </si>
  <si>
    <t>U15280501898</t>
  </si>
  <si>
    <t>UPS 550 VA - APC BACK-UPS ES, 8 TOMAS DE SALIDA, SS0VA/330W ENTRADA Y SALIDA 120V, RESPALDO CARGA COMPLETA 3.3 MINUTOS.UPS STAND BY (RESERVA) NO REGULADA. 3 AÑOS DE GARANTIA EN CENTRO AUTORIZADO DE SERVICIO. MONOFASICAS</t>
  </si>
  <si>
    <t>U15280502254</t>
  </si>
  <si>
    <t>UPS 650 VA - 650/390W ENTRADA Y SALIDA 120W</t>
  </si>
  <si>
    <t>U15201000623</t>
  </si>
  <si>
    <t>VARIADOR DE FRECUENCIA</t>
  </si>
  <si>
    <t>VARIADOR YASKAWA J1000 PERTENECE AL BANCO DE FATIGA</t>
  </si>
  <si>
    <t>U15201000883</t>
  </si>
  <si>
    <t>CALADORA MOTOSAW</t>
  </si>
  <si>
    <t>CALADORA - MOTO-SAW 60W+ MALETIN DREMEL COD 233540</t>
  </si>
  <si>
    <t>Lab. de Diseño Mecatronico</t>
  </si>
  <si>
    <t>U15200503446</t>
  </si>
  <si>
    <t>DESHUMIDIFICADOR ELECTROLUX MODELO FFAD2234W1 115 VOLTS SERVICE MODEL FFAD2234W10"</t>
  </si>
  <si>
    <t>U15201000874</t>
  </si>
  <si>
    <t>ESTACION DE SOLDADURA</t>
  </si>
  <si>
    <t>EQUIPO LABORATORIO ESTACIÓN DE SOLDADURA ELECTRONICA 878AD</t>
  </si>
  <si>
    <t>U15201000875</t>
  </si>
  <si>
    <t>U15201000882</t>
  </si>
  <si>
    <t>ESTACION DE TRABAJO DREMEL</t>
  </si>
  <si>
    <t>ESTACIÓN DE TRABAJO - DREMEL MODELO 220 COD 63071</t>
  </si>
  <si>
    <t>U15200500093</t>
  </si>
  <si>
    <t>IMPRESORA 3D</t>
  </si>
  <si>
    <t>IMPRESORA 3D MARCA ULTIMAKER 3</t>
  </si>
  <si>
    <t>U15200503397</t>
  </si>
  <si>
    <t>U15200500523</t>
  </si>
  <si>
    <t>MULTIMETRO</t>
  </si>
  <si>
    <t>MAQUINARIA Y EQUIPO MULTIMETRO MARCA EBC HQ MODELO 96820 UT30C. PROVEEDOR:890704382 UNIVERSIDAD DE IBAGUE</t>
  </si>
  <si>
    <t>U15201000870</t>
  </si>
  <si>
    <t>OSCILOSCOPIO</t>
  </si>
  <si>
    <t>OSCILOSCOPIO - REF: MSO7102T 100MHZ + ANALIZADOR LÓGICO MSO7102T</t>
  </si>
  <si>
    <t>U15201000871</t>
  </si>
  <si>
    <t>U15201000810</t>
  </si>
  <si>
    <t>EQUIPO LABORATORIO - CÓDIGO: UT208A PINZA V/A DIGITAL UT 208A</t>
  </si>
  <si>
    <t>U15201000811</t>
  </si>
  <si>
    <t>U15201000812</t>
  </si>
  <si>
    <t>U15201000813</t>
  </si>
  <si>
    <t>U15200500521</t>
  </si>
  <si>
    <t>TACOMETRO DIGITAL</t>
  </si>
  <si>
    <t>MAQUINARIA Y EQUIPO TACOMETRO MARCA UNI-T MODELO UT372. PROVEEDOR:890704382 UNIVERSIDAD DE IBAGUE</t>
  </si>
  <si>
    <t>U15200503414</t>
  </si>
  <si>
    <t>VIDEOBEAM</t>
  </si>
  <si>
    <t>VIDEOPROYECTOR LS610WH-4,0 LS610WH-4,000 ANSI LUMENS IEWSONIC WXGA LED PROJECTOR 4,000 ANSI UMENS WXGA LED USINESS/EDUCATION PROJECTOR TECNOLOGÍA LED DE 3ª GENERACIÓN PARA UNA MAYOR SOSTENIBILIDAD SIN MANTENIMIENTO: 60.000 HORAS DE VIDA ÚTIL DE LA FUENTE LUMINOSA Y MENOR CONSUMO DE ENERGÍA 4.000 ANSI LÚMENES PARA IMÁGENES BRILLANTES EN CUALQUIER ENTORNO FACILIDAD DE USO: ON/OFF INSTANTÁNEO KEYSTONE H/V Y CONTROL LAN AMPLIA GAMA CROMÁTICA PARA PRESENTACIONES DE ALTA CALIDAD</t>
  </si>
  <si>
    <t>U15200500954</t>
  </si>
  <si>
    <t>FUENTE DE PODER</t>
  </si>
  <si>
    <t>MAQUINARIA Y EQUIPO FUENTE DE PODER MARCA BECAP MODELO 1652. PROVEEDOR:890704382 UNIVERSIDAD DE IBAGUE</t>
  </si>
  <si>
    <t>Lab. Electromedicina L4</t>
  </si>
  <si>
    <t>U15200500955</t>
  </si>
  <si>
    <t>U15200500956</t>
  </si>
  <si>
    <t>U15200500957</t>
  </si>
  <si>
    <t>U15200500958</t>
  </si>
  <si>
    <t>U15200501124</t>
  </si>
  <si>
    <t>GENERADOR DE RF</t>
  </si>
  <si>
    <t>MAQUINARIA Y EQUIPO GENERADOR DE SEÑAL MARCA HP MODELO 8647A . PROVEEDOR:890704382 UNIVERSIDAD DE IBAGUE</t>
  </si>
  <si>
    <t>U15200501285</t>
  </si>
  <si>
    <t>POWERLAB</t>
  </si>
  <si>
    <t>MAQUINARIA Y EQUIPO POWER LAB MARCA ADINTRUMENTS MODELO 15T. PROVEEDOR:890704382 UNIVERSIDAD DE IBAGUE</t>
  </si>
  <si>
    <t>U15200501286</t>
  </si>
  <si>
    <t>MAQUINARIA Y EQUIPO POWER LAB MARCA ADINTRUMENTS MODELO 4856. PROVEEDOR:890704382 UNIVERSIDAD DE IBAGUE</t>
  </si>
  <si>
    <t>U15201000820</t>
  </si>
  <si>
    <t>EQUIPO LABORATORIO - POWERLAB 15T REF ML4818; INCLUYE; TRANSDUCTOR DE PULSO REF TN1012/ST; CABLE BIO AMP BLINDADO DE 5 DONDUCTORES REF MLA2540; CABLES CONDUCTORES BLINDADOS (5 BROCES) REF MLA2505; ELECTRODO DE BARRA ESTIMULANTE REF MLADDF30; ELECTRODOS PLANOS PARA EEG REF MLAWBT9; MALETIN SISTEMA DE ENSEÑANZA REF SP0133; MICRÓFONO CARDIACO REF MLT201; MALETIN SISTEMA DE ENSEÑANZA THE SP0133 IS AN EMPLI STAINLESS STELL CASE WITH FOAM INSERTS FOR USE IN PACKAGING MANY OF THE ADINSTRUMENTS, TEACHING SYSTEM REF SP0133</t>
  </si>
  <si>
    <t>U15201000768</t>
  </si>
  <si>
    <t>ANALIZADOR DE ESPECTRO</t>
  </si>
  <si>
    <t>ANALIZADOR DE ESPECTO - RANGO DE FRECUENCIA 9 KHZ, CON SISTEMA DE DEMODULACION Y ANALISIS AM/FM/ASK/FSK, CONTADOR DE FRECUENCIA INCORPORADO, INCLUYE CABLE DE PODER, GUIA DE INICIO RÁPIDO, CERTIFICADO DE CALIBRACION, CD-ROM (MANUAL DE USUARIO, MANUAL DE PROGRAMACIÓN, SOFTWARE SPECTRUMSHOT, GUIA DE INICIO RAPIDO SPECTRUMSHOT Y CONTOLADORES IVI, MARCA INSTEK, MODELO GSP-9300, PAQUETE DE BATERIAS DC, DURACION REMOTA POR 2 HORAS</t>
  </si>
  <si>
    <t>Lab. Electrónica General (L1)</t>
  </si>
  <si>
    <t>U15201000827</t>
  </si>
  <si>
    <t>U15280500915</t>
  </si>
  <si>
    <t>EQUIPO DE COMPUTO</t>
  </si>
  <si>
    <t>EQUIPOS DE COMPUTO COMPUTADOR DE MESA MARCA DELL. PROVEEDOR:890704382 UNIVERSIDAD DE IBAGUE</t>
  </si>
  <si>
    <t>U15280506139</t>
  </si>
  <si>
    <t>EQUIPOS DE COMPUTO LEASING -ACTIVO CREADO AUTOMATICAMENTE POR PROCESO DE OPCION DE COMPRA DEL ACTIVO # 34965</t>
  </si>
  <si>
    <t>U15201001147</t>
  </si>
  <si>
    <t>ESTACION DE SOLDADURA - ESTACIÓN DE SOLDADURA BAKU BK702B</t>
  </si>
  <si>
    <t>U15200501103</t>
  </si>
  <si>
    <t>FRECUENCIMETRO</t>
  </si>
  <si>
    <t>MAQUINARIA Y EQUIPO CONTADOR DE FRECUENCIA MARCA HP MODELO 5381A. PROVEEDOR:890704382 UNIVERSIDAD DE IBAGUE</t>
  </si>
  <si>
    <t>U15200501104</t>
  </si>
  <si>
    <t>U15200501105</t>
  </si>
  <si>
    <t>U15200500959</t>
  </si>
  <si>
    <t>MAQUINARIA Y EQUIPO FUENTE DE PODER MARCA ARKSEN MODELO 303-2D. PROVEEDOR:890704382 UNIVERSIDAD DE IBAGUE</t>
  </si>
  <si>
    <t>U15200500983</t>
  </si>
  <si>
    <t>MAQUINARIA Y EQUIPO FUENTE DE PODER MARCA ERASMUS . PROVEEDOR:890704382 UNIVERSIDAD DE IBAGUE</t>
  </si>
  <si>
    <t>U15200500984</t>
  </si>
  <si>
    <t>U15200500999</t>
  </si>
  <si>
    <t>MAQUINARIA Y EQUIPO FUENTE DE PODER MARCA ERASMUS REF. EF0055. PROVEEDOR:890704382 UNIVERSIDAD DE IBAGUE</t>
  </si>
  <si>
    <t>U15200501027</t>
  </si>
  <si>
    <t>MAQUINARIA Y EQUIPO FUENTE DE PODER MARCA GWINSETK REF. GPE3323. PROVEEDOR:890704382 UNIVERSIDAD DE IBAGUE</t>
  </si>
  <si>
    <t>U15200501028</t>
  </si>
  <si>
    <t>U15200501029</t>
  </si>
  <si>
    <t>U15200501033</t>
  </si>
  <si>
    <t>MAQUINARIA Y EQUIPO FUENTE DE PODER MARCA GWINSETK REF. GYC30300. PROVEEDOR:830037278 NUEVA ERA SOLUCIONES SAS</t>
  </si>
  <si>
    <t>U15200501034</t>
  </si>
  <si>
    <t>MAQUINARIA Y EQUIPO FUENTE DE PODER MARCA GWINSETK REF. GYC30300. PROVEEDOR:890704382 UNIVERSIDAD DE IBAGUE</t>
  </si>
  <si>
    <t>U15200501036</t>
  </si>
  <si>
    <t>MAQUINARIA Y EQUIPO FUENTE DE PODER MARCA ERASMOS REF. F055. PROVEEDOR:890704382 UNIVERSIDAD DE IBAGUE</t>
  </si>
  <si>
    <t>U15200501037</t>
  </si>
  <si>
    <t>U15200501038</t>
  </si>
  <si>
    <t>U15201000615</t>
  </si>
  <si>
    <t>FUENTE DE PODER Y/O ALIMENTACION - FUENTE DE ALIMENTACIÓN DE 3 CANALES INDEPENDIENTES, 2 DE 0- 32V/0-3A, 1 CANAL FIJO DE 5V/5A ¿ MODELO GPE 3323 ¿ MARCA INSTEK 2 AÑOS DE GARANTÍA</t>
  </si>
  <si>
    <t>U15201000616</t>
  </si>
  <si>
    <t>U15201000617</t>
  </si>
  <si>
    <t>U15201000900</t>
  </si>
  <si>
    <t>FUENTE DE PODER Y/O ALIMENTACION - DC LINEAL, DOS CANALES (0-32V)/(0-3A) Y CANAL FIJO 5V, 5A, FUNCION DUAL, MODEL GPE-3323 MARCA INSTEK</t>
  </si>
  <si>
    <t>U15201000901</t>
  </si>
  <si>
    <t>U15201000902</t>
  </si>
  <si>
    <t>U15201000903</t>
  </si>
  <si>
    <t>U15201000904</t>
  </si>
  <si>
    <t>U15201001075</t>
  </si>
  <si>
    <t>FUENTE DE PODER Y/O ALIMENTACION - MODELO:9130B FUENTE DE PODER DC PROGRAMABLE DE TRES CANALES, 0-30V/0-3A (CH1 &amp; CH2), 0-5V/0-3A (CH3), 195W. MARCA: BK PRESICION)</t>
  </si>
  <si>
    <t>U15201001076</t>
  </si>
  <si>
    <t>U15201001077</t>
  </si>
  <si>
    <t>U15201001078</t>
  </si>
  <si>
    <t>U15201001207</t>
  </si>
  <si>
    <t>U15201001208</t>
  </si>
  <si>
    <t>U15201001299</t>
  </si>
  <si>
    <t>FUENTE DE PODER Y/O ALIMENTACION - FUENTE REGULADA VARIABLE: TRES CANALES, CANAL 1 Y 2 0-32V/5A, CANAL 3: 0-5 V/3A,VOLTIOS Y AMPERIOS. POTENCIA MÁXIMA 335 WATIOS, SERIAL Y PARALELO, PANTALLA 4". REF: UTP3305-II</t>
  </si>
  <si>
    <t>U15201001303</t>
  </si>
  <si>
    <t>U15201001304</t>
  </si>
  <si>
    <t>U15200500985</t>
  </si>
  <si>
    <t>GENERADOR DE FUNCIONES</t>
  </si>
  <si>
    <t>MAQUINARIA Y EQUIPO GENERADOR DE FUNCIONES MARCA GWINSTEK REF.AFG 2025 . PROVEEDOR:890704382 UNIVERSIDAD DE IBAGUE</t>
  </si>
  <si>
    <t>U15200500986</t>
  </si>
  <si>
    <t>U15200500987</t>
  </si>
  <si>
    <t>U15200500988</t>
  </si>
  <si>
    <t>U15200500989</t>
  </si>
  <si>
    <t>U15200500990</t>
  </si>
  <si>
    <t>MAQUINARIA Y EQUIPO GENERADOR DE FUNCIONES MARCA GWINSTEK REF.AFG 2012. PROVEEDOR:890704382 UNIVERSIDAD DE IBAGUE</t>
  </si>
  <si>
    <t>U15200500991</t>
  </si>
  <si>
    <t>U15200500992</t>
  </si>
  <si>
    <t>U15200500995</t>
  </si>
  <si>
    <t>MAQUINARIA Y EQUIPO GENERADOR DE FUNCIONES MARCA AGILET REF.120A. PROVEEDOR:890704382 UNIVERSIDAD DE IBAGUE</t>
  </si>
  <si>
    <t>U15200500998</t>
  </si>
  <si>
    <t>MAQUINARIA Y EQUIPO GENERADOR DE FUNCIONES MARCA HP REF.120A. PROVEEDOR:890704382 UNIVERSIDAD DE IBAGUE</t>
  </si>
  <si>
    <t>U15200501000</t>
  </si>
  <si>
    <t>MAQUINARIA Y EQUIPO GENERADOR DE FUNCIONES MARCA GWINSTEK FEF G25 . PROVEEDOR:890704382 UNIVERSIDAD DE IBAGUE</t>
  </si>
  <si>
    <t>U15200501307</t>
  </si>
  <si>
    <t>FUENTE DE VOLTAJE</t>
  </si>
  <si>
    <t>U15201000665</t>
  </si>
  <si>
    <t>GENERADOR - GENERADOR DE FUNCIONES MODELO: AFG-2225 CARACTERÍSTICAS AMPLIO RANGO DE FRECUENCIAS DESDE 1 µHZ HASTA 25 MHZ (ONDA SINUSOIDAL/CUADRADA) RESOLUCIÓN DE 1 µHZ EN RANGO COMPLETO FORMA DE ONDA ARBITRARIA INTEGRADA ESTÁNDAR DE 120 MSA/S, 10 BITS Y 4 K PUNTOS PARA AMBOS CANALES SALIDA DE DOBLE CANAL REAL, CH2 PROPORCIONA LAS MISMAS CARACTERÍSTICAS QUE CH1 SE ADMITEN OPERACIONES DE ACOPLAMIENTO, SEGUIMIENTO Y FASE DE CANAL DUAL CICLO DE TRABAJO AJUSTABLE DE 1 % ~ 99 % PARA FORMA DE ONDA CUADRADA PANTALLA LCD TFT A COLOR DE ALTA RESOLUCIÓN CON INTERFAZ DE USUARIO AMIGABLE MÚLTIPLES MÉTODOS DE EDICIÓN PARA EDITAR FÁCILMENTE FORMAS DE ONDA ARBITRARIAS CONTADOR DE FRECUENCIA Y AM/FM/PM/FSK/SUM/SWEEP/BURST ESTÁNDAR INCORPORADO INTERFAZ DE DISPOSITIVO/HOST USB PARA CONTROL REMOTO Y EDICIÓN DE FORMAS DE ONDA</t>
  </si>
  <si>
    <t>U15201000666</t>
  </si>
  <si>
    <t>U15201000667</t>
  </si>
  <si>
    <t>U15201000890</t>
  </si>
  <si>
    <t>GENERADOR - DE FUNCIONES ARBITRARIO, RQANGO DE FRECUENCIA 12 MHZ, RESOLUCION 0.1 HZ, MODEL AFG2012 MARCA INSTEK</t>
  </si>
  <si>
    <t>U15201000891</t>
  </si>
  <si>
    <t>U15201000892</t>
  </si>
  <si>
    <t>U15201000893</t>
  </si>
  <si>
    <t>U15201000894</t>
  </si>
  <si>
    <t>U15201001003</t>
  </si>
  <si>
    <t>GENERADOR - MODELO: AFG-2012 GENERADOR DE FUNCIONES ARBITRARIO, RANGO DE FRECUENCIA 12MHZ, REOLUCIÓN 0.1HZ. GARANTIA 2 AÑOS MARCA: INSTEK</t>
  </si>
  <si>
    <t>U15201001004</t>
  </si>
  <si>
    <t>U15201001005</t>
  </si>
  <si>
    <t>U15201001006</t>
  </si>
  <si>
    <t>U15201001007</t>
  </si>
  <si>
    <t>U15201001219</t>
  </si>
  <si>
    <t>GENERADOR - GENERADOR DE FUNCIONES 2 CANALES, ANCHO DE BANDA DE 25MHZ, RESOLUCIÓN 1¿HZ. ¿ MODELO AFG2225 ¿ MARCA INSTEK 2 AÑOS DE GARANTÍA</t>
  </si>
  <si>
    <t>U15201001220</t>
  </si>
  <si>
    <t>U15201001221</t>
  </si>
  <si>
    <t>U15201001222</t>
  </si>
  <si>
    <t>U15201001223</t>
  </si>
  <si>
    <t>U15201000831</t>
  </si>
  <si>
    <t>GENERADOR - DE SEÑAL RF, RANGO 10 MHZ A 1 GHZ, INTERFACE RS232 Y GPIB MARTA AIM TTI, MODEL TGR1040GP</t>
  </si>
  <si>
    <t>U15201000832</t>
  </si>
  <si>
    <t>U15200501098</t>
  </si>
  <si>
    <t>LCR</t>
  </si>
  <si>
    <t>MAQUINARIA Y EQUIPO LCR MARCA BK PRESICION MODELO 891. PROVEEDOR:890704382 UNIVERSIDAD DE IBAGUE</t>
  </si>
  <si>
    <t>U15200501099</t>
  </si>
  <si>
    <t>MAQUINARIA Y EQUIPO LCR MARCA BK HP MODELO 4263D. PROVEEDOR:890704382 UNIVERSIDAD DE IBAGUE</t>
  </si>
  <si>
    <t>U15200501100</t>
  </si>
  <si>
    <t>U15200501101</t>
  </si>
  <si>
    <t>U15200501102</t>
  </si>
  <si>
    <t>U15200501017</t>
  </si>
  <si>
    <t>MEDIDOR ALTA RESISTENCIA</t>
  </si>
  <si>
    <t>MAQUINARIA Y EQUIPO MEDIDOR DE ALTA RESISTENCIA REF 434910. PROVEEDOR:890704382 UNIVERSIDAD DE IBAGUE</t>
  </si>
  <si>
    <t>U15200501018</t>
  </si>
  <si>
    <t>U15200501051</t>
  </si>
  <si>
    <t>MEDIDOR DE ANTENA</t>
  </si>
  <si>
    <t>MAQUINARIA Y EQUIPO MEDIDOR DE ANTENA. PROVEEDOR:890704382 UNIVERSIDAD DE IBAGUE</t>
  </si>
  <si>
    <t>U15200501084</t>
  </si>
  <si>
    <t>MEDIDOR DE RPM</t>
  </si>
  <si>
    <t>MAQUINARIA Y EQUIPO MEDIDOR DE RPM. PROVEEDOR:890704382 UNIVERSIDAD DE IBAGUE</t>
  </si>
  <si>
    <t>U15200501085</t>
  </si>
  <si>
    <t>U15200501086</t>
  </si>
  <si>
    <t>U15200501087</t>
  </si>
  <si>
    <t>U15200500933</t>
  </si>
  <si>
    <t>MAQUINARIA Y EQUIPO MULTIMETRO . PROVEEDOR:890704382 UNIVERSIDAD DE IBAGUE</t>
  </si>
  <si>
    <t>U15200500934</t>
  </si>
  <si>
    <t>U15200500935</t>
  </si>
  <si>
    <t>U15200500936</t>
  </si>
  <si>
    <t>U15200500937</t>
  </si>
  <si>
    <t>U15200501016</t>
  </si>
  <si>
    <t>MAQUINARIA Y EQUIPO MULTIMETRO DIGITAL REF 34401A . PROVEEDOR:890704382 UNIVERSIDAD DE IBAGUE</t>
  </si>
  <si>
    <t>U15200501108</t>
  </si>
  <si>
    <t>MAQUINARIA Y EQUIPO MULTIMETRO DIGITAL REF 34401A MARCA AGINET . PROVEEDOR:890704382 UNIVERSIDAD DE IBAGUE</t>
  </si>
  <si>
    <t>U15200501109</t>
  </si>
  <si>
    <t>U15200501110</t>
  </si>
  <si>
    <t>U15200501111</t>
  </si>
  <si>
    <t>MAQUINARIA Y EQUIPO MULTIMETRO DIGITAL REF 34401A MARCA HP . PROVEEDOR:890704382 UNIVERSIDAD DE IBAGUE</t>
  </si>
  <si>
    <t>U15200501112</t>
  </si>
  <si>
    <t>U15201001009</t>
  </si>
  <si>
    <t>MULTIMETRO - MODELO: GDM-398 MULTIMETRO DIGITAL, VOLTAJE DC 1000V, VOLTAJE AC 750, CORRIENTE DC/AC 10A, CON MEDICIÓN DE DIODO, CONTINUIDAD, CICLO UTIL, BETA TRANSISTOR, RETENCIÓN DE DATOS, AUTORANGO, GARANTÍA 1 AÑO MARCA: INSTEK</t>
  </si>
  <si>
    <t>U15201001010</t>
  </si>
  <si>
    <t>U15201001011</t>
  </si>
  <si>
    <t>U15201001012</t>
  </si>
  <si>
    <t>U15201001013</t>
  </si>
  <si>
    <t>U15201001014</t>
  </si>
  <si>
    <t>U15201001017</t>
  </si>
  <si>
    <t>U15201001018</t>
  </si>
  <si>
    <t>U15201001019</t>
  </si>
  <si>
    <t>U15201001020</t>
  </si>
  <si>
    <t>U15200501106</t>
  </si>
  <si>
    <t>NANOVOLTIMETRO</t>
  </si>
  <si>
    <t>MAQUINARIA Y EQUIPO NANOVOLTIMETRO MARCA HP MODELO 34420A. PROVEEDOR:890704382 UNIVERSIDAD DE IBAGUE</t>
  </si>
  <si>
    <t>U15200501107</t>
  </si>
  <si>
    <t>U15200500967</t>
  </si>
  <si>
    <t>MAQUINARIA Y EQUIPO OSCILOSCOPIO DIGITAL MARCA ERASMO REF. ED200. PROVEEDOR:890704382 UNIVERSIDAD DE IBAGUE</t>
  </si>
  <si>
    <t>U15200500968</t>
  </si>
  <si>
    <t>U15200500969</t>
  </si>
  <si>
    <t>U15200500970</t>
  </si>
  <si>
    <t>U15200500974</t>
  </si>
  <si>
    <t>MAQUINARIA Y EQUIPO OSCILOSCOPIO DIGITAL MARCA HP REF. 54620. PROVEEDOR:890704382 UNIVERSIDAD DE IBAGUE</t>
  </si>
  <si>
    <t>U15200500978</t>
  </si>
  <si>
    <t>MAQUINARIA Y EQUIPO OSCILOSCOPIO DIGITAL MARCA HP REF. 54610B. PROVEEDOR:890704382 UNIVERSIDAD DE IBAGUE</t>
  </si>
  <si>
    <t>U15200501019</t>
  </si>
  <si>
    <t>MAQUINARIA Y EQUIPO OSCILOSCOPIO DIGITAL MARCA BECAP REF. 2540B. PROVEEDOR:890704382 UNIVERSIDAD DE IBAGUE</t>
  </si>
  <si>
    <t>U15200501020</t>
  </si>
  <si>
    <t>U15200501021</t>
  </si>
  <si>
    <t>MAQUINARIA Y EQUIPO OSCILOSCOPIO DIGITAL MARCA BECAP REF. 2542B. PROVEEDOR:890704382 UNIVERSIDAD DE IBAGUE</t>
  </si>
  <si>
    <t>U15200501022</t>
  </si>
  <si>
    <t>MAQUINARIA Y EQUIPO OSCILOSCOPIO DIGITAL MARCA BECAP REF. 2542B. PROVEEDOR:830037278 NUEVA ERA SOLUCIONES SAS</t>
  </si>
  <si>
    <t>U15200501023</t>
  </si>
  <si>
    <t>U15200501025</t>
  </si>
  <si>
    <t>MAQUINARIA Y EQUIPO OSCILOSCOPIO DIGITAL MARCA GWINSETK REF. GCDS1102A. PROVEEDOR:890704382 UNIVERSIDAD DE IBAGUE</t>
  </si>
  <si>
    <t>U15200501026</t>
  </si>
  <si>
    <t>U15201000895</t>
  </si>
  <si>
    <t>OSCILOSCOPIO - DE 2 CANALES ANCHO DE BANDA 100 MHZM MODEL GDS1102AU MARCA INSTEK</t>
  </si>
  <si>
    <t>U15201000896</t>
  </si>
  <si>
    <t>U15201000897</t>
  </si>
  <si>
    <t>U15201000898</t>
  </si>
  <si>
    <t>U15201000899</t>
  </si>
  <si>
    <t>U15201001214</t>
  </si>
  <si>
    <t>OSCILOSCOPIO - OSCILOSCOPIO DIGITAL, 2 CANALES, ANCHO DE BANDA 100MHZ, FRECUENCIA DE MUESTREO 1GS/S. - 3 AÑOS DE GARANTÍA MODELO GDS1102B</t>
  </si>
  <si>
    <t>U15201001215</t>
  </si>
  <si>
    <t>U15201001216</t>
  </si>
  <si>
    <t>U15201001217</t>
  </si>
  <si>
    <t>U15201001218</t>
  </si>
  <si>
    <t>U15201001300</t>
  </si>
  <si>
    <t>OSCILOSCOPIO - 200MHZ ANCHO DE BANDA, *2 CANALES, *PANTALLA 7" TFT LCD, WVGA (800 X 480) *TIEMPO DE SUBIDA = 1,7 NS*SENSIBILIDAD VERTICAL 1MV 20V/DIV ~, *LONGITUD DEL REGISTRO(MAX) 2 X 512K*FRECUENCIA DE MUESTREO: TIEMPO DE 1GS /S, *EXPLORACIÓN DE BASE DE TIEMPO 2NS 50S/DIV ~*TIPO DE DISPARADOR: EDGE, PULSO, VIDEO ALTERNO Y SUPLENTE, *MEDICIONES AUTOMÁTICAS DE FORMA DE ONDA: 34, PUERTOS ESTÁNDAR, EL DISPOSITIVO USB,HOST USB, PASS/FAIL.*MATEMÁTICAS: SUMAR, RESTAR, MULTIPLICAR, DIVIDIR, FFT,APLICACIONES FACULTAD DE EDUCACIÓN. REF UTD-2202CEX+</t>
  </si>
  <si>
    <t>U15201001301</t>
  </si>
  <si>
    <t>U15201001302</t>
  </si>
  <si>
    <t>U15201001130</t>
  </si>
  <si>
    <t>PINZA DE CORRIENTE</t>
  </si>
  <si>
    <t>PINZAS DE CORRIENTE</t>
  </si>
  <si>
    <t>U15200501114</t>
  </si>
  <si>
    <t>MAQUINARIA Y EQUIPO PINZAS VOLTIAMPERIMETRICAS MARCA UNI-T. PROVEEDOR:890704382 UNIVERSIDAD DE IBAGUE</t>
  </si>
  <si>
    <t>U15200501115</t>
  </si>
  <si>
    <t>U15201001112</t>
  </si>
  <si>
    <t>PINZAS VOLTIAMPERICA 300V MARCA FLUKE</t>
  </si>
  <si>
    <t>U15201001113</t>
  </si>
  <si>
    <t>U15201001114</t>
  </si>
  <si>
    <t>PINZAS VOLTIAMPERICA</t>
  </si>
  <si>
    <t>U15200501039</t>
  </si>
  <si>
    <t>PLC</t>
  </si>
  <si>
    <t>MAQUINARIA Y EQUIPO PLC MARCA ZELIO LOGIC . PROVEEDOR:890704382 UNIVERSIDAD DE IBAGUE</t>
  </si>
  <si>
    <t>U15200501040</t>
  </si>
  <si>
    <t>U15200501041</t>
  </si>
  <si>
    <t>U15200501042</t>
  </si>
  <si>
    <t>U15200501044</t>
  </si>
  <si>
    <t>U15201001044</t>
  </si>
  <si>
    <t>MODULO DE RELE - MODULO RELE INTELIGENTE PARA SCHNEIDER PLC CON PANEL LCD DE RELOG</t>
  </si>
  <si>
    <t>U15200501049</t>
  </si>
  <si>
    <t>PROGRAMADOR PIC</t>
  </si>
  <si>
    <t>MAQUINARIA Y EQUIPO PROGRAMADOR DE PIC MODELO 844QSV MARCA BK PRECISION. PROVEEDOR:890704382 UNIVERSIDAD DE IBAGUE</t>
  </si>
  <si>
    <t>U15200501063</t>
  </si>
  <si>
    <t>PYD</t>
  </si>
  <si>
    <t>MAQUINARIA Y EQUIPO PYD MARCA NEWPORT MODELO ICN 77353. PROVEEDOR:890704382 UNIVERSIDAD DE IBAGUE</t>
  </si>
  <si>
    <t>U15200501064</t>
  </si>
  <si>
    <t>U15200501065</t>
  </si>
  <si>
    <t>U15200501070</t>
  </si>
  <si>
    <t>RACTIMETRO</t>
  </si>
  <si>
    <t>MAQUINARIA Y EQUIPO RACTIMETRO MARCA NEWPORT . PROVEEDOR:890704382 UNIVERSIDAD DE IBAGUE</t>
  </si>
  <si>
    <t>U15200501071</t>
  </si>
  <si>
    <t>U15200501072</t>
  </si>
  <si>
    <t>U15200500963</t>
  </si>
  <si>
    <t>SENSOR DE POTENCIA</t>
  </si>
  <si>
    <t>MAQUINARIA Y EQUIPO SENSORES DE POTENCIA MODELO 8481 -H. PROVEEDOR:890704382 UNIVERSIDAD DE IBAGUE</t>
  </si>
  <si>
    <t>U15200500964</t>
  </si>
  <si>
    <t>U15200500965</t>
  </si>
  <si>
    <t>MAQUINARIA Y EQUIPO SENSORES DE POTENCIA MODELO 8482 - H. PROVEEDOR:890704382 UNIVERSIDAD DE IBAGUE</t>
  </si>
  <si>
    <t>U15200500966</t>
  </si>
  <si>
    <t>U15200501077</t>
  </si>
  <si>
    <t>SENSOR HUMEDAD RELATIVA</t>
  </si>
  <si>
    <t>MAQUINARIA Y EQUIPO SENSOR DE HUMEDAD MARCA MEISIN. PROVEEDOR:890704382 UNIVERSIDAD DE IBAGUE</t>
  </si>
  <si>
    <t>U15200501078</t>
  </si>
  <si>
    <t>MAQUINARIA Y EQUIPO REVELADOR DE HUMEDAD RELATIVA MARCA MAYCIN. PROVEEDOR:890704382 UNIVERSIDAD DE IBAGUE</t>
  </si>
  <si>
    <t>U15200501079</t>
  </si>
  <si>
    <t>U15200501080</t>
  </si>
  <si>
    <t>U15200501081</t>
  </si>
  <si>
    <t>U15200501082</t>
  </si>
  <si>
    <t>U15200501083</t>
  </si>
  <si>
    <t>U15201001081</t>
  </si>
  <si>
    <t>SONOMETRO</t>
  </si>
  <si>
    <t>U15200501073</t>
  </si>
  <si>
    <t>TERMOMETRO</t>
  </si>
  <si>
    <t>MAQUINARIA Y EQUIPO TERMOMETRO INFRAROJO MARCA NEWPORT MODELO OS-520. PROVEEDOR:890704382 UNIVERSIDAD DE IBAGUE</t>
  </si>
  <si>
    <t>U15200501074</t>
  </si>
  <si>
    <t>U15200501075</t>
  </si>
  <si>
    <t>U15200501076</t>
  </si>
  <si>
    <t>U15200501088</t>
  </si>
  <si>
    <t>MAQUINARIA Y EQUIPO TERMOMETRO DIGITAL. PROVEEDOR:890704382 UNIVERSIDAD DE IBAGUE</t>
  </si>
  <si>
    <t>U15200501089</t>
  </si>
  <si>
    <t>MAQUINARIA Y EQUIPO TERMOMETRO . PROVEEDOR:890704382 UNIVERSIDAD DE IBAGUE</t>
  </si>
  <si>
    <t>U15200501090</t>
  </si>
  <si>
    <t>U15200501091</t>
  </si>
  <si>
    <t>U15200501092</t>
  </si>
  <si>
    <t>U15200501093</t>
  </si>
  <si>
    <t>U15200501066</t>
  </si>
  <si>
    <t>TRANSMISOR DE PH</t>
  </si>
  <si>
    <t>MAQUINARIA Y EQUIPO MINI TRASMISOR DE PH MARCA NEWPORT MODELO PHTM-1. PROVEEDOR:890704382 UNIVERSIDAD DE IBAGUE</t>
  </si>
  <si>
    <t>U15200501067</t>
  </si>
  <si>
    <t>U15200501068</t>
  </si>
  <si>
    <t>U15200501069</t>
  </si>
  <si>
    <t>U15201000996</t>
  </si>
  <si>
    <t>VARIAC</t>
  </si>
  <si>
    <t>TRANSFORMADOR - VARIABLE TRANFORMER 140V 10A</t>
  </si>
  <si>
    <t>U15201000997</t>
  </si>
  <si>
    <t>U15201001072</t>
  </si>
  <si>
    <t>TRANSFORMADOR - TRANSFORMADOR VARIABLE 140V 10A MARCA: STACO MODELO: 3PN1010B - TIPO DE SALIDA: RECEPTÁCULO. VOLTAGE DE SALIDA: 140VAC SUMINISTRO DE VOLTAGE: 120VAC TIPO DE ENTRADA: ENCHUFE, CABLE DE 1.8 M CARGA MÁXIMA DE CORRIENTE CONSTANTE: 10A (1.4KVA) TAMAÑO: 176.78MM X 117.35MM X 139.70MM</t>
  </si>
  <si>
    <t>U15201001073</t>
  </si>
  <si>
    <t>U15200500960</t>
  </si>
  <si>
    <t>VARIADOR</t>
  </si>
  <si>
    <t>MAQUINARIA Y EQUIPO VARIADOR DE VELOCIDAD . PROVEEDOR:890704382 UNIVERSIDAD DE IBAGUE</t>
  </si>
  <si>
    <t>U15200500961</t>
  </si>
  <si>
    <t>U15200500962</t>
  </si>
  <si>
    <t>U15200501058</t>
  </si>
  <si>
    <t>MAQUINARIA Y EQUIPO VARIADOR DE VELOCIDAD MARCA YASKAWA. PROVEEDOR:890704382 UNIVERSIDAD DE IBAGUE</t>
  </si>
  <si>
    <t>U15200501050</t>
  </si>
  <si>
    <t>VATIMETRO</t>
  </si>
  <si>
    <t>MAQUINARIA Y EQUIPO VATIMETRO MARCA THRULINE MODELO 4412A . PROVEEDOR:890704382 UNIVERSIDAD DE IBAGUE</t>
  </si>
  <si>
    <t>U15200500862</t>
  </si>
  <si>
    <t>CARGA ELECTRONICA</t>
  </si>
  <si>
    <t>MAQUINARIA Y EQUIPO CARGADOR PROGRAMABLE AC . PROVEEDOR:890704382 UNIVERSIDAD DE IBAGUE</t>
  </si>
  <si>
    <t>Lab. Investiación 1</t>
  </si>
  <si>
    <t>U15201001028</t>
  </si>
  <si>
    <t>CARGA ELECTRONICA AC PROGRAMABLE</t>
  </si>
  <si>
    <t>U15201001029</t>
  </si>
  <si>
    <t>U15201001030</t>
  </si>
  <si>
    <t>U15200500874</t>
  </si>
  <si>
    <t>CARGA PROGRAMABLE</t>
  </si>
  <si>
    <t>MAQUINARIA Y EQUIPO CARGADOR PROGRAMABLE . PROVEEDOR:890704382 UNIVERSIDAD DE IBAGUE</t>
  </si>
  <si>
    <t>U15201000809</t>
  </si>
  <si>
    <t>ESTACION DE SOLDADURA - DESOL 110V-700W</t>
  </si>
  <si>
    <t>U15200500864</t>
  </si>
  <si>
    <t>FUENTE AC</t>
  </si>
  <si>
    <t>MAQUINARIA Y EQUIPO FUENTE AC. PROVEEDOR:890704382 UNIVERSIDAD DE IBAGUE</t>
  </si>
  <si>
    <t>U15200500877</t>
  </si>
  <si>
    <t>FUENTE DC PROGRAMABLE</t>
  </si>
  <si>
    <t>MAQUINARIA Y EQUIPO FUENTE DE C PROGRAMABLE . PROVEEDOR:890704382 UNIVERSIDAD DE IBAGUE</t>
  </si>
  <si>
    <t>U15200500863</t>
  </si>
  <si>
    <t>MAQUINARIA Y EQUIPO FUENTE DE POTENCIA . PROVEEDOR:890704382 UNIVERSIDAD DE IBAGUE</t>
  </si>
  <si>
    <t>U15200500865</t>
  </si>
  <si>
    <t>MAQUINARIA Y EQUIPO FUENTE DE PODER. PROVEEDOR:890704382 UNIVERSIDAD DE IBAGUE</t>
  </si>
  <si>
    <t>U15200500868</t>
  </si>
  <si>
    <t>MAQUINARIA Y EQUIPO FUENTE DE PODER . PROVEEDOR:890704382 UNIVERSIDAD DE IBAGUE</t>
  </si>
  <si>
    <t>U15200501309</t>
  </si>
  <si>
    <t>U15200500875</t>
  </si>
  <si>
    <t>FUENTE PROGRAMABLE</t>
  </si>
  <si>
    <t>U15200500876</t>
  </si>
  <si>
    <t>U15200501308</t>
  </si>
  <si>
    <t>MAQUINARIA Y EQUIPO GENERADOR . PROVEEDOR:890704382 UNIVERSIDAD DE IBAGUE</t>
  </si>
  <si>
    <t>U15200500136</t>
  </si>
  <si>
    <t>MAQUINARIA Y EQUIPO MULTIMETRO MARCA UNI-T COLOR NEGRO Y ROJO MODELO UT39C. PROVEEDOR:890704382 UNIVERSIDAD DE IBAGUE</t>
  </si>
  <si>
    <t>U15201000731</t>
  </si>
  <si>
    <t>MULTIMETRO - DIGITAL FLUKE DE PRECISÓN</t>
  </si>
  <si>
    <t>U15200501310</t>
  </si>
  <si>
    <t>MAQUINARIA Y EQUIPO OSCILOSCOPIO DIGITAL . PROVEEDOR:890704382 UNIVERSIDAD DE IBAGUE</t>
  </si>
  <si>
    <t>U15200501311</t>
  </si>
  <si>
    <t>U15201000456</t>
  </si>
  <si>
    <t>EQUIPO LABORATORIO OSCILOSCOPIO DIGITAL GROTTEN. PROVEEDOR:890704382 UNIVERSIDAD DE IBAGUE</t>
  </si>
  <si>
    <t>U15201000457</t>
  </si>
  <si>
    <t>EQUIPO LABORATORIO OSCILOSCOPIO DIGITAL . PROVEEDOR:890704382 UNIVERSIDAD DE IBAGUE</t>
  </si>
  <si>
    <t>U15201000458</t>
  </si>
  <si>
    <t>U15201000727</t>
  </si>
  <si>
    <t>OSCILOSCOPIO - OSCILOSCOPIO DIGITAL CON ¿CARACTERÍSTICAS 4 CANALES</t>
  </si>
  <si>
    <t>U15201000728</t>
  </si>
  <si>
    <t>U15200500867</t>
  </si>
  <si>
    <t>PINZA AISLADA</t>
  </si>
  <si>
    <t>MAQUINARIA Y EQUIPO PINZA AISLADA DE CORRIENTE . PROVEEDOR:890704382 UNIVERSIDAD DE IBAGUE</t>
  </si>
  <si>
    <t>U15200500872</t>
  </si>
  <si>
    <t>PROBADOR DE CORRIENTE</t>
  </si>
  <si>
    <t>MAQUINARIA Y EQUIPO PUNTA DE CORRIENTE . PROVEEDOR:890704382 UNIVERSIDAD DE IBAGUE</t>
  </si>
  <si>
    <t>U15200500883</t>
  </si>
  <si>
    <t>MAQUINARIA Y EQUIPO PUNTA MEDIDOR DE CORRIENTE . PROVEEDOR:890704382 UNIVERSIDAD DE IBAGUE</t>
  </si>
  <si>
    <t>U15200500878</t>
  </si>
  <si>
    <t>REOSTATO</t>
  </si>
  <si>
    <t>MAQUINARIA Y EQUIPO RESISTENCIA VARIABLE . PROVEEDOR:890704382 UNIVERSIDAD DE IBAGUE</t>
  </si>
  <si>
    <t>U15200500879</t>
  </si>
  <si>
    <t>U15201000726</t>
  </si>
  <si>
    <t>Lab. Investigación 1</t>
  </si>
  <si>
    <t>U15280500908</t>
  </si>
  <si>
    <t>Lab. Investigación 2</t>
  </si>
  <si>
    <t>U15280500909</t>
  </si>
  <si>
    <t>EQUIPOS DE COMPUTO COMPUTADOR DE MESA MARCA DELL MODELO INSPIRON 530. PROVEEDOR:890704382 UNIVERSIDAD DE IBAGUE</t>
  </si>
  <si>
    <t>U15201001244</t>
  </si>
  <si>
    <t>MIROSCOPIO</t>
  </si>
  <si>
    <t>MICROSCOPIO DIGITAL</t>
  </si>
  <si>
    <t>U15201000933</t>
  </si>
  <si>
    <t>ROUTEADORA</t>
  </si>
  <si>
    <t>EQUIPO LABORATORIO - PROTOMAT E34 [10052741] LPKF PROTOMAT E34 PLOTTER DE CIRCUITOS IMPRESOS PARA LA PRODUCCIÓN DE PROTOTIPOS PCB Y PEQUEÑAS SERIES. ÁREA DE TRABAJO: 229X305X5MM. MOTOR:VELOCIDAD MÁXIMA AJUSTABLE DE 10.000 A 30.000 RPM. INCL. LPKF CIRCUIT PRO PM [10033242] SISTEMA DE ASPIRACIÓN LPKF PARA LA PROTOMAT E34 (UNIDAD DE EXTRACCIÓN) [127696] KIT DE ACCESORIOS Y MATERIALES PARA LA PROTOMAT E34 -1/8" PARA USO EN LA TABLA DE SUCCIÓN (VACCUM TABLE) 10 X DRILL UNDERLAY MATERIAL 9"X12", 2 MM (PREDRILLED) 10 X BASE PLATE FR4, 9"X12", 0/35 ¿M, 2 MM (PREDRILLED) 5 X BASE PLATE FR4, 9"X12", 35/35 ¿M (PREDRILLED) 1 X SPECIAL-TAPE 3 X PCB CLEANER 1 X TOOL SET 1/8" SHAFT WITH DISTANCE RINGS (129103)</t>
  </si>
  <si>
    <t>U15280502367</t>
  </si>
  <si>
    <t>EQUIPO DE ESCRITORIO DELL VOSTRO - EQUIPOS MARCA DELL VOSTRO SFF WIN10 PRO 3710BTS/VOSTRO DESKTOPS/12TH GENERATION INTEL® CORE™ I5-12400 (18 MB CACHE, 6 CORES, 12 THREADS, 2.50 GHZ TO 4.40 GHZ TURBO)/ MEMORIA RAM 16 GB, DDR4, 3200 MHZ, DISCO SSD PCIE 512GB, WINDOWS 10 PRO (WINDOWS 11 PRO LICENSE INCLUDED), ENGLISH, FRENCH, SPANISH INTEL® UHD GRAPHICS 730NA802.11AC 1X1 WIFI AND BLUETOOTH DELL WIRED KEYBOARD-KB216 BLACK (LATIN AMERICA) DELL OPTICAL MOUSE - MS116 (BLACK) MONITOR DELL 18,5" RESOLUCION 1600 X 900 PUERTOS 1X VGA NO OPTICAL DRIVE180W PSU WITH TPM L61 YEAR HARDWARE SERVICE WITH ONSITE; WINDOWS 10; GARANTIA 1 AÑO</t>
  </si>
  <si>
    <t>Lab. Software Espec. L6</t>
  </si>
  <si>
    <t>U15280502370</t>
  </si>
  <si>
    <t>U15280502371</t>
  </si>
  <si>
    <t>U15280502374</t>
  </si>
  <si>
    <t>EQUIPOS DE COMPUTO DELL - EQUIPOS MARCA DELL VOSTRO SFF WIN10 PRO 3710BTS/VOSTRO DESKTOPS/12TH GENERATION INTEL® CORE™ I5-12400 (18 MB CACHE, 6 CORES, 12 THREADS, 2.50 GHZ TO 4.40 GHZ TURBO)/ MEMORIA RAM 16 GB, DDR4, 3200 MHZ, DISCO SSD PCIE 512GB, WINDOWS 10 PRO (WINDOWS 11 PRO LICENSE INCLUDED), ENGLISH, FRENCH, SPANISH INTEL® UHD GRAPHICS 730NA802.11AC 1X1 WIFI AND BLUETOOTH DELL WIRED KEYBOARD-KB216 BLACK (LATIN AMERICA) DELL OPTICAL MOUSE - MS116 (BLACK) MONITOR DELL 18,5" RESOLUCION 1600 X 900 PUERTOS 1X VGA NO OPTICAL DRIVE180W PSU WITH TPM L61 YEAR HARDWARE SERVICE WITH ONSITE; WINDOWS 10; GARANTIA 1 AÑO</t>
  </si>
  <si>
    <t>U15280502375</t>
  </si>
  <si>
    <t>U15280502488</t>
  </si>
  <si>
    <t>EQUIPOS DE COMPUTO DELL - PC DELL, PROCESADOR INTEL CORE I7 14700 VPRO MEM RAM16 GB DDR DD SSD TIPO M.2 DE 512 GB PANTALLA DELL 24"" FHD HDMI DISPLAY PORT (NO TOUCH) TARJETA DE GRÁFICOS NO DEDICADA WINDOWS 11 PROFESIONAL PUERTOS HDMI, ETHERNET, USB TIPO C, JACK 3.5 MM PARA SONIDO, WIFI 7 + BLUETOOTH GARANTÍA 3 AÑOS</t>
  </si>
  <si>
    <t>U15280502489</t>
  </si>
  <si>
    <t>U15280502490</t>
  </si>
  <si>
    <t>U15280502491</t>
  </si>
  <si>
    <t>U15280502492</t>
  </si>
  <si>
    <t>U15280502493</t>
  </si>
  <si>
    <t>U15280502494</t>
  </si>
  <si>
    <t>U15280502495</t>
  </si>
  <si>
    <t>U15280502496</t>
  </si>
  <si>
    <t>U15280502497</t>
  </si>
  <si>
    <t>U15200500739</t>
  </si>
  <si>
    <t>AMPLIFICADOR DE SEÑAL</t>
  </si>
  <si>
    <t>MAQUINARIA Y EQUIPO AMPLIFICADOR L860 MACOM. PROVEEDOR:890704382 UNIVERSIDAD DE IBAGUE</t>
  </si>
  <si>
    <t>Lab. Telecomunicaciones</t>
  </si>
  <si>
    <t>U15200501117</t>
  </si>
  <si>
    <t>MAQUINARIA Y EQUIPO ANALIZADORES DE ESPECTROS MARCA AGILET MODELO E4403B. PROVEEDOR:890704382 UNIVERSIDAD DE IBAGUE</t>
  </si>
  <si>
    <t>U15200501118</t>
  </si>
  <si>
    <t>MAQUINARIA Y EQUIPO ANALIZADORES DE ESPECTROS MARCA HP HEWLWTT MODELO L15200A. PROVEEDOR:890704382 UNIVERSIDAD DE IBAGUE</t>
  </si>
  <si>
    <t>U15200501119</t>
  </si>
  <si>
    <t>MAQUINARIA Y EQUIPO ANALIZADOR DE ESPECTRO MARCA HP MODELO 8711B. PROVEEDOR:890704382 UNIVERSIDAD DE IBAGUE</t>
  </si>
  <si>
    <t>U15200501120</t>
  </si>
  <si>
    <t>MAQUINARIA Y EQUIPO ANALIZADOR DE ESPECTRO MARCA GWINSTEK MODELO GSP830. PROVEEDOR:890704382 UNIVERSIDAD DE IBAGUE</t>
  </si>
  <si>
    <t>U15200500737</t>
  </si>
  <si>
    <t>DEMODULADOR</t>
  </si>
  <si>
    <t>MAQUINARIA Y EQUIPO DEMODULADOR PFAD900CS PICO MACON. PROVEEDOR:890704382 UNIVERSIDAD DE IBAGUE</t>
  </si>
  <si>
    <t>U15200501030</t>
  </si>
  <si>
    <t>U15200501032</t>
  </si>
  <si>
    <t>U15200501035</t>
  </si>
  <si>
    <t>U15200500993</t>
  </si>
  <si>
    <t>U15200500996</t>
  </si>
  <si>
    <t>U15200500997</t>
  </si>
  <si>
    <t>U15200501121</t>
  </si>
  <si>
    <t>U15200501123</t>
  </si>
  <si>
    <t>MAQUINARIA Y EQUIPO GENERADOR DE SEÑAL MARCA AGINET MODELO 8648D . PROVEEDOR:890704382 UNIVERSIDAD DE IBAGUE</t>
  </si>
  <si>
    <t>U15200501126</t>
  </si>
  <si>
    <t>MAQUINARIA Y EQUIPO GENERADOR DE SAÑAL MARCA HP MODELO 8647A . PROVEEDOR:890704382 UNIVERSIDAD DE IBAGUE</t>
  </si>
  <si>
    <t>U15200501122</t>
  </si>
  <si>
    <t>U15200500740</t>
  </si>
  <si>
    <t>MEZCLADOR PASIVO DE BANDA</t>
  </si>
  <si>
    <t>MAQUINARIA Y EQUIPO RECEPTOR PHC-12G PICO MACON. PROVEEDOR:890704382 UNIVERSIDAD DE IBAGUE</t>
  </si>
  <si>
    <t>U15200500734</t>
  </si>
  <si>
    <t>MODULADOR</t>
  </si>
  <si>
    <t>MAQUINARIA Y EQUIPO MODULADOR DE AUDIO Y VIDEO PCM55SAW PICO MACON. PROVEEDOR:890704382 UNIVERSIDAD DE IBAGUE</t>
  </si>
  <si>
    <t>U15200500735</t>
  </si>
  <si>
    <t>MAQUINARIA Y EQUIPO MODULADOR DE AUDIO Y VIDEO PCM55 PICO MACON. PROVEEDOR:890704382 UNIVERSIDAD DE IBAGUE</t>
  </si>
  <si>
    <t>U15200500736</t>
  </si>
  <si>
    <t>U15200500971</t>
  </si>
  <si>
    <t>U15200500976</t>
  </si>
  <si>
    <t>U15201000447</t>
  </si>
  <si>
    <t>U15200503415</t>
  </si>
  <si>
    <t>VIDEO PROYECTOR</t>
  </si>
  <si>
    <t>VIDEO PROYECTOR LS610WH-4,OLS6110WH- 4.000 ANSI LUMENS</t>
  </si>
  <si>
    <t>U15201000190</t>
  </si>
  <si>
    <t>BOBINAS DE INDUCCION 56213 DE CAPACIDAD (4).</t>
  </si>
  <si>
    <t>EQUIPO LABORATORIO BOBINAS DE INDUCCION 56213 DE CAPACIDAD (4). PROVEEDOR:890704382 UNIVERSIDAD DE IBAGUE</t>
  </si>
  <si>
    <t>Laboratori Fisica Electricidad y Magnetismo</t>
  </si>
  <si>
    <t>U15201000191</t>
  </si>
  <si>
    <t>BOBINAS DE INDUCCION 56214 DE CAPACIDAD (4).</t>
  </si>
  <si>
    <t>EQUIPO LABORATORIO BOBINAS DE INDUCCION 56214 DE CAPACIDAD (4). PROVEEDOR:890704382 UNIVERSIDAD DE IBAGUE</t>
  </si>
  <si>
    <t>U15201000189</t>
  </si>
  <si>
    <t>BOBINAS DE INDUCCION 56215 DE CAPACIDAD (4).</t>
  </si>
  <si>
    <t>EQUIPO LABORATORIO BOBINAS DE INDUCCION 56215 DE CAPACIDAD (4). PROVEEDOR:890704382 UNIVERSIDAD DE IBAGUE</t>
  </si>
  <si>
    <t>U15200500425</t>
  </si>
  <si>
    <t>CONTADORESELECTRONICOS MARCA ELWE</t>
  </si>
  <si>
    <t>MAQUINARIA Y EQUIPO CONTADORESELECTRONICOS MARCA ELWE . PROVEEDOR:890704382 UNIVERSIDAD DE IBAGUE</t>
  </si>
  <si>
    <t>U15200500426</t>
  </si>
  <si>
    <t>U15200500427</t>
  </si>
  <si>
    <t>U15200500428</t>
  </si>
  <si>
    <t>U15201000187</t>
  </si>
  <si>
    <t>ELECTRICIDAD,ELECTRONICA Y MARNETISMO.</t>
  </si>
  <si>
    <t>EQUIPO LABORATORIO ELECTRICIDAD,ELECTRONICA Y MARNETISMO. PROVEEDOR:890704382 UNIVERSIDAD DE IBAGUE</t>
  </si>
  <si>
    <t>U15201000188</t>
  </si>
  <si>
    <t>U15201000124</t>
  </si>
  <si>
    <t>ELECTRONICA Y MAGNETISMO REF. 5304EQ08.</t>
  </si>
  <si>
    <t>EQUIPO LABORATORIO ELECTRICIDAD, ELECTRONICA Y MAGNETISMO REF. 5304EQ08. PROVEEDOR:890704382 UNIVERSIDAD DE IBAGUE</t>
  </si>
  <si>
    <t>U15200500143</t>
  </si>
  <si>
    <t>EQUIPO GENERADOR DE FRECUENCIA MARCA GWINSTEK MODELO GFG-8255A</t>
  </si>
  <si>
    <t>MAQUINARIA Y EQUIPO GENERADOR DE FRECUENCIA MARCA GWINSTEK MODELO GFG-8255A. PROVEEDOR:890704382 UNIVERSIDAD DE IBAGUE</t>
  </si>
  <si>
    <t>U15200500144</t>
  </si>
  <si>
    <t>U15201000249</t>
  </si>
  <si>
    <t>FOTO CELDA</t>
  </si>
  <si>
    <t>EQUIPO LABORATORIO FOTO CELDA . PROVEEDOR:890704382 UNIVERSIDAD DE IBAGUE</t>
  </si>
  <si>
    <t>U15201000250</t>
  </si>
  <si>
    <t>U15201000254</t>
  </si>
  <si>
    <t>U15201000255</t>
  </si>
  <si>
    <t>U15200500421</t>
  </si>
  <si>
    <t>FUENTE DE ALIMENTACION DE GRAN AMPERAJE MARCA LEYBOLD</t>
  </si>
  <si>
    <t>MAQUINARIA Y EQUIPO FUENTE DE ALIMENTACION DE GRAN AMPERAJE MARCA LEYBOLD. PROVEEDOR:890704382 UNIVERSIDAD DE IBAGUE</t>
  </si>
  <si>
    <t>U15200500422</t>
  </si>
  <si>
    <t>U15200500423</t>
  </si>
  <si>
    <t>U15200500424</t>
  </si>
  <si>
    <t>U15201000130</t>
  </si>
  <si>
    <t>FUENTE DE PODER DE 5 AMPERIOS MARCA PHYSIS</t>
  </si>
  <si>
    <t>EQUIPO LABORATORIO FUENTE DE PODER DE 5 AMPERIOS MARCA PHYSIS . PROVEEDOR:890704382 UNIVERSIDAD DE IBAGUE</t>
  </si>
  <si>
    <t>U15201000131</t>
  </si>
  <si>
    <t>U15201000132</t>
  </si>
  <si>
    <t>U15201000133</t>
  </si>
  <si>
    <t>U15201000185</t>
  </si>
  <si>
    <t>U15201000186</t>
  </si>
  <si>
    <t>U15201000151</t>
  </si>
  <si>
    <t>FUENTE DE PODER UNIVERSAL REGULADA Y AJUSTABLE A.C YC.D 6 AMPERIO</t>
  </si>
  <si>
    <t>EQUIPO LABORATORIO FUENTE DE PODER UNIVERSAL REGULADA Y AJUSTABLE A.C YC.D 6 AMPERIO . PROVEEDOR:890704382 UNIVERSIDAD DE IBAGUE</t>
  </si>
  <si>
    <t>U15201000152</t>
  </si>
  <si>
    <t>U15201000183</t>
  </si>
  <si>
    <t>U15201000184</t>
  </si>
  <si>
    <t>U15201000145</t>
  </si>
  <si>
    <t>GALVANOMETRO MARCA SF MODELO DK-6870.</t>
  </si>
  <si>
    <t>EQUIPO LABORATORIO GALVANOMETRO MARCA SF MODELO DK-6870. PROVEEDOR:890704382 UNIVERSIDAD DE IBAGUE</t>
  </si>
  <si>
    <t>U15201000402</t>
  </si>
  <si>
    <t>GENERADOR DE FRECUENCIA / SEÑAL ESCORT MODELO -2210</t>
  </si>
  <si>
    <t>EQUIPO LABORATORIO GENERADOR DE FRECUENCIA / SEÑAL ESCORT MODELO -2210. PROVEEDOR:890704382 UNIVERSIDAD DE IBAGUE</t>
  </si>
  <si>
    <t>U15201000403</t>
  </si>
  <si>
    <t>GENERADOR DE FRECUENCIA /SEÑAL MARCA WAVETEK</t>
  </si>
  <si>
    <t>EQUIPO LABORATORIO GENERADOR DE FRECUENCIA /SEÑAL MARCA WAVETEK . PROVEEDOR:890704382 UNIVERSIDAD DE IBAGUE. ACTA DE BAJA 001/2023</t>
  </si>
  <si>
    <t>U15201000321</t>
  </si>
  <si>
    <t>GENERADOR DE FRECUENCIA MARCA ELWE MODELO 8533550</t>
  </si>
  <si>
    <t>EQUIPO LABORATORIO GENERADOR DE FRECUENCIA MARCA ELWE MODELO 8533550. PROVEEDOR:890704382 UNIVERSIDAD DE IBAGUE</t>
  </si>
  <si>
    <t>U15201000322</t>
  </si>
  <si>
    <t>U15201000323</t>
  </si>
  <si>
    <t>U15201000324</t>
  </si>
  <si>
    <t>U15201000325</t>
  </si>
  <si>
    <t>GENERADOR DE FRECUENCIA MARCA PASCO MODELO PI-9598</t>
  </si>
  <si>
    <t>EQUIPO LABORATORIO GENERADOR DE FRECUENCIA MARCA PASCO MODELO PI-9598. PROVEEDOR:890704382 UNIVERSIDAD DE IBAGUE</t>
  </si>
  <si>
    <t>U15200500401</t>
  </si>
  <si>
    <t>GENERADOR DE SEÑALES MARCA FEELTECH MODELO FY2100S</t>
  </si>
  <si>
    <t>MAQUINARIA Y EQUIPO GENERADOR DE SEÑALES MARCA FEELTECH MODELO FY2100S. PROVEEDOR:890704382 UNIVERSIDAD DE IBAGUE</t>
  </si>
  <si>
    <t>U15200500402</t>
  </si>
  <si>
    <t>U15200500403</t>
  </si>
  <si>
    <t>U15200500404</t>
  </si>
  <si>
    <t>U15200500405</t>
  </si>
  <si>
    <t>U15200500406</t>
  </si>
  <si>
    <t>MAQUINARIA Y EQUIPO GENERADOR DE SEÑALES MARCA FEELTECH MODELO FY2100S. PROVEEDOR:65751897 NHORA ALBA VILLADA</t>
  </si>
  <si>
    <t>U15200500407</t>
  </si>
  <si>
    <t>U15200500408</t>
  </si>
  <si>
    <t>U15201000167</t>
  </si>
  <si>
    <t>GENERADOR VAN DE GRAFF</t>
  </si>
  <si>
    <t>EQUIPO LABORATORIO GENERADOR VAN DE GRAFF. PROVEEDOR:890704382 UNIVERSIDAD DE IBAGUE</t>
  </si>
  <si>
    <t>U15201000168</t>
  </si>
  <si>
    <t>U15201000192</t>
  </si>
  <si>
    <t>IMANES EN BARRA PARA LAS BOBINAS.</t>
  </si>
  <si>
    <t>EQUIPO LABORATORIO IMANES EN BARRA PARA LAS BOBINAS. PROVEEDOR:890704382 UNIVERSIDAD DE IBAGUE</t>
  </si>
  <si>
    <t>U15201000171</t>
  </si>
  <si>
    <t>JUEGO DE BOBINAS MARCA TAMISUELOS</t>
  </si>
  <si>
    <t>EQUIPO LABORATORIO JUEGO DE BOBINAS MARCA TAMISUELOS . PROVEEDOR:890704382 UNIVERSIDAD DE IBAGUE</t>
  </si>
  <si>
    <t>U15201000172</t>
  </si>
  <si>
    <t>U15201000173</t>
  </si>
  <si>
    <t>U15201000174</t>
  </si>
  <si>
    <t>U15200500160</t>
  </si>
  <si>
    <t>MULTIMETRO DIGITAL MARCA FULKE MODELO 87V</t>
  </si>
  <si>
    <t>MAQUINARIA Y EQUIPO MULTIMETRO DIGITAL MARCA FULKE MODELO 87V. PROVEEDOR:890704382 UNIVERSIDAD DE IBAGUE</t>
  </si>
  <si>
    <t>U15200500161</t>
  </si>
  <si>
    <t>U15200500162</t>
  </si>
  <si>
    <t>U15200500163</t>
  </si>
  <si>
    <t>OSCILOSCOPIO DIGITAL MARCA BK PRECISION MODELO 2542B</t>
  </si>
  <si>
    <t>MAQUINARIA Y EQUIPO OSCILOSCOPIO DIGITAL MARCA BK PRECISION MODELO 2542B. PROVEEDOR:890704382 UNIVERSIDAD DE IBAGUE</t>
  </si>
  <si>
    <t>U15200500164</t>
  </si>
  <si>
    <t>U15200500165</t>
  </si>
  <si>
    <t>U15200500166</t>
  </si>
  <si>
    <t>U15201000128</t>
  </si>
  <si>
    <t>EQUIPO LABORATORIO REOSTATO. PROVEEDOR:890704382 UNIVERSIDAD DE IBAGUE</t>
  </si>
  <si>
    <t>U15201000129</t>
  </si>
  <si>
    <t>U15201000134</t>
  </si>
  <si>
    <t>U15201000146</t>
  </si>
  <si>
    <t>EQUIPO LABORATORIO REOSTATO DE CURSOR DE CURSOR DE 50 OHMIOS. PROVEEDOR:890704382 UNIVERSIDAD DE IBAGUE</t>
  </si>
  <si>
    <t>U15201000147</t>
  </si>
  <si>
    <t>U15201000148</t>
  </si>
  <si>
    <t>U15201000149</t>
  </si>
  <si>
    <t>U15201000150</t>
  </si>
  <si>
    <t>U15201000326</t>
  </si>
  <si>
    <t>TRANSFORMADOR COLOR NEGRO</t>
  </si>
  <si>
    <t>EQUIPO LABORATORIO TRANSFORMADOR COLOR NEGRO . PROVEEDOR:890704382 UNIVERSIDAD DE IBAGUE</t>
  </si>
  <si>
    <t>U15201000327</t>
  </si>
  <si>
    <t>U15201000328</t>
  </si>
  <si>
    <t>U15201000329</t>
  </si>
  <si>
    <t>U15201000619</t>
  </si>
  <si>
    <t>Rotaevaporador</t>
  </si>
  <si>
    <t>ROTAEVAPORADOR - ROTOEVAPORADOR HEI-VAP CORE ¿ MODELO DE ELEVACION MANUAL CON CRISTALERIA VERTICAL ELEVACION MANUAL RANGO DE VELOCIDAD DE ROTACIÓN 10-280 RPM INDICADOR DE VELOCIDAD DE ROTACIÓN PANTALLA LCD DE 3.5 " CAPACIDAD DE CALENTAMIENTO 1.300 W BAÑO DE PROTECCIÓN CONTRA SOBRECALENTAMIENTO CORTE A 5 ° C SOBRE LA TEMPERATURA ESTABLECIDA A TRAVÉS DE PT 1000 POR SEPARADO AJUSTE DE LA TEMPERATURA DEL BAÑO PANTALLA LCD DE 3.5 " CONTROL DE TEMPERATURA DEL BAÑO DE CALEFACCIÓN. ELECTRONICA / DIGITAL MAX. MATRAZ DE EVAPORACIÓN 5 L SUPERFICIE DE CONDENSACIÓN 1,400 CM² CONDENSADOR DE SUPERFICIE CONDENSADORA XL 2,200 CM²</t>
  </si>
  <si>
    <t>Laboratorio Analisís químico</t>
  </si>
  <si>
    <t>U15201001052</t>
  </si>
  <si>
    <t>AUTOCLAVE - H O R I Z O N T A L C A M A R A S E N C I L L A 3 4 L I T R O S , D I Á M E T R O 3 1 8 X P R O F U N D I D A D 4 5 0</t>
  </si>
  <si>
    <t>LABORATORIO DE BIOLOGÍA</t>
  </si>
  <si>
    <t>U15201000701</t>
  </si>
  <si>
    <t>BALANZA - BALANZA DE PRECISIÓN 2000 G/0,01G, CALIBRACIÓN EXTERNA, PUERTO RS 232</t>
  </si>
  <si>
    <t>BALANZA - BALANZA DE PRECISIÓN 2000 G/0,01G, CALIBRACIÓN EXTERNA, PUERTO RS 232 REFERENCIA: WTC 2000 MARCA: RADWAG</t>
  </si>
  <si>
    <t>U15201000702</t>
  </si>
  <si>
    <t>U15201001042</t>
  </si>
  <si>
    <t>CAMARA - CAMARA TRAMPA BUSHNELL TROPHY CAM 24 MP INCLUYE MICRO CD DE 16 MG M0I6</t>
  </si>
  <si>
    <t>CAMARA - CAMARA TRAMPA BUSHENELL TROPHY CAM 24 MP INCLUYE MICRO CD DE 16 MG M0I6</t>
  </si>
  <si>
    <t>U15201001043</t>
  </si>
  <si>
    <t>U15201001050</t>
  </si>
  <si>
    <t>DESHUMIDIFICADOR - DESHUMIDIFICADOR PORTATIL CON AUTOAPAGADO 31 M3, LUOYIMAN,</t>
  </si>
  <si>
    <t>U15201001111</t>
  </si>
  <si>
    <t>DESTILADOR - CÓDIGO: EQ-LAB SISTEMA DE PURIFICACION DE AGUATIPO II MICROMATIC MARCA WASSERLAB 2,5 LITROS HORA</t>
  </si>
  <si>
    <t>U15280501745</t>
  </si>
  <si>
    <t>EQUIPOS DE COMPUTO DELL - OPTIPLEX 3050 SFF INTEL CORE I7-7700 N/P 51036344</t>
  </si>
  <si>
    <t>U15201000841</t>
  </si>
  <si>
    <t>ESTEREOMICROSCOPIO - BINOCULAR BASICO SZ61 OLYMPUS CON ILUMINACION TRANSMITIDA/REFLEJADA LED</t>
  </si>
  <si>
    <t>U15201000998</t>
  </si>
  <si>
    <t>FUENTE DE PODER Y/O ALIMENTACION - REF: EC300XL FUENTE DE PODER COMPACTA OWL EC-300XL, FÁCIL DE USAR, MULTI-PROPÓSITO, SALIDA DE VOLTAJE: 300V,</t>
  </si>
  <si>
    <t>FUENTE DE PODER Y/O ALIMENTACION - REF: EC300XL FUENTE DE PODER COMPACTA OWL EC-300XL. FÁCIL DE USAR, MULTI-PROPÓSITO. SALIDA DE VOLTAJE: 300V.</t>
  </si>
  <si>
    <t>U15280500279</t>
  </si>
  <si>
    <t>IMPRESORA EPSON - IMPRESORA MULTIFUNCIONAL DE INYECCIÓN EPSON L395</t>
  </si>
  <si>
    <t>IMPRESORA EPSON - IMPRESORA MULTIFUNCIONAL DE INYECCIÓN EPSON L395, WIFI DIRECT, HASTA 5760 X 1440 DPI DE RESOLUCIÓN OPTIMIZADA EN VARIOS TIPOS DE PAPEL VELOCIDAD MÁXIMA DE IMPRESIÓN NEGRO 33 PPM Y COLOR 15 PPM NORMAL NEGRO 90 ISO PPM Y COLOR 45 ISO PPM BANDEJA DE ENTRADA PARA PAPEL 100 HOJAS 10 SOBRES ESCANEA CAMA PLANA CON SENSOR DE LÍNEAS CIS DE COLOR RESOLUCIÓN ÓPTICA 1200 HARDWARE 1200X2400 INTERPOLADA 9600X9600 DPI ÁREA MÁXIMA DE DIGITALIZACIÓN 216 X 297 CM 85 X 117 USB WIFI</t>
  </si>
  <si>
    <t>U15201001115</t>
  </si>
  <si>
    <t>LUXOMETRO - MODELO: LT 300 - MARCA: EXTECH</t>
  </si>
  <si>
    <t>U15200500384</t>
  </si>
  <si>
    <t>MAQUINARIA Y EQUIPO CABINAS EXTRACTORA DE GASES MODELO FH1200-X, PROVEEDOR:890704382 UNIVERSIDAD DE IBAGUE</t>
  </si>
  <si>
    <t>MAQUINARIA Y EQUIPO CABINAS EXTRACTORA DE GASES MODELO FH1200-X. PROVEEDOR:890704382 UNIVERSIDAD DE IBAGUE</t>
  </si>
  <si>
    <t>U15200501384</t>
  </si>
  <si>
    <t>MAQUINARIA Y EQUIPO HORNO MARCA MEMMEERT MODELO VN3, PROVEEDOR:890704382 UNIVERSIDAD DE IBAGUE</t>
  </si>
  <si>
    <t>MAQUINARIA Y EQUIPO HORNO MARCA MEMMEERT MODELO VN3. PROVEEDOR:890704382 UNIVERSIDAD DE IBAGUE</t>
  </si>
  <si>
    <t>U15201001023</t>
  </si>
  <si>
    <t>MICROSCOPIO - CATÁLOGO:CX23LFS1K - UNIDAD DE MEDIDA:CAJA X 1 MICROSCOPIO CX23 LED BINOCULAR MARCA OLYMPUS, OBJETIVOS PLANOS: 4X,10X,40X,100X , OCULAR 10X GARANTIA DE UN AÑO POR DEFECTOS DE FABRICACION Y UN MANTENIMIENTO PREVENTIVO DURANTE LA GARANTIA</t>
  </si>
  <si>
    <t>MICROSCOPIO - CATÁLOGO:CX23LFS1K - UNIDAD DE MEDIDA:CAJA X 1 MICROSCOPIO CX23 LED BINOCULAR MARCA OLYMPUS. OBJETIVOS PLANOS: 4X,10X,40X,100X , OCULAR 10X GARANTIA DE UN AÑO POR DEFECTOS DE FABRICACION Y UN MANTENIMIENTO PREVENTIVO DURANTE LA GARANTIA</t>
  </si>
  <si>
    <t>U15201001024</t>
  </si>
  <si>
    <t>U15201001025</t>
  </si>
  <si>
    <t>U15201001027</t>
  </si>
  <si>
    <t>U15201001082</t>
  </si>
  <si>
    <t>MICROSCOPIO - CX23LFS1K - MICROSCOPIO CX23 LED BINOCULAR MARCA OLYMPUS, OBJETIVOS PLANOS: 4X,10X,40X,100X , OCULAR 10X</t>
  </si>
  <si>
    <t>MICROSCOPIO - CX23LFS1K - MICROSCOPIO CX23 LED BINOCULAR MARCA OLYMPUS. OBJETIVOS PLANOS: 4X,10X,40X,100X , OCULAR 10X</t>
  </si>
  <si>
    <t>U15201001083</t>
  </si>
  <si>
    <t>U15201001084</t>
  </si>
  <si>
    <t>U15201001085</t>
  </si>
  <si>
    <t>U15201000840</t>
  </si>
  <si>
    <t>MICROSCOPIO - CX31: OBJETIVOS 4/10/40/100X, OCULAR F,N, 20 ILUMINACION HALOGENA 6V30W, CONDESADOR ABBE, MARCA OLYMPUS</t>
  </si>
  <si>
    <t>MICROSCOPIO - CX31: OBJETIVOS 4/10/40/100X, OCULAR F.N. 20 ILUMINACION HALOGENA 6V30W, CONDESADOR ABBE. MARCA OLYMPUS</t>
  </si>
  <si>
    <t>U15201001034</t>
  </si>
  <si>
    <t>MICROSCOPIO - RFERENCIA: CX23LFS1K - CAJA X 1MICROSCOPIO CX23 LED BINOCULAR MARCA OLYMPUS, OBJETIVOS PLANOS: 4X,10X,40X,100X , OCULAR 10X</t>
  </si>
  <si>
    <t>MICROSCOPIO - RFERENCIA: CX23LFS1K - CAJA X 1MICROSCOPIO CX23 LED BINOCULAR MARCA OLYMPUS. OBJETIVOS PLANOS: 4X,10X,40X,100X , OCULAR 10X</t>
  </si>
  <si>
    <t>U15201001086</t>
  </si>
  <si>
    <t>MICROSCOPIO - SZ51LEDC - ESTEREOMICROSCOPIO, BASICO EZ51 CON ILUMINACION TRANSMITIDA/REFLEJADA LED, OCULAR 10X, MARCA OLYMPUS,</t>
  </si>
  <si>
    <t>MICROSCOPIO - SZ51LEDC - ESTEREOMICROSCOPIO, BASICO EZ51 CON ILUMINACION TRANSMITIDA/REFLEJADA LED. OCULAR 10X. MARCA OLYMPUS.</t>
  </si>
  <si>
    <t>U15201001087</t>
  </si>
  <si>
    <t>U15201001088</t>
  </si>
  <si>
    <t>U15201001089</t>
  </si>
  <si>
    <t>U15201001090</t>
  </si>
  <si>
    <t>U15201001091</t>
  </si>
  <si>
    <t>U15201001092</t>
  </si>
  <si>
    <t>U15201001093</t>
  </si>
  <si>
    <t>U15201001094</t>
  </si>
  <si>
    <t>U15201001095</t>
  </si>
  <si>
    <t>U152405O1834</t>
  </si>
  <si>
    <t>NEVERA - SP NEVERA NO FROST M</t>
  </si>
  <si>
    <t>U15201000805</t>
  </si>
  <si>
    <t>PHMETRO - DE BOLSILLO, PRECISION +/- 0,2, COMPENSACION MANUAL DE TEMPERATURA (C CHECKER 1) INCLUYE: BUFFER PH4 Y 7 Y POTASIO CLORURO 3 M,</t>
  </si>
  <si>
    <t>PHMETRO - DE BOLSILLO, PRECISION +/- 0.2, COMPENSACION MANUAL DE TEMPERATURA (C CHECKER 1) INCLUYE: BUFFER PH4 Y 7 Y POTASIO CLORURO 3 M, MARCA HANNA REF. HI 98103</t>
  </si>
  <si>
    <t>U15201000806</t>
  </si>
  <si>
    <t>PHMETRO - DE BOLSILLO, PRECISION +/- 0,2, COMPENSACION MANUAL DE TEMPERATURA (C CHECKER 1) INCLUYE: BUFFER PH4 Y 7 Y POTASIO CLORURO 3 M, MARCA HANNA REF, HI 98103</t>
  </si>
  <si>
    <t>U15201000807</t>
  </si>
  <si>
    <t>U15201000808</t>
  </si>
  <si>
    <t>U15201000703</t>
  </si>
  <si>
    <t>PLANCHA DIGITAL - PLANCHA DIGITAL CALENTAMIENTO Y AGITACIÓN 12,7 X 17,8 CM, 5-550°C, 60 - 1150 RPM,</t>
  </si>
  <si>
    <t>PLANCHA DIGITAL - PLANCHA DIGITAL CALENTAMIENTO Y AGITACIÓN 12.7 X 17.8 CM, 5-550°C, 60 - 1150 RPM. MODELO PC-420D REFERENCIA: 6795-420D MARCA: CORNING</t>
  </si>
  <si>
    <t>U15201000704</t>
  </si>
  <si>
    <t>PLANCHA DIGITAL - PLANCHA DIGITAL CALENTAMIENTO Y AGITACIÓN 12,7 X 17,8 CM, 5-550°C, 60 - 1150 RPM, MODELO PC-420D REFERENCIA: 6795-420D MARCA: CORNING</t>
  </si>
  <si>
    <t>U15201000705</t>
  </si>
  <si>
    <t>U15201000706</t>
  </si>
  <si>
    <t>U15201000926</t>
  </si>
  <si>
    <t>PURIFICADOR DE AGUA - CÓDIGO: 291649 PURIFICADOR DE AGUA 1500 ML WHIRPOOL</t>
  </si>
  <si>
    <t>U15280503649</t>
  </si>
  <si>
    <t>REGULADOR MONOFASICO - REGULADOR TRANSFORMADOR DE VOLTAJE 2KVA 115 V</t>
  </si>
  <si>
    <t>U15201000803</t>
  </si>
  <si>
    <t>TERMOHIGOMETRO - DIGITAL PORTATIL TIPO BOLSILLO 0-50 C/F (0,1), 95% RH (0,1), MAX MIN, LUTRON CODIGO 202803 LM81HT</t>
  </si>
  <si>
    <t>TERMOHIGOMETRO - DIGITAL PORTATIL TIPO BOLSILLO 0-50 C/F (0.1), 95% RH (0.1), MAX MIN, LUTRON CODIGO 202803 LM81HT</t>
  </si>
  <si>
    <t>U15201000804</t>
  </si>
  <si>
    <t>U15201000825</t>
  </si>
  <si>
    <t>TERMOHIGOMETRO - PORTATIL HI 9564, INCLUYE DESPACHO</t>
  </si>
  <si>
    <t>U15201000826</t>
  </si>
  <si>
    <t>U15201001021</t>
  </si>
  <si>
    <t>CABINA - CABINA EXTRACTORA FHX 1200X DE 120X84X215 CM DE ALTURA SEGÚN ESPECIFICACIONES ADJUNTAS EN DOCUMENTO ANEXO</t>
  </si>
  <si>
    <t>LABORATORIO DE BIOLOGÍA MOLECULAR</t>
  </si>
  <si>
    <t>U15201000527</t>
  </si>
  <si>
    <t>EQUIPO LABORATORIO MICROCENTRIFUGA REFRIGERADA MARCA HERMLE MODELO Z216MK, PROVEEDOR:890704382 UNIVERSIDAD DE IBAGUE</t>
  </si>
  <si>
    <t>EQUIPO LABORATORIO MICROCENTRIFUGA REFRIGERADA MARCA HERMLE MODELO Z216MK. PROVEEDOR:890704382 UNIVERSIDAD DE IBAGUE</t>
  </si>
  <si>
    <t>U15201000526</t>
  </si>
  <si>
    <t>EQUIPO LABORATORIO TRANSFERPETTE MULTIELECTRONICA , PROVEEDOR:890704382 UNIVERSIDAD DE IBAGUE</t>
  </si>
  <si>
    <t>EQUIPO LABORATORIO TRANSFERPETTE MULTIELECTRONICA . PROVEEDOR:890704382 UNIVERSIDAD DE IBAGUE</t>
  </si>
  <si>
    <t>U15201000524</t>
  </si>
  <si>
    <t>EQUIPO LABORATORIO TRANSFERPETTE TIPO DIGITAL , PROVEEDOR:890704382 UNIVERSIDAD DE IBAGUE</t>
  </si>
  <si>
    <t>EQUIPO LABORATORIO TRANSFERPETTE TIPO DIGITAL . PROVEEDOR:890704382 UNIVERSIDAD DE IBAGUE</t>
  </si>
  <si>
    <t>U15201000525</t>
  </si>
  <si>
    <t>EQUIPO LABORATORIO TRANSFERPETTE VARIABLE PLASTICA , PROVEEDOR:890704382 UNIVERSIDAD DE IBAGUE</t>
  </si>
  <si>
    <t>EQUIPO LABORATORIO TRANSFERPETTE VARIABLE PLASTICA . PROVEEDOR:890704382 UNIVERSIDAD DE IBAGUE</t>
  </si>
  <si>
    <t>U15201000618</t>
  </si>
  <si>
    <t>ESPECTROFOTÓMETRO - LECTOR ESPECTROFOTÓMETRO DE MICROPLACAS MODELO EPOCH2 MARCA BIOTEK , DESCRIPCION DETALLADA EN CONTRATO</t>
  </si>
  <si>
    <t>U15201001200</t>
  </si>
  <si>
    <t>MICRO PIPETA - PIPETA MECÁNICA SARTORIOUS PROLINE PLUS 1 CANAL DE 100-1000 UL</t>
  </si>
  <si>
    <t>U15201001202</t>
  </si>
  <si>
    <t>U15201001201</t>
  </si>
  <si>
    <t>MICRO PIPETA - PIPETA MECÁNICA SARTORIOUS PROLINE PLUS 1 CANAL DE 20-200 UL</t>
  </si>
  <si>
    <t>U15201001118</t>
  </si>
  <si>
    <t>MICRO PIPETA - PIPETA THERMO SCIENTIFIC F1 MULTICANAL 8 CANALES DE 30 A 300 UL - RANGO DE MEDICION: 30-300 UL - INCREMENTOS: 1 UL - COMPATIBLES FINNITIP FLEX 300 - EXACTITUD +/- 5 A 1%</t>
  </si>
  <si>
    <t>U152405O1678</t>
  </si>
  <si>
    <t>NEVERA - NEVERA ABBA 400 LTRS NO FROST</t>
  </si>
  <si>
    <t>U15201000823</t>
  </si>
  <si>
    <t>PHMETRO - SET LAB 855 PH METRO DE MESA, PH/MV, 3 PTOS/CAL, INCLUYE: MEDIDOR,ELECTRODO DE VIDRIO DIN BLUELINE 14PH, SOPRTE MULTIFUNCIONAL, ADAPTADOR A CORRIENTE, SOLUCIONES BUFFER, SOLUCIÓN ELECT ¿LÍTICA 3 ML/L, MANUAL DE OPERACION, REF 285206700 MARCA SI ANALYTICS (ANTES SCHOTT</t>
  </si>
  <si>
    <t>U15201001101</t>
  </si>
  <si>
    <t>QUBIT 4,0 KIT DE INICIO - INCLUYE: ¿ UN FLUORÍMETRO QUBIT 4 (NO CAT, Q33226) TUBOS DE ENSAYO QUBIT (CONJUNTO DE 500) (NO CAT, Q32856) KIT DE ENSAYO QUBIT 1X DSDNA HS, 100 ENSAYOS QUBIT DSDNA BR ENSAYO KIT, 100 ENSAYOS (CAT, NO, Q32850) QUBIT RNA IQ ASSAY KIT, 75 ENSAYOS (CAT, NO, Q33221) QUBIT RNA HS ASSAY KIT, 100 ENSAYOS (CAT, NO, Q32852 QUBIT RNA XR ASSAY KIT , 100 ENSAYOS QUBIT PROTEIN ASSAY KIT, 100 ENSAYOS (CAT, NO, Q33211)</t>
  </si>
  <si>
    <t>QUBIT 4.0 KIT DE INICIO - INCLUYE: ¿ UN FLUORÍMETRO QUBIT 4 (NO CAT. Q33226) TUBOS DE ENSAYO QUBIT (CONJUNTO DE 500) (NO CAT. Q32856) KIT DE ENSAYO QUBIT 1X DSDNA HS, 100 ENSAYOS QUBIT DSDNA BR ENSAYO KIT, 100 ENSAYOS (CAT. NO. Q32850) QUBIT RNA IQ ASSAY KIT, 75 ENSAYOS (CAT. NO. Q33221) QUBIT RNA HS ASSAY KIT, 100 ENSAYOS (CAT. NO. Q32852 QUBIT RNA XR ASSAY KIT , 100 ENSAYOS QUBIT PROTEIN ASSAY KIT, 100 ENSAYOS (CAT. NO. Q33211)</t>
  </si>
  <si>
    <t>U15200500586</t>
  </si>
  <si>
    <t>Balanza</t>
  </si>
  <si>
    <t>MAQUINARIA Y EQUIPO BALANZA DIGITAL . PROVEEDOR:890704382 UNIVERSIDAD DE IBAGUE</t>
  </si>
  <si>
    <t>Laboratorio de combustión</t>
  </si>
  <si>
    <t>U15201000014</t>
  </si>
  <si>
    <t>EQUIPO LABORATORIO BALANZA DIGITAL DE 15 K MARCA LEXUS . PROVEEDOR:890704382 UNIVERSIDAD DE IBAGUE</t>
  </si>
  <si>
    <t>U15200500599</t>
  </si>
  <si>
    <t>Balanza digital</t>
  </si>
  <si>
    <t>MAQUINARIA Y EQUIPO BALANZA ELECTRONICA. PROVEEDOR:890704382 UNIVERSIDAD DE IBAGUE</t>
  </si>
  <si>
    <t>U15200500597</t>
  </si>
  <si>
    <t>Cargador de baterías</t>
  </si>
  <si>
    <t>MAQUINARIA Y EQUIPO CARGADOR DE BATERIA. PROVEEDOR:890704382 UNIVERSIDAD DE IBAGUE</t>
  </si>
  <si>
    <t>U15200500579</t>
  </si>
  <si>
    <t>Molino industrial</t>
  </si>
  <si>
    <t>MAQUINARIA Y EQUIPO ESTRUSORA PEQUENA MARCA HANDER . PROVEEDOR:890704382 UNIVERSIDAD DE IBAGUE</t>
  </si>
  <si>
    <t>U15200500583</t>
  </si>
  <si>
    <t>Motor de aveo</t>
  </si>
  <si>
    <t>MAQUINARIA Y EQUIPO MOTOR DE CARRO MARCA AVEO MODELO T4 WWM. PROVEEDOR:890704382 UNIVERSIDAD DE IBAGUE</t>
  </si>
  <si>
    <t>U15200500582</t>
  </si>
  <si>
    <t>Motor de Renault</t>
  </si>
  <si>
    <t>MAQUINARIA Y EQUIPO MOTOR DE CARRO MARCA RENAUL 9 . PROVEEDOR:890704382 UNIVERSIDAD DE IBAGUE</t>
  </si>
  <si>
    <t>U15200500576</t>
  </si>
  <si>
    <t>Motor diesel Liester</t>
  </si>
  <si>
    <t>MAQUINARIA Y EQUIPO PLANTA DE PODER CON MOTOR LISTER DIESEL . PROVEEDOR:890704382 UNIVERSIDAD DE IBAGUE</t>
  </si>
  <si>
    <t>U15200500581</t>
  </si>
  <si>
    <t>Planta de biodiesel</t>
  </si>
  <si>
    <t>MAQUINARIA Y EQUIPO BANCO DE VIO DIESEL . PROVEEDOR:890704382 UNIVERSIDAD DE IBAGUE</t>
  </si>
  <si>
    <t>U15200500574</t>
  </si>
  <si>
    <t>BALANZA DIGITAL</t>
  </si>
  <si>
    <t>MAQUINARIA Y EQUIPO BALANZA. PROVEEDOR:890704382 UNIVERSIDAD DE IBAGUE</t>
  </si>
  <si>
    <t>Laboratorio de Metalografía y Tratamientos Termicos</t>
  </si>
  <si>
    <t>U15200503092</t>
  </si>
  <si>
    <t>BANCO DE ABRASION</t>
  </si>
  <si>
    <t>EQUIPO DE DESGASTE POR ARENA</t>
  </si>
  <si>
    <t>U15200500120</t>
  </si>
  <si>
    <t>BANCO DE TREFILADO</t>
  </si>
  <si>
    <t>MAQUINARIA Y EQUIPO TREFILADORA. PROVEEDOR:890704382 UNIVERSIDAD DE IBAGUE</t>
  </si>
  <si>
    <t>U15200500121</t>
  </si>
  <si>
    <t>BANCO INYECTOR</t>
  </si>
  <si>
    <t>MAQUINARIA Y EQUIPO INYECTOR. PROVEEDOR:890704382 UNIVERSIDAD DE IBAGUE</t>
  </si>
  <si>
    <t>U15200500124</t>
  </si>
  <si>
    <t>BANCO JOMINY</t>
  </si>
  <si>
    <t>MAQUINARIA Y EQUIPO MAQUINA PARA ENSAYO JOMINY GRIS OSCURO . PROVEEDOR:890704382 UNIVERSIDAD DE IBAGUE</t>
  </si>
  <si>
    <t>U15201000921</t>
  </si>
  <si>
    <t>CAMARA DIGITAL CMOS</t>
  </si>
  <si>
    <t>CAMARA - DIGITAL COLOR CMOS OLYMPUS ALTA RESOLUCION SC100 INCLUYE ADAPTADOR FOTO TV 0,5X INCLUYE ADAPTADOR FOTO-TV 0.5X</t>
  </si>
  <si>
    <t>U15200500129</t>
  </si>
  <si>
    <t>CORTADORA METALOGRAFICA</t>
  </si>
  <si>
    <t>MAQUINARIA Y EQUIPO CORTADORA METACANOGRAFICA . PROVEEDOR:890704382 UNIVERSIDAD DE IBAGUE</t>
  </si>
  <si>
    <t>U15200503447</t>
  </si>
  <si>
    <t>U15201000071</t>
  </si>
  <si>
    <t>DUROMETRO</t>
  </si>
  <si>
    <t>EQUIPO LABORATORIO DUROMETRO UNIVERSAL MODELO AHBRV-187.5. PROVEEDOR:890704382 UNIVERSIDAD DE IBAGUE</t>
  </si>
  <si>
    <t>U15200500530</t>
  </si>
  <si>
    <t>ESMERIL</t>
  </si>
  <si>
    <t>MAQUINARIA Y EQUIPO SMERIL. PROVEEDOR:890704382 UNIVERSIDAD DE IBAGUE</t>
  </si>
  <si>
    <t>U15200500127</t>
  </si>
  <si>
    <t>HORNO TIPO MUFLA</t>
  </si>
  <si>
    <t>MAQUINARIA Y EQUIPO HORNO TIPO MUFLAN COLOR GRIS . PROVEEDOR:890704382 UNIVERSIDAD DE IBAGUE</t>
  </si>
  <si>
    <t>U15201001054</t>
  </si>
  <si>
    <t>LAVADORA ULTRASONICA</t>
  </si>
  <si>
    <t>LAVADORA ULTRASONIDO - LAVADORA ULTRASONIDO ORIG. BAKU BK1200 ESPECIFICACIONES PANTALLA DIGITAL VENTILADOR DE ENFRIAMIENTO, CUBIERTA DE TANQUE Y TAPA DE ACERO INOXIDABLE. FRECUENCIA DE VIBRACIÓN : 40 KHZ PCB RESISTENTE A LA HUMEDAD POTENCIA: 60W CAPACIDA 1.8LTS APROX. MEDIDA FÍSICA : 26*23*26.5 CM AC: 110V</t>
  </si>
  <si>
    <t>U15201001056</t>
  </si>
  <si>
    <t>LAVADORA ULTRASONIDO - REF: BK3550 110VOL</t>
  </si>
  <si>
    <t>U15200500532</t>
  </si>
  <si>
    <t>LIJADORA ROTOORBITAL</t>
  </si>
  <si>
    <t>MAQUINARIA Y EQUIPO PULIDORA MARCA BAUKER MODELO RS125. PROVEEDOR:890704382 UNIVERSIDAD DE IBAGUE</t>
  </si>
  <si>
    <t>U15201000748</t>
  </si>
  <si>
    <t>LIJADORA - ROTOORBITAL 5PG 300W 12000 OPM MAKITA</t>
  </si>
  <si>
    <t>U15200500122</t>
  </si>
  <si>
    <t>MAQUINA DE ENSAYO UNIVERSAL</t>
  </si>
  <si>
    <t>MAQUINARIA Y EQUIPO MAQUINA PARA ENSAYO UNIVERSAL COLOR AZUL. PROVEEDOR:890704382 UNIVERSIDAD DE IBAGUE</t>
  </si>
  <si>
    <t>U15201001109</t>
  </si>
  <si>
    <t>MICRODUROMETRO</t>
  </si>
  <si>
    <t>MICRODURÓMETRO - NOVOTEST TB-MCV-1M: DIGITAL MICRO VICKERS HARDNESS TESTER (MANUAL DATA INPUT)DIGITAL MICRO VICKERS HARDNESS TESTER NOVOTEST TB-MCV-1M IS THE MODEL WITH MANUAL DATA INPUT AND MANUAL TURRET, LIKEWISE, IT EQUIPS WITH LARGE LCD DISPLAYING SCREEN. ADDITIONALLY, THIS EQUIPMENT IS SUITABLE FOR OPTIONAL DATA PROCESSING SOFTWARE AND OPTIONAL CCD MEASURING SYSTEM. THROUGH HANDING MENU KEYS, THE EQUIPMENT PERFORM COMPLETE FUNCTIONS SUCH AS SELECTING VICKERS OR KNOP HARDNESS TESTING MODE, ADJUSTING THE INTENSITY OF BLACK LIGHT, SETTING DWELL TIME; BESIDES, THE LENGTH OF INDENTATION DIAGONAL LINE CAN BE KEYED ON OPERATING BOARD, THEN DIRECTLY READOUT THE HARDNESS VALUE FROM THE SCREEN, WHICH IS FREE FROM CHECKING THE TABLES.</t>
  </si>
  <si>
    <t>U15201000069</t>
  </si>
  <si>
    <t>MICROSCOPIO</t>
  </si>
  <si>
    <t>EQUIPO LABORATORIO MICROSCOPIO MARCA OLYMPUS PME3. PROVEEDOR:890704382 UNIVERSIDAD DE IBAGUE</t>
  </si>
  <si>
    <t>U15201000923</t>
  </si>
  <si>
    <t>MICROSCOPIO - MICROSCOPIO METALOGRAFICO TRIOCULAR SALIDA FOTO TV OLYMPUS UPRIGHT BX51FM ILUMINACION HALOGENA 100W, CAMPO CLARO POLARIZACION , INCLUYE CABLES DE CONEXION,MANUAL DE USO, FUNDA ANTIHONGOS, INSTALACION, CURSO DE MANEJO, ASESORIA PERMANENTE</t>
  </si>
  <si>
    <t>U15200500528</t>
  </si>
  <si>
    <t>MOTOBOMBA</t>
  </si>
  <si>
    <t>MAQUINARIA Y EQUIPO MOTOBOMBA PARA PESERA. PROVEEDOR:890704382 UNIVERSIDAD DE IBAGUE</t>
  </si>
  <si>
    <t>U15201000922</t>
  </si>
  <si>
    <t>OBJETIVOS OPTICOS</t>
  </si>
  <si>
    <t>OBJETIVO - MPLN100X-1-7;M PLAN 100X OBJECTIVE, NA 0.9, WD 0.21MM</t>
  </si>
  <si>
    <t>U15280500640</t>
  </si>
  <si>
    <t>PC DE ESCRITORIO</t>
  </si>
  <si>
    <t>EQUIPOS DE COMPUTO COMPUTADOR DE MESA MARCA HP COLOR NEGRO MODELO COPAQ ELITE 8300. PROVEEDOR:890704382 UNIVERSIDAD DE IBAGUE</t>
  </si>
  <si>
    <t>U15201000924</t>
  </si>
  <si>
    <t>PORTA OBJETIVOS</t>
  </si>
  <si>
    <t>CAMBIADOR DE AUMENTOS - PARA LLEGAR A 2000 AUMENTOS U-ECA;SIMPLE MAGNIFICATION CHANGER,1X/2X</t>
  </si>
  <si>
    <t>U15200503093</t>
  </si>
  <si>
    <t>PRENSA</t>
  </si>
  <si>
    <t>U15200500128</t>
  </si>
  <si>
    <t>PULIDORA METALOGRAFICA</t>
  </si>
  <si>
    <t>MAQUINARIA Y EQUIPO PULIDORA METACANOGRAFICA . PROVEEDOR:890704382 UNIVERSIDAD DE IBAGUE</t>
  </si>
  <si>
    <t>U15200500529</t>
  </si>
  <si>
    <t>SECADOR DE CABELLO</t>
  </si>
  <si>
    <t>MAQUINARIA Y EQUIPO SECADOR DE CABELLO. PROVEEDOR:890704382 UNIVERSIDAD DE IBAGUE</t>
  </si>
  <si>
    <t>U15200501445</t>
  </si>
  <si>
    <t>UPS MARCA APC MODELO BACK UPS 550.</t>
  </si>
  <si>
    <t>U15200500527</t>
  </si>
  <si>
    <t>MAQUINARIA Y EQUIPO VARIADOR DE FRECUENCIA . PROVEEDOR:890704382 UNIVERSIDAD DE IBAGUE</t>
  </si>
  <si>
    <t>U15201001103</t>
  </si>
  <si>
    <t>CABINA - CABINA DE SEGURIDAD BIOLOGICA CLASE II TIPO A2 DE 90CM SERIE 1300 THERMO SCIENTIFIC</t>
  </si>
  <si>
    <t>LABORATORIO DE MICROBIOLOGÍA AMBIENTAL</t>
  </si>
  <si>
    <t>U15201001185</t>
  </si>
  <si>
    <t>INCUBATOR</t>
  </si>
  <si>
    <t>EQUIPO LABORATORIO - INCUBATOR</t>
  </si>
  <si>
    <t>U15201000005</t>
  </si>
  <si>
    <t>BALANZA DIGITAL 20KG</t>
  </si>
  <si>
    <t>EQUIPO LABORATORIO BALANZA DIGITAL DE 30 KG. PROVEEDOR:890704382 UNIVERSIDAD DE IBAGUE</t>
  </si>
  <si>
    <t>LABORATORIO DE SUELOS, PAVIMENTOS Y CONCRETOS 1</t>
  </si>
  <si>
    <t>U15201000006</t>
  </si>
  <si>
    <t>BALANZA DIGITAL 3000 GRAMOS</t>
  </si>
  <si>
    <t>EQUIPO LABORATORIO BALANZA DIGITAL DE 3000 GR . PROVEEDOR:890704382 UNIVERSIDAD DE IBAGUE</t>
  </si>
  <si>
    <t>U15201000007</t>
  </si>
  <si>
    <t>BALANZA DIGITAL 411 GRAMOS</t>
  </si>
  <si>
    <t>EQUIPO LABORATORIO BALANZA DIGITAL DE 400 GR . PROVEEDOR:890704382 UNIVERSIDAD DE IBAGUE</t>
  </si>
  <si>
    <t>U15201000003</t>
  </si>
  <si>
    <t>BALANZA OHAUS</t>
  </si>
  <si>
    <t>EQUIPO LABORATORIO BALANZA DIGITAL MARCA AHAUS COLOR PLATEADO . PROVEEDOR:890704382 UNIVERSIDAD DE IBAGUE</t>
  </si>
  <si>
    <t>U15201000066</t>
  </si>
  <si>
    <t>BALANZA TRES BRAZOS</t>
  </si>
  <si>
    <t>EQUIPO LABORATORIO BALANZA TRIPLE BRAZO MECANICA . PROVEEDOR:890704382 UNIVERSIDAD DE IBAGUE</t>
  </si>
  <si>
    <t>U15201000013</t>
  </si>
  <si>
    <t>CAZUELA CASA GRANDE</t>
  </si>
  <si>
    <t>EQUIPO LABORATORIO CAZUELA DE CASA GRANDE MANUAL . PROVEEDOR:890704382 UNIVERSIDAD DE IBAGUE</t>
  </si>
  <si>
    <t>U15200500098</t>
  </si>
  <si>
    <t>HORNO</t>
  </si>
  <si>
    <t>MAQUINARIA Y EQUIPO HORNO DIGITAL DE PRECISIÓN . PROVEEDOR:890704382 UNIVERSIDAD DE IBAGUE</t>
  </si>
  <si>
    <t>U15201000837</t>
  </si>
  <si>
    <t>HORNO DIGITAL</t>
  </si>
  <si>
    <t>HORNO - ELECTRICO DIGITAL PROGRAMABLE DE 200 LTS, CON SISTEMA DE CONVECCION FORZADA DE AIRE, REF OPG2003, ESPECIFICACIONES TÉCNICAS: - RANGO DE TEMPERATURA AMBIENTE + 5 °C A 200 °C (OPCIONAL: OTROS RANGOS SOBRE PEDIDO) RESOLUCIÓN: 0,1 °C, - HOMOGENEIDAD: 3 °C, - ESTABILIDAD: 1 °C, FUNCIONAMIENTO ELÉCTRICO: 110 VAC / 47HZ -63 HZ (OPCIONAL 220 VAC), - VOLUMEN NOMINAL DE CÁMARA (L) 200, - DIMENSIONES TOTALES: LARGO 728 MM, ANCHO 800 MM, ALTO 930 MM, - DIMENSIONES ÚTILES DE LA CÁMARA: LARGO 500 MM, ANCHO 610 MM, ALTO 660 MM, - NÚMERO DE BANDEJAS 3, - NÚMERO SOPORTE DE BANDEJAS 10, - CAPACIDAD CARGA X BANDEJA (KG) 10, - CAPACIDAD CARGA TOTAL (KG) 30, - PESO DEL HORNO (KG) 112, - POTENCIA (W) 1800, CONSUMO CORRIENTE (A) 15, REF 0PG2003</t>
  </si>
  <si>
    <t>U15200500108</t>
  </si>
  <si>
    <t>HORNO NARANJA</t>
  </si>
  <si>
    <t>MAQUINARIA Y EQUIPO HORNO INDUSTRIAL COLOR GRIS Y SAPOTE . PROVEEDOR:890704382 UNIVERSIDAD DE IBAGUE</t>
  </si>
  <si>
    <t>U15200500097</t>
  </si>
  <si>
    <t>MAQUINA A COMPRESION</t>
  </si>
  <si>
    <t>MAQUINARIA Y EQUIPO COMPRESOR DE CILINDROS . PROVEEDOR:890704382 UNIVERSIDAD DE IBAGUE</t>
  </si>
  <si>
    <t>U15201000682</t>
  </si>
  <si>
    <t>TAMIZADORA ELECTRICA</t>
  </si>
  <si>
    <t>EQUIPO LABORATORIO - TAMIZADORA ELECTRICA</t>
  </si>
  <si>
    <t>U15201000015</t>
  </si>
  <si>
    <t>TERMOMETRO LASER</t>
  </si>
  <si>
    <t>EQUIPO LABORATORIO PIRO METRO COLOR GRIS . PROVEEDOR:890704382 UNIVERSIDAD DE IBAGUE.ACTA DE BAJA CAF003-2025</t>
  </si>
  <si>
    <t>U15201000265</t>
  </si>
  <si>
    <t>BALANZA OHAUS DE 5 LB</t>
  </si>
  <si>
    <t>Laboratorio Fisica Mecanica</t>
  </si>
  <si>
    <t>U15201000266</t>
  </si>
  <si>
    <t>EQUIPO LABORATORIO BALANZA MARCA EQUIPO Y LABORATORIO . PROVEEDOR:890704382 UNIVERSIDAD DE IBAGUE</t>
  </si>
  <si>
    <t>U15201000269</t>
  </si>
  <si>
    <t>BALANZA OHAUS DE 5 LB.</t>
  </si>
  <si>
    <t>U15200500538</t>
  </si>
  <si>
    <t>BASE UNIVERSAL</t>
  </si>
  <si>
    <t>MAQUINARIA Y EQUIPO BASE UNIVERSAL . PROVEEDOR:890704382 UNIVERSIDAD DE IBAGUE</t>
  </si>
  <si>
    <t>U15200500539</t>
  </si>
  <si>
    <t>U15200500540</t>
  </si>
  <si>
    <t>U15200500541</t>
  </si>
  <si>
    <t>U15201000228</t>
  </si>
  <si>
    <t>CAJA DE CUBOS</t>
  </si>
  <si>
    <t>EQUIPO LABORATORIO CAJA DE CUBOS . PROVEEDOR:890704382 UNIVERSIDAD DE IBAGUE</t>
  </si>
  <si>
    <t>U15201000229</t>
  </si>
  <si>
    <t>U15201000230</t>
  </si>
  <si>
    <t>U15201000231</t>
  </si>
  <si>
    <t>U15200500446</t>
  </si>
  <si>
    <t>CARRRILES NEUMATICOS</t>
  </si>
  <si>
    <t>MAQUINARIA Y EQUIPO CARRRILES NEUMATICOS . PROVEEDOR:890704382 UNIVERSIDAD DE IBAGUE</t>
  </si>
  <si>
    <t>U15200500447</t>
  </si>
  <si>
    <t>U15200500448</t>
  </si>
  <si>
    <t>U15200500449</t>
  </si>
  <si>
    <t>U15280500643</t>
  </si>
  <si>
    <t>COMPUTADOR PORTATIL MARCA DELL MODELO PROBOOK 440 G2 COLOR NEGRO</t>
  </si>
  <si>
    <t>EQUIPOS DE COMPUTO COMPUTADOR PORTATIL MARCA HP MODELO PROBOOK 440 G2 COLOR NEGRO. PROVEEDOR:890704382 UNIVERSIDAD DE IBAGUE</t>
  </si>
  <si>
    <t>U15280500644</t>
  </si>
  <si>
    <t>U15280500645</t>
  </si>
  <si>
    <t>U15280500646</t>
  </si>
  <si>
    <t>U15201000240</t>
  </si>
  <si>
    <t>DINAMOMETRO 500 GRAMOS MARCA OHAUS</t>
  </si>
  <si>
    <t>EQUIPO LABORATORIO DINAMOMETRO 500 GRAMOS MARCA OHAUS . PROVEEDOR:890704382 UNIVERSIDAD DE IBAGUE</t>
  </si>
  <si>
    <t>U15201000241</t>
  </si>
  <si>
    <t>DINAMOMETRO COLOR VERDE.</t>
  </si>
  <si>
    <t>EQUIPO LABORATORIO DINAMOMETRO COLOR VERDE. PROVEEDOR:890704382 UNIVERSIDAD DE IBAGUE</t>
  </si>
  <si>
    <t>U15201000242</t>
  </si>
  <si>
    <t>U15201000243</t>
  </si>
  <si>
    <t>U15201000237</t>
  </si>
  <si>
    <t>DINAMOMETRO DE 10 NEWTON MARCA OHAUS</t>
  </si>
  <si>
    <t>EQUIPO LABORATORIO DINAMOMETRO DE 10 NEWTON MARCA OHAUS . PROVEEDOR:890704382 UNIVERSIDAD DE IBAGUE</t>
  </si>
  <si>
    <t>U15201000236</t>
  </si>
  <si>
    <t>DINAMOMETRO DE 2 GRAMOS MARCA OHAUS MODELO 8262-M</t>
  </si>
  <si>
    <t>EQUIPO LABORATORIO DINAMOMETRO DE 2 GRAMOS MARCA OHAUS MODELO 8262-M . PROVEEDOR:890704382 UNIVERSIDAD DE IBAGUE</t>
  </si>
  <si>
    <t>U15201000244</t>
  </si>
  <si>
    <t>DINAMOMETRO DE VIDRIO.</t>
  </si>
  <si>
    <t>EQUIPO LABORATORIO DINAMOMETRO DE VIDRIO. PROVEEDOR:890704382 UNIVERSIDAD DE IBAGUE</t>
  </si>
  <si>
    <t>U15201000245</t>
  </si>
  <si>
    <t>U15201000246</t>
  </si>
  <si>
    <t>U15201000247</t>
  </si>
  <si>
    <t>U15201000248</t>
  </si>
  <si>
    <t>U15201000238</t>
  </si>
  <si>
    <t>DINAMOMETRO MARCA OHAUN MODELO 8013-M.</t>
  </si>
  <si>
    <t>EQUIPO LABORATORIO DINAMOMETRO MARCA OHAUN MODELO 8013-M. PROVEEDOR:890704382 UNIVERSIDAD DE IBAGUE</t>
  </si>
  <si>
    <t>U15201000239</t>
  </si>
  <si>
    <t>U15201000203</t>
  </si>
  <si>
    <t>EQUIPO DE CAIDA LIBRE</t>
  </si>
  <si>
    <t>EQUIPO LABORATORIO EQUIPO DE CAIDA LIBRE . PROVEEDOR:890704382 UNIVERSIDAD DE IBAGUE</t>
  </si>
  <si>
    <t>U15201000204</t>
  </si>
  <si>
    <t>U15201000205</t>
  </si>
  <si>
    <t>U15201000206</t>
  </si>
  <si>
    <t>U15201000261</t>
  </si>
  <si>
    <t>EQUIPO DE MESA DE ROTACION .</t>
  </si>
  <si>
    <t>EQUIPO LABORATORIO EQUIPO DE MESA DE ROTACION . PROVEEDOR:890704382 UNIVERSIDAD DE IBAGUE</t>
  </si>
  <si>
    <t>U15201000262</t>
  </si>
  <si>
    <t>U15201000263</t>
  </si>
  <si>
    <t>U15201000264</t>
  </si>
  <si>
    <t>U15200500437</t>
  </si>
  <si>
    <t>EQUIPO DE TIRO PARABOLICO</t>
  </si>
  <si>
    <t>MAQUINARIA Y EQUIPO EQUIPO DE TIRO PARABOLICO. PROVEEDOR:890704382 UNIVERSIDAD DE IBAGUE</t>
  </si>
  <si>
    <t>U15200500438</t>
  </si>
  <si>
    <t>U15200500439</t>
  </si>
  <si>
    <t>U15200500440</t>
  </si>
  <si>
    <t>U15200500560</t>
  </si>
  <si>
    <t>JUEGO DE MASAS</t>
  </si>
  <si>
    <t>MAQUINARIA Y EQUIPO JUEGO DE MASAS. PROVEEDOR:890704382 UNIVERSIDAD DE IBAGUE</t>
  </si>
  <si>
    <t>U15200500561</t>
  </si>
  <si>
    <t>U15200500562</t>
  </si>
  <si>
    <t>U15201000267</t>
  </si>
  <si>
    <t>JUEGO DE PIEZAS DE CARRIL NEUMATICO</t>
  </si>
  <si>
    <t>EQUIPO LABORATORIO JUEGO DE PIEZAS DE CARRIL NEUMATICO . PROVEEDOR:890704382 UNIVERSIDAD DE IBAGUE</t>
  </si>
  <si>
    <t>U15201000268</t>
  </si>
  <si>
    <t>U15201000193</t>
  </si>
  <si>
    <t>MECANICA NEWTONIANA REF 5304EQ16UE1 MARCA PHYSIS</t>
  </si>
  <si>
    <t>EQUIPO LABORATORIO MECANICA NEWTONIANA REF 5304EQ16UE1 MARCA PHYSIS. PROVEEDOR:890704382 UNIVERSIDAD DE IBAGUE</t>
  </si>
  <si>
    <t>U15201000207</t>
  </si>
  <si>
    <t>MESA DE FUERZA</t>
  </si>
  <si>
    <t>EQUIPO LABORATORIO MESA DE FUERZA. PROVEEDOR:890704382 UNIVERSIDAD DE IBAGUE</t>
  </si>
  <si>
    <t>U15201000208</t>
  </si>
  <si>
    <t>U15201000222</t>
  </si>
  <si>
    <t>U15201000223</t>
  </si>
  <si>
    <t>U15200500087</t>
  </si>
  <si>
    <t>MESA DE INCLINACION</t>
  </si>
  <si>
    <t>MAQUINARIA Y EQUIPO MESA DE INCLINACION. PROVEEDOR:890704382 UNIVERSIDAD DE IBAGUE</t>
  </si>
  <si>
    <t>U15200500433</t>
  </si>
  <si>
    <t>U15200500434</t>
  </si>
  <si>
    <t>U15200500435</t>
  </si>
  <si>
    <t>U15200500436</t>
  </si>
  <si>
    <t>U15200500441</t>
  </si>
  <si>
    <t>MODULO CASSY MARCA LEYBOLD 2</t>
  </si>
  <si>
    <t>MAQUINARIA Y EQUIPO MODULO CASSY MARCA LEYBOLD 2. PROVEEDOR:890704382 UNIVERSIDAD DE IBAGUE</t>
  </si>
  <si>
    <t>U15200500442</t>
  </si>
  <si>
    <t>U15200500443</t>
  </si>
  <si>
    <t>U15200500444</t>
  </si>
  <si>
    <t>U15200500415</t>
  </si>
  <si>
    <t>MODULO CASSY MARCA LEYBOLD.</t>
  </si>
  <si>
    <t>MAQUINARIA Y EQUIPO MODULO CASSY MARCA LEYBOLD. PROVEEDOR:890704382 UNIVERSIDAD DE IBAGUE</t>
  </si>
  <si>
    <t>U15200500416</t>
  </si>
  <si>
    <t>U15201000258</t>
  </si>
  <si>
    <t>NIVEL DE ALUMINIO</t>
  </si>
  <si>
    <t>EQUIPO LABORATORIO NIVEL DE ALUMINIO. PROVEEDOR:890704382 UNIVERSIDAD DE IBAGUE</t>
  </si>
  <si>
    <t>U15201000259</t>
  </si>
  <si>
    <t>U15201000260</t>
  </si>
  <si>
    <t>U15201000257</t>
  </si>
  <si>
    <t>NIVEL REF. N.A 09"</t>
  </si>
  <si>
    <t>EQUIPO LABORATORIO NIVEL REF. N.A 09". PROVEEDOR:890704382 UNIVERSIDAD DE IBAGUE</t>
  </si>
  <si>
    <t>U15200500542</t>
  </si>
  <si>
    <t>SOPORTE UNIVERSAL</t>
  </si>
  <si>
    <t>MAQUINARIA Y EQUIPO SOPORTE UNIVERSAL. PROVEEDOR:890704382 UNIVERSIDAD DE IBAGUE</t>
  </si>
  <si>
    <t>U15200500543</t>
  </si>
  <si>
    <t>U15200500544</t>
  </si>
  <si>
    <t>U15200500545</t>
  </si>
  <si>
    <t>U15200500546</t>
  </si>
  <si>
    <t>U15200500547</t>
  </si>
  <si>
    <t>MAQUINARIA Y EQUIPO SOPORTE UNIVERSAL. PROVEEDOR:890704382 UNIVERSIDAD DE IBAGUE B- DAR DE BAJA EN EL SIGUIENTE COMITE</t>
  </si>
  <si>
    <t>U15201000224</t>
  </si>
  <si>
    <t>TORRES DE HAONI</t>
  </si>
  <si>
    <t>EQUIPO LABORATORIO TORRES DE HAONI. PROVEEDOR:890704382 UNIVERSIDAD DE IBAGUE</t>
  </si>
  <si>
    <t>U15201000225</t>
  </si>
  <si>
    <t>U15201000226</t>
  </si>
  <si>
    <t>U15201000227</t>
  </si>
  <si>
    <t>U15201000395</t>
  </si>
  <si>
    <t>BALANZA DE DENSIDAD .</t>
  </si>
  <si>
    <t>EQUIPO LABORATORIO BALANZA DE DENSIDAD . PROVEEDOR:890704382 UNIVERSIDAD DE IBAGUE</t>
  </si>
  <si>
    <t>Laboratorio Fisica Ondas</t>
  </si>
  <si>
    <t>U15200500534</t>
  </si>
  <si>
    <t>BASE DE EQUIPO DE HONDAS TRASVERSALES</t>
  </si>
  <si>
    <t>MAQUINARIA Y EQUIPO BASE DE EQUIPO DE HONDAS TRASVERSALES . PROVEEDOR:890704382 UNIVERSIDAD DE IBAGUE</t>
  </si>
  <si>
    <t>U15200500535</t>
  </si>
  <si>
    <t>U15200500536</t>
  </si>
  <si>
    <t>U15200500537</t>
  </si>
  <si>
    <t>U15200500559</t>
  </si>
  <si>
    <t>CALORIMETRO</t>
  </si>
  <si>
    <t>MAQUINARIA Y EQUIPO CALORIMETRO. PROVEEDOR:890704382 UNIVERSIDAD DE IBAGUE</t>
  </si>
  <si>
    <t>U15200500409</t>
  </si>
  <si>
    <t>CONTADOR DE MOVIMIENTO PHYWE</t>
  </si>
  <si>
    <t>MAQUINARIA Y EQUIPO CONTADOR DE MOVIMIENTO PHYWE. PROVEEDOR:890704382 UNIVERSIDAD DE IBAGUE</t>
  </si>
  <si>
    <t>U15201000313</t>
  </si>
  <si>
    <t>DIAPASONES</t>
  </si>
  <si>
    <t>EQUIPO LABORATORIO DIAPASONES . PROVEEDOR:890704382 UNIVERSIDAD DE IBAGUE</t>
  </si>
  <si>
    <t>U15201000314</t>
  </si>
  <si>
    <t>U15201000315</t>
  </si>
  <si>
    <t>U15201000316</t>
  </si>
  <si>
    <t>U15201000317</t>
  </si>
  <si>
    <t>U15201000318</t>
  </si>
  <si>
    <t>U15201000319</t>
  </si>
  <si>
    <t>U15201000320</t>
  </si>
  <si>
    <t>U15201000397</t>
  </si>
  <si>
    <t>FILTROS MONOCROMATICOS PARA BANCO OPTICO</t>
  </si>
  <si>
    <t>EQUIPO LABORATORIO FILTROS MONOCROMATICOS PARA BANCO OPTICO. PROVEEDOR:890704382 UNIVERSIDAD DE IBAGUE</t>
  </si>
  <si>
    <t>U15201000398</t>
  </si>
  <si>
    <t>U15201000251</t>
  </si>
  <si>
    <t>U15201000252</t>
  </si>
  <si>
    <t>U15201000253</t>
  </si>
  <si>
    <t>U15201000256</t>
  </si>
  <si>
    <t>U15201000330</t>
  </si>
  <si>
    <t>GENERADOR LASER MODELO 08180 MARCA PHYWE COLOR NEGRO .</t>
  </si>
  <si>
    <t>EQUIPO LABORATORIO GENERADOR LASER MODELO 08180 MARCA PHYWE COLOR NEGRO . PROVEEDOR:890704382 UNIVERSIDAD DE IBAGUE</t>
  </si>
  <si>
    <t>U15201000394</t>
  </si>
  <si>
    <t>GONIOMETRO</t>
  </si>
  <si>
    <t>EQUIPO LABORATORIO GONIOMETRO . PROVEEDOR:890704382 UNIVERSIDAD DE IBAGUE</t>
  </si>
  <si>
    <t>U15200500142</t>
  </si>
  <si>
    <t>INTERFACE COBRA MARCA PHYWE COLOR AZUL OSCURO</t>
  </si>
  <si>
    <t>MAQUINARIA Y EQUIPO INTERFACE COBRA MARCA PHYWE COLOR AZUL OSCURO . PROVEEDOR:890704382 UNIVERSIDAD DE IBAGUE</t>
  </si>
  <si>
    <t>U15201000405</t>
  </si>
  <si>
    <t>LAMPARA DE ALOGENO</t>
  </si>
  <si>
    <t>EQUIPO LABORATORIO LAMPARA DE ALOGENO . PROVEEDOR:890704382 UNIVERSIDAD DE IBAGUE</t>
  </si>
  <si>
    <t>U15201000396</t>
  </si>
  <si>
    <t>LAMPARA DE MERCURIO</t>
  </si>
  <si>
    <t>EQUIPO LABORATORIO LAMPARA DE MERCURIO . PROVEEDOR:890704382 UNIVERSIDAD DE IBAGUE</t>
  </si>
  <si>
    <t>U15200500411</t>
  </si>
  <si>
    <t>MICROFONO MARCA PHYWE</t>
  </si>
  <si>
    <t>MAQUINARIA Y EQUIPO MICROFONO MARCA PHYWE. PROVEEDOR:890704382 UNIVERSIDAD DE IBAGUE</t>
  </si>
  <si>
    <t>U15200500417</t>
  </si>
  <si>
    <t>MICROFONO UNIVERSAL .</t>
  </si>
  <si>
    <t>MAQUINARIA Y EQUIPO MICROFONO UNIVERSAL . PROVEEDOR:890704382 UNIVERSIDAD DE IBAGUE</t>
  </si>
  <si>
    <t>U15200500418</t>
  </si>
  <si>
    <t>U15200500419</t>
  </si>
  <si>
    <t>U15200500420</t>
  </si>
  <si>
    <t>U15200500413</t>
  </si>
  <si>
    <t>MODULO CASSY MARCA LEYBOLD</t>
  </si>
  <si>
    <t>U15200500429</t>
  </si>
  <si>
    <t>MOTORES NEUMATICOS MARCA ELWE MODELO U15425-115</t>
  </si>
  <si>
    <t>MAQUINARIA Y EQUIPO MOTORES NEUMATICOS MARCA ELWE MODELO U15425-115. PROVEEDOR:890704382 UNIVERSIDAD DE IBAGUE</t>
  </si>
  <si>
    <t>U15200500430</t>
  </si>
  <si>
    <t>U15200500431</t>
  </si>
  <si>
    <t>MOTORES NEUMATICOS MARCA SF AIR - BLOWER</t>
  </si>
  <si>
    <t>MAQUINARIA Y EQUIPO MOTORES NEUMATICOS MARCA SF AIR - BLOWER. PROVEEDOR:890704382 UNIVERSIDAD DE IBAGUE</t>
  </si>
  <si>
    <t>U15200500432</t>
  </si>
  <si>
    <t>U15200500159</t>
  </si>
  <si>
    <t>U15201000404</t>
  </si>
  <si>
    <t>PANTALLA PARA CARRIL OPTICO.</t>
  </si>
  <si>
    <t>EQUIPO LABORATORIO PANTALLA PARA CARRIL OPTICO. PROVEEDOR:890704382 UNIVERSIDAD DE IBAGUE</t>
  </si>
  <si>
    <t>U15200500410</t>
  </si>
  <si>
    <t>SENSOR NEWTON MARCA PHYWE</t>
  </si>
  <si>
    <t>MAQUINARIA Y EQUIPO SENSOR NEWTON MARCA PHYWE. PROVEEDOR:890704382 UNIVERSIDAD DE IBAGUE</t>
  </si>
  <si>
    <t>U15201000234</t>
  </si>
  <si>
    <t>SONOMETRO ANALOGO MARCA REALISTIC CAT N░33-2050</t>
  </si>
  <si>
    <t>EQUIPO LABORATORIO SONOMETRO ANALOGO MARCA REALISTIC CAT N°33-2050. PROVEEDOR:890704382 UNIVERSIDAD DE IBAGUE</t>
  </si>
  <si>
    <t>U15201000235</t>
  </si>
  <si>
    <t>U15201000232</t>
  </si>
  <si>
    <t>SONOMETRO DIGITAL MARCA BK PRECISION MODELO 732A</t>
  </si>
  <si>
    <t>EQUIPO LABORATORIO SONOMETRO DIGITAL MARCA BK PRECISION MODELO 732A . PROVEEDOR:890704382 UNIVERSIDAD DE IBAGUE</t>
  </si>
  <si>
    <t>U15201000233</t>
  </si>
  <si>
    <t>U15200500548</t>
  </si>
  <si>
    <t>SOPORTE COMPONETES OPTICOS</t>
  </si>
  <si>
    <t>MAQUINARIA Y EQUIPO SOPORTE COMPONETES OPTICOS. PROVEEDOR:890704382 UNIVERSIDAD DE IBAGUE - DAR DE BAJA EN EL SIGUIENTE COMITE</t>
  </si>
  <si>
    <t>U15200500549</t>
  </si>
  <si>
    <t>U15200500550</t>
  </si>
  <si>
    <t>U15200500551</t>
  </si>
  <si>
    <t>U15200500552</t>
  </si>
  <si>
    <t>U15200500553</t>
  </si>
  <si>
    <t>U15200500554</t>
  </si>
  <si>
    <t>U15200500555</t>
  </si>
  <si>
    <t>U15200500556</t>
  </si>
  <si>
    <t>U15200500558</t>
  </si>
  <si>
    <t>SOPORTE CON MUELLE OPTICO</t>
  </si>
  <si>
    <t>MAQUINARIA Y EQUIPO SOPORTE CON MUELLE OPTICO. PROVEEDOR:890704382 UNIVERSIDAD DE IBAGUE</t>
  </si>
  <si>
    <t>U15200500564</t>
  </si>
  <si>
    <t>MAQUINARIA Y EQUIPO SOPORTE CON MUELLE OPTICO. PROVEEDOR:890704382 UNIVERSIDAD DE IBAGUE - DAR DE BAJA EN EL SIGUIENTE COMITE</t>
  </si>
  <si>
    <t>U15200500557</t>
  </si>
  <si>
    <t>TERMOSTATO DE INMERCION MARCA LAUNDA</t>
  </si>
  <si>
    <t>MAQUINARIA Y EQUIPO TERMOSTATO DE INMERCION MARCA LAUNDA. PROVEEDOR:890704382 UNIVERSIDAD DE IBAGUE</t>
  </si>
  <si>
    <t>U15200501345</t>
  </si>
  <si>
    <t>BALANZA DIGITAL MARCA LEXUS MODELO MIX,M, PROVEEDOR:890704382</t>
  </si>
  <si>
    <t>MAQUINARIA Y EQUIPO BALANZA DIGITAL MARCA LEXUS MODELO MIX.M. PROVEEDOR:890704382 UNIVERSIDAD DE IBAGUE</t>
  </si>
  <si>
    <t>LABORATORIO INDUSTRIAL</t>
  </si>
  <si>
    <t>U15200501346</t>
  </si>
  <si>
    <t>U15200501348</t>
  </si>
  <si>
    <t>U15200501349</t>
  </si>
  <si>
    <t>U15200501350</t>
  </si>
  <si>
    <t>U15200501351</t>
  </si>
  <si>
    <t>U15200501347</t>
  </si>
  <si>
    <t>BALANZA DIGITAL MARCA SETRA MODELO HI 4100S, PROVEEDOR:890704382</t>
  </si>
  <si>
    <t>MAQUINARIA Y EQUIPO BALANZA DIGITAL MARCA SETRA MODELO HI 4100S. PROVEEDOR:890704382 UNIVERSIDAD DE IBAGUE</t>
  </si>
  <si>
    <t>U15201001152</t>
  </si>
  <si>
    <t>COMPRESOR 2 HP 125 LB DOS SALIDAS MPBM25A 1,5 KW 6,6 GL 1148001 RANGER, INCLUYE: 1 ACOPLE RAPIDO NACIONAL NACIONAL; 2 ABRAZADERA CINTA ANGOSTA 10-06 11,2-19,8 7/16-25/32 10-06; 4 MTS MANGUERA AIRE NARANJA/FUCISA 1/4 X 150PSI; 1 PISTOLA SOPLETEAR TG-10 PTA LARGA PLASTICA NBPT,</t>
  </si>
  <si>
    <t>EQUIPO LABORATORIO - COMPRESOR 2 HP 125 LB DOS SALIDAS MPBM25A 1,5 KW 6,6 GL 1148001 RANGER, INCLUYE: 1 ACOPLE RAPIDO NACIONAL NACIONAL; 2 ABRAZADERA CINTA ANGOSTA 10-06 11,2-19,8 7/16-25/32 10-06; 4 MTS MANGUERA AIRE NARANJA/FUCISA 1/4 X 150PSI; 1 PISTOLA SOPLETEAR TG-10 PTA LARGA PLASTICA NBPT.</t>
  </si>
  <si>
    <t>U15280500491</t>
  </si>
  <si>
    <t>COMPUTADOR MARCA HP MODELO PRODESK PROVEEDOR:890704382</t>
  </si>
  <si>
    <t>EQUIPOS DE COMPUTO COMPUTADOR MARCA HP MODELO PRODESK COLOR NEGRO . PROVEEDOR:890704382 UNIVERSIDAD DE IBAGUE</t>
  </si>
  <si>
    <t>U15201000470</t>
  </si>
  <si>
    <t>CONTROLADORES FISCHER TECHNIK, PROVEEDOR:890704382</t>
  </si>
  <si>
    <t>EQUIPO LABORATORIO CONTROLADORES FISCHER TECHNIK. PROVEEDOR:890704382 UNIVERSIDAD DE IBAGUE</t>
  </si>
  <si>
    <t>U15201000471</t>
  </si>
  <si>
    <t>U15201000472</t>
  </si>
  <si>
    <t>U15201000473</t>
  </si>
  <si>
    <t>U15201000474</t>
  </si>
  <si>
    <t>U15201000475</t>
  </si>
  <si>
    <t>U15201000476</t>
  </si>
  <si>
    <t>U15201000477</t>
  </si>
  <si>
    <t>U15201000478</t>
  </si>
  <si>
    <t>U15201000479</t>
  </si>
  <si>
    <t>U15201000480</t>
  </si>
  <si>
    <t>U15201000481</t>
  </si>
  <si>
    <t>U15201000482</t>
  </si>
  <si>
    <t>U15201000483</t>
  </si>
  <si>
    <t>U15201000484</t>
  </si>
  <si>
    <t>U15201000545</t>
  </si>
  <si>
    <t>CONTROLADORES PLC FISCHER TECHNIK</t>
  </si>
  <si>
    <t>EQUIPO LABORATORIO CONTROLADORES PLC FISCHER TECHNIK.</t>
  </si>
  <si>
    <t>U15201000546</t>
  </si>
  <si>
    <t>U15201000547</t>
  </si>
  <si>
    <t>U15201000548</t>
  </si>
  <si>
    <t>U15201000549</t>
  </si>
  <si>
    <t>U15201000550</t>
  </si>
  <si>
    <t>U15201000551</t>
  </si>
  <si>
    <t>U15201000552</t>
  </si>
  <si>
    <t>U15200501352</t>
  </si>
  <si>
    <t>KIT DE METROLOGIA MARCA GUNT HAMBURG, PROVEEDOR:890704382</t>
  </si>
  <si>
    <t>MAQUINARIA Y EQUIPO KIT DE METROLOGIA MARCA GUNT HAMBURG. PROVEEDOR:890704382 UNIVERSIDAD DE IBAGUE</t>
  </si>
  <si>
    <t>U15200501353</t>
  </si>
  <si>
    <t>U15200501354</t>
  </si>
  <si>
    <t>U15200501355</t>
  </si>
  <si>
    <t>U15200501356</t>
  </si>
  <si>
    <t>U15200501357</t>
  </si>
  <si>
    <t>U15200501343</t>
  </si>
  <si>
    <t>LUXIMETRO DIGITAL MARCA MINIPA, PROVEEDOR:890704382</t>
  </si>
  <si>
    <t>MAQUINARIA Y EQUIPO LUXIMETRO DIGITAL MARCA MINIPA. PROVEEDOR:890704382 UNIVERSIDAD DE IBAGUE</t>
  </si>
  <si>
    <t>U15200501344</t>
  </si>
  <si>
    <t>U15201000459</t>
  </si>
  <si>
    <t>MINIBOX , PROVEEDOR:890704382</t>
  </si>
  <si>
    <t>EQUIPO LABORATORIO MINIBOX . PROVEEDOR:890704382 UNIVERSIDAD DE IBAGUE</t>
  </si>
  <si>
    <t>U15201000460</t>
  </si>
  <si>
    <t>U15201000461</t>
  </si>
  <si>
    <t>U15201000462</t>
  </si>
  <si>
    <t>U15201000463</t>
  </si>
  <si>
    <t>U15201000464</t>
  </si>
  <si>
    <t>U15201000465</t>
  </si>
  <si>
    <t>U15201000466</t>
  </si>
  <si>
    <t>U15201000467</t>
  </si>
  <si>
    <t>U15201000468</t>
  </si>
  <si>
    <t>U15201000469</t>
  </si>
  <si>
    <t>U15201000488</t>
  </si>
  <si>
    <t>MODULO FISCHERTECHINIK 7 BANDAS LARGAS DE 1,57 MTS Y 2 BANDAS PEQUEÑAS DE 46 CM CON DOS DISPENSADORES, PROVEEDOR:890704382 UNIVERSIDAD DE IBAGUE</t>
  </si>
  <si>
    <t>EQUIPO LABORATORIO MODULO FISCHERTECHINIK 7 BANDAS LARGAS DE 1,57 MTS Y 2 BANDAS PEQUEÑAS DE 46 CM CON DOS DISPENSADORES. PROVEEDOR:890704382 UNIVERSIDAD DE IBAGUE</t>
  </si>
  <si>
    <t>U15201000489</t>
  </si>
  <si>
    <t>MODULO FISCHERTECHINIK CON 2 BANDAS LARGAS DE 1,57 Y DOS BANDA PEQUEÑA 47 CM CON 13 DIPENSADORES, PROVEEDOR:890704382</t>
  </si>
  <si>
    <t>EQUIPO LABORATORIO MODULO FISCHERTECHINIK CON 2 BANDAS LARGAS DE 1,57 Y DOS BANDA PEQUEÑA 47 CM CON 13 DIPENSADORES. PROVEEDOR:890704382</t>
  </si>
  <si>
    <t>U15280502258</t>
  </si>
  <si>
    <t>PANTALLA INTERACTIVA - SOLUCION INTERACTIVA ONESCREEN DE 1 CANVAS 70¿ - 65" ÁREA ACTIVA, RESOLUCIÓN 4K UHD PANTALLA TÁCTIL 10 TOQUES-TOUCH, PC CON INTEL I5 6TH GEN CPU, 8 GB DE RAM, SSD 128GB, 500GB DE DISCO DURO Y LICENCIA WIN 10 PRO, SISTEMA OPERATIVO ANDROID 5 CON GOOGLE PLAY STORE Y MIRACAST TECLADO INALÁMBRICO CON MOUSE INTEGRADO, ONESCREEN ANNOTATE SOFTWARE (PIZARRA INTERACTIVA) SOFTWARE ONESCREEN HYPE (VIDEO CONFERENCIA) - SUSCRIPCIÓN DE 1 AÑO INCLUIDA - MONTAJE EMPOTRADO DE PARED INCLUIDO - CAPACITACIÓN, INCLUYE 2 LÁPIZ PASIVOS - INCLUYE KIT DE LIMPIEZA INCLUIDO - INCLUYE TECLADO INALÁMBRICO CON PAD,</t>
  </si>
  <si>
    <t>PANTALLA INTERACTIVA - SOLUCION INTERACTIVA ONESCREEN DE 1 CANVAS 70¿ - 65" ÁREA ACTIVA, RESOLUCIÓN 4K UHD PANTALLA TÁCTIL 10 TOQUES-TOUCH. PC CON INTEL I5 6TH GEN CPU, 8 GB DE RAM, SSD 128GB, 500GB DE DISCO DURO Y LICENCIA WIN 10 PRO. SISTEMA OPERATIVO ANDROID 5 CON GOOGLE PLAY STORE Y MIRACAST TECLADO INALÁMBRICO CON MOUSE INTEGRADO. ONESCREEN ANNOTATE SOFTWARE (PIZARRA INTERACTIVA) SOFTWARE ONESCREEN HYPE (VIDEO CONFERENCIA) - SUSCRIPCIÓN DE 1 AÑO INCLUIDA - MONTAJE EMPOTRADO DE PARED INCLUIDO - CAPACITACIÓN. INCLUYE 2 LÁPIZ PASIVOS - INCLUYE KIT DE LIMPIEZA INCLUIDO - INCLUYE TECLADO INALÁMBRICO CON PAD.</t>
  </si>
  <si>
    <t>U15200503242</t>
  </si>
  <si>
    <t>PANTALLA INTERACTIVA ONESCREEN</t>
  </si>
  <si>
    <t>U15280501633</t>
  </si>
  <si>
    <t>PORTATIL ASUS</t>
  </si>
  <si>
    <t>U15201001116</t>
  </si>
  <si>
    <t>SISTEMA DIDÁCTICO PARA SIMULAR UN CENTRO DE DISTRIBUCIÓN (CEDI) - ESTACIÓN QUE EMULA LA RECEPCIÓN DE PRODUCTOS EN UN CEDI, INCLUYE INSTALACIÓN, PUESTA EN MARCHA Y CAPACITACIONES, LAS CARACTERÍSTICAS SE DEFINEN EN EL ANEXO 01,</t>
  </si>
  <si>
    <t>SISTEMA DIDÁCTICO PARA SIMULAR UN CENTRO DE DISTRIBUCIÓN (CEDI) - ESTACIÓN QUE EMULA LA RECEPCIÓN DE PRODUCTOS EN UN CEDI. INCLUYE INSTALACIÓN, PUESTA EN MARCHA Y CAPACITACIONES. LAS CARACTERÍSTICAS SE DEFINEN EN EL ANEXO 01.</t>
  </si>
  <si>
    <t>U15201000486</t>
  </si>
  <si>
    <t>SONOMETRO MARCA MINIPA MODELO 1325, PROVEEDOR:890704382</t>
  </si>
  <si>
    <t>EQUIPO LABORATORIO SONOMETRO MARCA MINIPA MODELO 1325. PROVEEDOR:890704382 UNIVERSIDAD DE IBAGUE</t>
  </si>
  <si>
    <t>U15201000487</t>
  </si>
  <si>
    <t>U15200500235</t>
  </si>
  <si>
    <t>Aire Acondicionado</t>
  </si>
  <si>
    <t>AIRE ACONDICIONADO LAB. DE QUIMICA SUSTANCIAS MARCA LG MINI SPLIT MODELO VM242ENC2 24000 BTU. PROVEEDOR:890704382 UNIVERSIDAD DE IBAGUE</t>
  </si>
  <si>
    <t>Laboratorio Química docencia</t>
  </si>
  <si>
    <t>U15200501323</t>
  </si>
  <si>
    <t>Balanza granatria</t>
  </si>
  <si>
    <t>MAQUINARIA Y EQUIPO BALANZA DIGITAL MARCA PRECISA MODELO BJ410C. PROVEEDOR:890704382 UNIVERSIDAD DE IBAGUE</t>
  </si>
  <si>
    <t>U15200501331</t>
  </si>
  <si>
    <t>U15201000621</t>
  </si>
  <si>
    <t>Baño ultrasónico</t>
  </si>
  <si>
    <t>BAÑO ULTRASONICO - ¿ EFICACES OSCILADORES DE POTENCIA DE ULTRASONIDOS DE 37 HZ ¿ CUBA DE LIMPIEZA DE ACERO INOXIDABLE RESISTENTE A LA EROSIÓN POR CAVITACIÓN ¿ UNIDAD DE MANDO CLARAMENTE ESTRUCTURADA Y DE FÁCIL MANEJO, SELLADA PARA EVITAR LA PENETRACIÓN DE LÍQUIDOS EN LA ELECTRÓNICA¿ INDICADOR LED PARA LA FUNCIÓN DE ULTRASONIDOS ¿ SELECTOR GIRATORIO PARA EL CÓMODO AJUSTE DEL TIEMPO DE LIMPIEZA ¿ FUNCIONAMIENTO CONTINUO O RÉGIMEN DE TIEMPO CORTO AJUSTABLE ENTRE 1 Y 30 MINUTOS ¿ FUNCIÓN «SWEEP» PERMANENTE PARA UNA DISTRIBUCIÓN OPTIMIZADA DEL CAMPO SONORO POR MODULACIÓN DE LAS FRECUENCIAS ¿ CALEFACCIÓN PROTEGIDA CONTRA EL FUNCIONAMIENTO EN SECO ¿ AJUSTE DE LA TEMPERATURA CON SELECTOR GIRATORIO ENTRE 30° Y 80°C A INTERVALOS DE 5° ¿ INDICADOR LED PARA LA FUNCIÓN DE CALEFACCIÓN ¿ CABLE DE RED EXTRAÍBLE CON CONECTOR IEC ¿ TEMPERATURA LÍMITE AJUSTABLE CON SEÑAL DE ADVERTENCIA EN CASO DE EXCEDERSE ¿ PARADA DE SEGURIDAD AUTOMÁTICA TRAS 8 HORAS DE FUNCIONAMIENTO CONTINUO ¿ PARADA DE SEGURIDAD AUTOMÁTICA A UNA TEMPERATURA DEL BAÑO DE 90 ° ¿ ASAS DE TRANSPORTE DE PLÁSTICO CON FORMA ERGONÓMICA ¿ FUNCIÓN DE «IMPULSO» MARCA ELMA REF 1071657</t>
  </si>
  <si>
    <t>U15200501336</t>
  </si>
  <si>
    <t>Espectofotómetro</t>
  </si>
  <si>
    <t>MAQUINARIA Y EQUIPO FOTOMETTRO MULTIPARAMETRO MARCA HANNA INSTRUMENTS MODELO HI83200. PROVEEDOR:890704382 UNIVERSIDAD DE IBAGUE</t>
  </si>
  <si>
    <t>U15201000620</t>
  </si>
  <si>
    <t>ESPECTROFOTÓMETRO - UV/VIS CUENTA CON UN SISTEMA ÓPTICO DE HAS SIMPLE, ACOMPAÑADO DE UNA LAMPARA DE TUGSTENO-DEUTERIO COMO FUENTE DE LUZ, FOTODIODO DE SILICIO COMO DETECTOR, MEMORIA 236KB(INCORPORADA) PANTALLA A COLOR DE 5 PULGADAS (480X272). COMO ESPECTROFOTO¿METRO DE HAZ SIMPLE PROPORCIONA LAS FUNCIONES BA¿SICAS, EN LAS QUE SE INCLUYEN: PRUEBA FOTOMETRI¿A, PRUEBA DE CUANTIFICACIO¿N, GESTIO¿N DE ARCHIVOS, GESTIO¿N DEL SISTEMA Y VERIFICACIO¿N DEL RENDIMIENTO. EL EQUIPO OPERA CON UNA PANTALLA TA¿CTIL LCD A COLOR Y ES ADECUADO PARA A¿REAS DE EDUCACIO¿N, BIOLOGI¿A, FARMACIA, ALIMENTOS, PROTECCIO¿N DEL MEDIO AMBIENTE, ENTRE OTRAS. POSEE UN RANGO DE TRABAJO DE 195 A 1095 NM Y POSEE UN PORTACELDAS MANUAL DE 10 MM DE 4 POSICIONES. REFERENCIA: P1 MARCA: MAPADA</t>
  </si>
  <si>
    <t>U15200501337</t>
  </si>
  <si>
    <t>Medidor multiparametro</t>
  </si>
  <si>
    <t>MAQUINARIA Y EQUIPO MEDIDOR DE MULTIPARAMETRO HP CE MARCA HANNA INSTRUMENTS MODELO HI 2550. PROVEEDOR:890704382 UNIVERSIDAD DE IBAGUE</t>
  </si>
  <si>
    <t>U15201000734</t>
  </si>
  <si>
    <t>MEDIDOR - CÓDIGO: HI 9811-5 MEDIDOR COMBINADO PH/EC/TDS (6000US,3000MG/L)</t>
  </si>
  <si>
    <t>U15201000735</t>
  </si>
  <si>
    <t>U15201000736</t>
  </si>
  <si>
    <t>U15201000737</t>
  </si>
  <si>
    <t>U15201000453</t>
  </si>
  <si>
    <t>Turbidímetro</t>
  </si>
  <si>
    <t>EQUIPO LABORATORIO TURBIDIMETRO MARCA OAKYON MODELO T-100. PROVEEDOR:890704382 UNIVERSIDAD DE IBAGUE</t>
  </si>
  <si>
    <t>U15200502891</t>
  </si>
  <si>
    <t>Video proyector</t>
  </si>
  <si>
    <t>VIDEOPROYECTOR - IDEO PROYECTOR MARCA EPSON MODELO POWERLITE X41 LUMINOSIDAD: 3600 LUMENS, RESOLUCIÓN: XGA 1024X768, CONTRASTE 15.000:1, VIDA ÚTIL: 5000 HORAS MODO NORMAL, 10.000 HORAS MODO ECO, DISTANCIA DE PROYECCIÓN: 0,84M A 10,42 M, APERTURA DE PANTALLA 30" - 300", CONECTIVIDAD: VGA/ HDMI/ USB TIPO A / USB TIPO B 3 EN 1 / LAN INALÁMBRICA IEEE 802.11B/G/N (ACCESORIO INCLUIDO) / SONIDO: 2W, CARACTERÍSTICAS ESPECIALES: REPRODUCCIÓN DEL COLOR HASTA 1 BILLÓN / SEÑAL DE VIDEO ANÁLOGA: NTSC/NTSC4.43/PAL/M-PAL/N-PAL/PAL60/SECAM / SEÑAL DE VIDEO DIGITAL: 480I / 576I / 480P / 576P / 720P / 1080I / 1080P /INCLUYE CONTROL REMOTO. GARANTÍA: 3 MESES EN LÁMPARA, 2 AÑOS EN EQUIPO. NÚMERO DE PARTE: V11H843021.</t>
  </si>
  <si>
    <t>U15201000648</t>
  </si>
  <si>
    <t>BÁSCULA ELECTRÓNICA DIGITAL 15 KG</t>
  </si>
  <si>
    <t>EQUIPO LABORATORIO - BALANZA DIGITAL CAP 15K X 1G TIEMPO</t>
  </si>
  <si>
    <t>Laboratorios</t>
  </si>
  <si>
    <t>U15201000646</t>
  </si>
  <si>
    <t>BÁSCULA ELECTRÓNICA DIGITAL 3KG</t>
  </si>
  <si>
    <t>EQUIPO LABORATORIO - BALANZA DIGITAL CAP 3000G X 0.01G</t>
  </si>
  <si>
    <t>U15201000647</t>
  </si>
  <si>
    <t>BÁSCULA ELECTRÓNICA DIGITAL 6KG</t>
  </si>
  <si>
    <t>EQUIPO LABORATORIO - BALANZA DIGITAL CAP 6000G X 0.1G</t>
  </si>
  <si>
    <t>U15200500112</t>
  </si>
  <si>
    <t>CENTRIFUGA PARA ASFALTOS</t>
  </si>
  <si>
    <t>MAQUINARIA Y EQUIPO CENTRIFUGA DE ASFALTO . PROVEEDOR:890704382 UNIVERSIDAD DE IBAGUE</t>
  </si>
  <si>
    <t>U15200500110</t>
  </si>
  <si>
    <t>EXTRACTOR DE NUCLEOS</t>
  </si>
  <si>
    <t>MAQUINARIA Y EQUIPO SACA NÚCLEOS . PROVEEDOR:890704382 UNIVERSIDAD DE IBAGUE</t>
  </si>
  <si>
    <t>U15201000669</t>
  </si>
  <si>
    <t>INDERBITZEN</t>
  </si>
  <si>
    <t>EQUIPO LABORATORIO - CONSTRUCCIÓN, ENSAMBLAJE Y SUMINISTRO DE UN DISPOSITIVO INDERBITZEN, SEGÚN DISEÑO ESCOGIDO POR EL CLIENTE, PARA LA ESTIMACIÓN DE LA EROSIÓN LAMINAR EN UN SUELO POR ESCORRENTÍA REF: INDER01</t>
  </si>
  <si>
    <t>U15200500109</t>
  </si>
  <si>
    <t>MAQUINA DE LOS ANGELES</t>
  </si>
  <si>
    <t>MAQUINARIA Y EQUIPO MAQUINA DE LOS ÁNGELES . PROVEEDOR:890704382 UNIVERSIDAD DE IBAGUE</t>
  </si>
  <si>
    <t>U15200500111</t>
  </si>
  <si>
    <t>MICRO DEVAL</t>
  </si>
  <si>
    <t>MAQUINARIA Y EQUIPO MICRO DEBAL. PROVEEDOR:890704382 UNIVERSIDAD DE IBAGUE</t>
  </si>
  <si>
    <t>U15200503167</t>
  </si>
  <si>
    <t>Aire acondiacionado</t>
  </si>
  <si>
    <t>AIRE ACONDICIONADO LABORATORIO LM1 - 1 MARCA LG TIPO SPLIT 24.000 BTU INVERTER, CON REFRIGERANTE ECOLOGICO R410 EQUIPO: SPLIT INCLUYE INSTALACIÓN MANO DE OBRA INSTALACIÓN, INCLUYE TUBERIA AISLANTE TERMICO, CABLEADO DE COMUNICACIÓN, ANCLAJES, ACCESORIOS DE INSTALACIÓN, DRENAJES.</t>
  </si>
  <si>
    <t>Redes Computacionales o LM1</t>
  </si>
  <si>
    <t>U15200503168</t>
  </si>
  <si>
    <t>AIRE ACONDICIONADO LABORATORIO LM1 - 2 MARCA LG TIPO SPLIT 24.000 BTU INVERTER, CON REFRIGERANTE ECOLOGICO R410 EQUIPO: SPLIT INCLUYE INSTALACIÓN MANO DE OBRA INSTALACIÓN, INCLUYE TUBERIA AISLANTE TERMICO, CABLEADO DE COMUNICACIÓN, ANCLAJES, ACCESORIOS DE INSTALACIÓN, DRENAJES.</t>
  </si>
  <si>
    <t>U15200502129</t>
  </si>
  <si>
    <t>Cabina de Sonido</t>
  </si>
  <si>
    <t>MAQUINARIA Y EQUIPO BASE DE SONIDO PRO DJ. PROVEEDOR:890704382 UNIVERSIDAD DE IBAGUE</t>
  </si>
  <si>
    <t>U15280502315</t>
  </si>
  <si>
    <t>Computador de Mesa</t>
  </si>
  <si>
    <t>EQUIPOS DE COMPUTO DELL - REFERENCIA VOSTRO DESKTOP 3470 REFERENCIA TORRE PEQUEÑA SMALL FORM FACTOR PROCESADOR INTEL CORE I7-8700 8VA GENERACIÓN 3.2 GHZ</t>
  </si>
  <si>
    <t>U15280502317</t>
  </si>
  <si>
    <t>U15280502318</t>
  </si>
  <si>
    <t>U15280502319</t>
  </si>
  <si>
    <t>U15280502320</t>
  </si>
  <si>
    <t>U15280502321</t>
  </si>
  <si>
    <t>U15280502322</t>
  </si>
  <si>
    <t>U15280502323</t>
  </si>
  <si>
    <t>U15280502325</t>
  </si>
  <si>
    <t>U15280502326</t>
  </si>
  <si>
    <t>U15280502327</t>
  </si>
  <si>
    <t>U15280502328</t>
  </si>
  <si>
    <t>U15280502329</t>
  </si>
  <si>
    <t>U15280502330</t>
  </si>
  <si>
    <t>U15280502331</t>
  </si>
  <si>
    <t>U15280502332</t>
  </si>
  <si>
    <t>U15280502333</t>
  </si>
  <si>
    <t>U15280502334</t>
  </si>
  <si>
    <t>U15280502335</t>
  </si>
  <si>
    <t>U15280502385</t>
  </si>
  <si>
    <t>EQUIPOS DE COMPUTO DELL - EQUIPOS MARCA DELL VOSTRO SFF WIN10 PRO 3710BTS/VOSTRO DESKTOPS/12TH GENERATION INTEL® CORETM I5-12400 (18 MB CACHE, 6 CORES, 12 THREADS, 2.50 GHZ TO 4.40 GHZ TURBO)/ MEMORIA RAM 32 GB, DDR4, 3200 MHZ, DISCO SSD PCIE 512GB, WINDOWS 10 PRO (WINDOWS 11 PRO LICENSE INCLUDED), ENGLISH, FRENCH, SPANISH INTEL® UHD GRAPHICS 730NA802.11AC 1X1 WIFI AND BLUETOOTH TAREJTA VIDEO GT730 2GB DELL WIRED KEYBOARD- KB216 BLACK (LATIN AMERICA) DELL OPTICAL MOUSE - MS116 (BLACK) MONITOR DELL 18,5" RESOLUCION 1600 X 900 PUERTOS 1X VGA NO OPTICAL DRIVE180W PSU WITH TPM L61 YEAR HARDWARE SERVICE WITH ONSITE; WINDOWS 10; GARANTIA 1 AÑO</t>
  </si>
  <si>
    <t>U15280502386</t>
  </si>
  <si>
    <t>U15280502387</t>
  </si>
  <si>
    <t>U15280502388</t>
  </si>
  <si>
    <t>U15280502389</t>
  </si>
  <si>
    <t>U15200501551</t>
  </si>
  <si>
    <t>Router cisco 2800 series</t>
  </si>
  <si>
    <t>MAQUINARIA Y EQUIPO ROUTER. PROVEEDOR:890704382 UNIVERSIDAD DE IBAGUE</t>
  </si>
  <si>
    <t>U15200501552</t>
  </si>
  <si>
    <t>U15200501554</t>
  </si>
  <si>
    <t>U15200501556</t>
  </si>
  <si>
    <t>U15200501559</t>
  </si>
  <si>
    <t>U15200501561</t>
  </si>
  <si>
    <t>U15200501563</t>
  </si>
  <si>
    <t>Router cisco 3800 series</t>
  </si>
  <si>
    <t>U15200501553</t>
  </si>
  <si>
    <t>Switches Catalyst 2960</t>
  </si>
  <si>
    <t>U15200501555</t>
  </si>
  <si>
    <t>U15200501557</t>
  </si>
  <si>
    <t>U15200501558</t>
  </si>
  <si>
    <t>U15200501560</t>
  </si>
  <si>
    <t>U15200501562</t>
  </si>
  <si>
    <t>U15200503343</t>
  </si>
  <si>
    <t>Video beam</t>
  </si>
  <si>
    <t>VIDEOPROYECTOR - EPSON POWERLITE X49 3LCD XGA CON HDMI, MODELO: V11H982020: V11H982020 - PROYECTOR LCD EPSON POWERLITE X49 - 4:3 - 1024 X 768 - FRONTAL, PARTE TRASERA, DE TECHO - 6000HORA(S) NORMAL MODE - 12000HORA(S) ECONOMY MODE - XGA - 16,000:1 - 3600LM - HDMI - USB - GARANTIA 2 AÑOS</t>
  </si>
  <si>
    <t>U15280502316</t>
  </si>
  <si>
    <t>Redes Computacionales o LM2</t>
  </si>
  <si>
    <t>U15280502324</t>
  </si>
  <si>
    <t>Redes Computacionales o LM3</t>
  </si>
  <si>
    <t>U15280500782</t>
  </si>
  <si>
    <t>EQUIPOS DE COMPUTO COMPUTADOR DE MESA HP CON MONITOR SAMSUNG CON PARLANTES. PROVEEDOR:890704382 UNIVERSIDAD DE IBAGUE</t>
  </si>
  <si>
    <t>DERECHO</t>
  </si>
  <si>
    <t>U15280501567</t>
  </si>
  <si>
    <t>EQUIPOS DE COMPUTO COMPUTADOR DE MESA DELL OCTIPLES 190. PROVEEDOR:890704382 UNIVERSIDAD DE IBAGUE</t>
  </si>
  <si>
    <t>Administrativa</t>
  </si>
  <si>
    <t>GTRES</t>
  </si>
  <si>
    <t>U15280500033</t>
  </si>
  <si>
    <t>EQUIPOS DE COMPUTO COMPUTADOR MARCA DELL OPTIPLEX 990 COLOR NEGRO . PROVEEDOR:890704382 UNIVERSIDAD DE IBAGUE</t>
  </si>
  <si>
    <t>PLANEACION</t>
  </si>
  <si>
    <t>U15280500477</t>
  </si>
  <si>
    <t>EQUIPOS DE COMPUTO COMPUTADOR MARCA HP MODELO COMPAQ PRO 4300. PROVEEDOR:890704382 UNIVERSIDAD DE IBAGUE</t>
  </si>
  <si>
    <t>DIRECCIÓN DE INVESTIGACIONES</t>
  </si>
  <si>
    <t>U15280500786</t>
  </si>
  <si>
    <t>PROGRAMA DE PSICOLOGÍA</t>
  </si>
  <si>
    <t>U15280500898</t>
  </si>
  <si>
    <t>EQUIPOS DE COMPUTO COMPUTADOR DE MESA MARCA DELL MODELO OPTIPLEX 745 COLOR NEGRO . PROVEEDOR:890704382 UNIVERSIDAD DE IBAGUE</t>
  </si>
  <si>
    <t>AUTOMATIZACION</t>
  </si>
  <si>
    <t>U15280501266</t>
  </si>
  <si>
    <t>EQUIPOS DE COMPUTO COMPUTADOR DE MESA APPLE . PROVEEDOR:890704382 UNIVERSIDAD DE IBAGUE</t>
  </si>
  <si>
    <t>PROGRAMA DE COMUNICACION SOCIAL</t>
  </si>
  <si>
    <t>U15280500637</t>
  </si>
  <si>
    <t>EQUIPOS DE COMPUTO COMPUTADOR DE MESA MARCA HP COLOR NEGRO REF COMPAQ ELITE 8300. PROVEEDOR:890704382 UNIVERSIDAD DE IBAGUE</t>
  </si>
  <si>
    <t>PROGRAMA DE INGENIERIA MECANICA</t>
  </si>
  <si>
    <t>U15280501144</t>
  </si>
  <si>
    <t>EQUIPOS DE COMPUTO COMPUTADOR DE MESA HP. PROVEEDOR:890704382 UNIVERSIDAD DE IBAGUE</t>
  </si>
  <si>
    <t>POSGRADOS</t>
  </si>
  <si>
    <t>U15280500529</t>
  </si>
  <si>
    <t>Computador Todo en Uno</t>
  </si>
  <si>
    <t>EQUIPOS DE COMPUTO COMPUTADOR DE MESA APPLE BLANCO. PROVEEDOR:890704382 UNIVERSIDAD DE IBAGUE</t>
  </si>
  <si>
    <t>PROGRAMA ARQUITECTURA</t>
  </si>
  <si>
    <t>U15280501338</t>
  </si>
  <si>
    <t>EQUIPOS DE COMPUTO COMPUTADOR MARCA DELL. PROVEEDOR:890704382 UNIVERSIDAD DE IBAGUE</t>
  </si>
  <si>
    <t>U15280501484</t>
  </si>
  <si>
    <t>EQUIPOS DE COMPUTO COMPUTADOR DE MESA MARCA VOSTRO . PROVEEDOR:890704382 UNIVERSIDAD DE IBAGUE</t>
  </si>
  <si>
    <t>U15280501258</t>
  </si>
  <si>
    <t>EQUIPOS DE COMPUTO COMPUTADOR DE MESA APPLE. PROVEEDOR:890704382 UNIVERSIDAD DE IBAGUE</t>
  </si>
  <si>
    <t>U15280501262</t>
  </si>
  <si>
    <t>U15280501334</t>
  </si>
  <si>
    <t>EQUIPOS DE COMPUTO COMPUTADOR DE MESA MARCA HP. PROVEEDOR:890704382 UNIVERSIDAD DE IBAGUE</t>
  </si>
  <si>
    <t>U15280500657</t>
  </si>
  <si>
    <t>EQUIPOS DE COMPUTO COMPUTADOR MARCA HP CON DOS BAFLES. PROVEEDOR:830087030 S.O.S. SOLUCIONES DE OFICINA &amp; SUMINISTROS S.A.S.</t>
  </si>
  <si>
    <t>BIENESTAR UNIVERSITARIO</t>
  </si>
  <si>
    <t>U15280500599</t>
  </si>
  <si>
    <t>EQUIPOS DE COMPUTO COMPUTADOR DE MESA MARCA HP MODELO COMPAQ 8100 COLOR NEGRO . PROVEEDOR:890704382 UNIVERSIDAD DE IBAGUE</t>
  </si>
  <si>
    <t>U15280501263</t>
  </si>
  <si>
    <t>U15280501260</t>
  </si>
  <si>
    <t>U15280501265</t>
  </si>
  <si>
    <t>U15280500720</t>
  </si>
  <si>
    <t>Computador Portátil</t>
  </si>
  <si>
    <t>EQUIPOS DE COMPUTO COMPUTADOR PORTATIL MARCA HP. PROVEEDOR:890704382 UNIVERSIDAD DE IBAGUE</t>
  </si>
  <si>
    <t>MANTENIMIENTO</t>
  </si>
  <si>
    <t>U15280500781</t>
  </si>
  <si>
    <t>EQUIPOS DE COMPUTO COMPUTADOR DE MESA HP CON ESTABILIZADOR Y PARLANTES. PROVEEDOR:890704382 UNIVERSIDAD DE IBAGUE</t>
  </si>
  <si>
    <t>U15280500779</t>
  </si>
  <si>
    <t>EQUIPOS DE COMPUTO COMPUTADOR DE MESA HP CON MONITOR SAMSUNG CON ESTABILIZADOR . PROVEEDOR:890704382 UNIVERSIDAD DE IBAGUE</t>
  </si>
  <si>
    <t>U15280501270</t>
  </si>
  <si>
    <t>FACULTAD DE HUMANIDADES</t>
  </si>
  <si>
    <t>U15280500687</t>
  </si>
  <si>
    <t>GESTION CURRICULAR AVACO</t>
  </si>
  <si>
    <t>U15280500482</t>
  </si>
  <si>
    <t>EQUIPOS DE COMPUTO COMPUTADOR MARCA HP MODELO COMPAQ PRO 4300 COLOR NEGRO . PROVEEDOR:890704382 UNIVERSIDAD DE IBAGUE</t>
  </si>
  <si>
    <t>U15280501581</t>
  </si>
  <si>
    <t>PROGRAMA DE INGENIERIA ELECTRONICA</t>
  </si>
  <si>
    <t>U15280501578</t>
  </si>
  <si>
    <t>EQUIPOS DE COMPUTO COMPUTADOR MARCA HP . PROVEEDOR:890704382 UNIVERSIDAD DE IBAGUE</t>
  </si>
  <si>
    <t>U15280501267</t>
  </si>
  <si>
    <t>U15280501500</t>
  </si>
  <si>
    <t>EQUIPOS DE COMPUTO EQUIPO PORTATIL MARCA DELL VOSTRO. PROVEEDOR:890704382 UNIVERSIDAD DE IBAGUE</t>
  </si>
  <si>
    <t>U15280500904</t>
  </si>
  <si>
    <t>EQUIPOS DE COMPUTO COMPUTADOR DE MESA DATACENTER MARCA DELL . PROVEEDOR:890704382 UNIVERSIDAD DE IBAGUE</t>
  </si>
  <si>
    <t>U15280500053</t>
  </si>
  <si>
    <t>EQUIPOS DE COMPUTO PORTATIL MARCA TOSHIBA COLOR GRIS HTLM . PROVEEDOR:890704382 UNIVERSIDAD DE IBAGUE</t>
  </si>
  <si>
    <t>COMPRAS Y SUMINISTROS</t>
  </si>
  <si>
    <t>U15280501406</t>
  </si>
  <si>
    <t>EQUIPOS DE COMPUTO COMPUTADOR DE MESA HP CON MULTITOMA. PROVEEDOR:890704382 UNIVERSIDAD DE IBAGUE</t>
  </si>
  <si>
    <t>U15280500855</t>
  </si>
  <si>
    <t>EQUIPOS DE COMPUTO COMPUTADOR DE MESA COLOR NEGRO MARCA HP MODELO COM0PAQ PRO4300. PROVEEDOR:890704382 UNIVERSIDAD DE IBAGUE</t>
  </si>
  <si>
    <t>U15280501369</t>
  </si>
  <si>
    <t>U15280501366</t>
  </si>
  <si>
    <t>U15280501361</t>
  </si>
  <si>
    <t>PROGRAMA DE INGENIERIA CIVIL</t>
  </si>
  <si>
    <t>U15280501358</t>
  </si>
  <si>
    <t>U15280501226</t>
  </si>
  <si>
    <t>EQUIPOS DE COMPUTO COMPUTADOR DE MESA MARCA JANUS. PROVEEDOR:890704382 UNIVERSIDAD DE IBAGUE</t>
  </si>
  <si>
    <t>RESPONSABILIDAD SOCIAL</t>
  </si>
  <si>
    <t>U15280500499</t>
  </si>
  <si>
    <t>EQUIPOS DE COMPUTO COMPUTADOR MARCA HP COLOR NEGRO . PROVEEDOR:890704382 UNIVERSIDAD DE IBAGUE</t>
  </si>
  <si>
    <t>U15280501127</t>
  </si>
  <si>
    <t>U15280501342</t>
  </si>
  <si>
    <t>U15280500618</t>
  </si>
  <si>
    <t>EQUIPOS DE COMPUTO COMPUTADOR DE MESA COLOR NEGRO MARCA HP. PROVEEDOR:890704382 UNIVERSIDAD DE IBAGUE</t>
  </si>
  <si>
    <t>U15280500612</t>
  </si>
  <si>
    <t>EQUIPOS DE COMPUTO COMPUTADOR DE MESA MARCA HP COLOR NEGRO . PROVEEDOR:890704382 UNIVERSIDAD DE IBAGUE</t>
  </si>
  <si>
    <t>PAZ Y REGION</t>
  </si>
  <si>
    <t>U15280500597</t>
  </si>
  <si>
    <t>EQUIPOS DE COMPUTO COMPUTADOR DE MESA MARCA HP MODELO PRODESK 400 COLOR NEGRO . PROVEEDOR:890704382 UNIVERSIDAD DE IBAGUE</t>
  </si>
  <si>
    <t>U15280500614</t>
  </si>
  <si>
    <t>EQUIPOS DE COMPUTO COMPUTADOR DE MESA MARCA HO COLOR NEGRO . PROVEEDOR:890704382 UNIVERSIDAD DE IBAGUE</t>
  </si>
  <si>
    <t>SECRETARIA GENERAL</t>
  </si>
  <si>
    <t>U15280500621</t>
  </si>
  <si>
    <t>U15280500595</t>
  </si>
  <si>
    <t>GESTION HUMANA</t>
  </si>
  <si>
    <t>U15280501514</t>
  </si>
  <si>
    <t>EQUIPOS DE COMPUTO COMPUTADOR PORTATIL MARCA HP14+. PROVEEDOR:890704382 UNIVERSIDAD DE IBAGUE</t>
  </si>
  <si>
    <t>PLANTA FISICA</t>
  </si>
  <si>
    <t>U15280500562</t>
  </si>
  <si>
    <t>EQUIPOS DE COMPUTO COMPUTADOR PORTATIL MARCA LENOVO COLOR BLANCO M. PROVEEDOR:890704382 UNIVERSIDAD DE IBAGUE</t>
  </si>
  <si>
    <t>U15280501648</t>
  </si>
  <si>
    <t>EQUIPOS DE COMPUTO COMPUTADOR PORTATIL ASUS. PROVEEDOR:890704382 UNIVERSIDAD DE IBAGUE</t>
  </si>
  <si>
    <t>U15280503662</t>
  </si>
  <si>
    <t>EQUIPOS DE COMPUTO PORTATIL ASUS. PLACA VIEJA 152804127 PROVEEDOR:890704382 UNIVERSIDAD DE IBAGUE</t>
  </si>
  <si>
    <t>U15280501647</t>
  </si>
  <si>
    <t>EQUIPOS DE COMPUTO COMPUTADOR PORTATIL MARCA ASUS . PROVEEDOR:890704382 UNIVERSIDAD DE IBAGUE</t>
  </si>
  <si>
    <t>U15280501557</t>
  </si>
  <si>
    <t>EQUIPOS DE COMPUTO COMPUTADOR DE MESA DELL . PROVEEDOR:890704382 UNIVERSIDAD DE IBAGUE</t>
  </si>
  <si>
    <t>U15280500606</t>
  </si>
  <si>
    <t>EQUIPOS DE COMPUTO COMPUTADOR PORTÁTIL COLOR PLATEADO MARCA LENOVO MODELO 20366. PROVEEDOR:890704382 UNIVERSIDAD DE IBAGUE</t>
  </si>
  <si>
    <t>PROGRAMA DE BIOLOGIA AMBIENTAL</t>
  </si>
  <si>
    <t>U15280501162</t>
  </si>
  <si>
    <t>U15280501152</t>
  </si>
  <si>
    <t>TESORERIA</t>
  </si>
  <si>
    <t>U15280501615</t>
  </si>
  <si>
    <t>EQUIPOS DE COMPUTO COMPUTADOR DE MESA MARCA DELL CON CPU. PROVEEDOR:890704382 UNIVERSIDAD DE IBAGUE</t>
  </si>
  <si>
    <t>DIRECCION ADMINISTRATIVA</t>
  </si>
  <si>
    <t>U15280501002</t>
  </si>
  <si>
    <t>U15280501158</t>
  </si>
  <si>
    <t>U15280501156</t>
  </si>
  <si>
    <t>U15280501151</t>
  </si>
  <si>
    <t>U15280501017</t>
  </si>
  <si>
    <t>UNIDAD DE PERMANENCIA</t>
  </si>
  <si>
    <t>U15280501011</t>
  </si>
  <si>
    <t>GESTION DOCUMENTAL</t>
  </si>
  <si>
    <t>U15280501012</t>
  </si>
  <si>
    <t>U15280501008</t>
  </si>
  <si>
    <t>U15280501013</t>
  </si>
  <si>
    <t>U15280501016</t>
  </si>
  <si>
    <t>FACULDAD DE INGENIERIA</t>
  </si>
  <si>
    <t>U15280501003</t>
  </si>
  <si>
    <t>INGENIERIA INDUSTRIAL</t>
  </si>
  <si>
    <t>U15280501009</t>
  </si>
  <si>
    <t>BIBLIOTECA</t>
  </si>
  <si>
    <t>U15280501010</t>
  </si>
  <si>
    <t>APOYO FINANCIERO</t>
  </si>
  <si>
    <t>U15280501019</t>
  </si>
  <si>
    <t>U15280501157</t>
  </si>
  <si>
    <t>U15280501018</t>
  </si>
  <si>
    <t>U15280501153</t>
  </si>
  <si>
    <t>U15280501014</t>
  </si>
  <si>
    <t>U15280501015</t>
  </si>
  <si>
    <t>U15280501165</t>
  </si>
  <si>
    <t>U15280501178</t>
  </si>
  <si>
    <t>TIENDA UNIVERSITARIA</t>
  </si>
  <si>
    <t>U15280501168</t>
  </si>
  <si>
    <t>U15280501170</t>
  </si>
  <si>
    <t>U15280501171</t>
  </si>
  <si>
    <t>U15280501169</t>
  </si>
  <si>
    <t>U15280501182</t>
  </si>
  <si>
    <t>U15280501177</t>
  </si>
  <si>
    <t>U15280501181</t>
  </si>
  <si>
    <t>U15280501183</t>
  </si>
  <si>
    <t>U15280501185</t>
  </si>
  <si>
    <t>U15280501184</t>
  </si>
  <si>
    <t>U15280501166</t>
  </si>
  <si>
    <t>U15280501179</t>
  </si>
  <si>
    <t>U15280501173</t>
  </si>
  <si>
    <t>U15280501180</t>
  </si>
  <si>
    <t>U15280501175</t>
  </si>
  <si>
    <t>U15280501174</t>
  </si>
  <si>
    <t>U15280501186</t>
  </si>
  <si>
    <t>U15280501172</t>
  </si>
  <si>
    <t>U15280501167</t>
  </si>
  <si>
    <t>U15280501154</t>
  </si>
  <si>
    <t>U15280500281</t>
  </si>
  <si>
    <t>EQUIPOS DE COMPUTO DELL - MARCA: DELL N/P: 69195829 PRODUCTO: OPTIPLEX 7050 SMALL FORM FACTOR BTX DELL MS116 WIRED MOUSE, BLACK DVD+/-RW BEZEL, SMALL FORM FACTOR INTEL CORE I7-7700 (QC/8MB/8T/3.6GHZ/65W) SUPPORTS WINDOWS 10/LINUX 8GB (2X4GB) 2400MHZ DDR4 MEMORY 1TB 7.2K RPM SATA 6GBPS ENTRY 3.5IN CABLED HARD DRIVE TRAY LOADING DUAL LAYER DVD BURNER INTEL INTEGRATED GRAPHICS, DELL OPTIPLEX DELL KB216 WIRED KEYBOARD, SPANISH WIN 10 PRO 64 ENGLISH, FRENCH, SPANISH DELL LIMITED HARDWARE WARRANTY PLUS SERVICE PROSUPPORT: NEXT BUSINESS DAY ONSITE, 3 YEARS PROSUPPORT: 7X24 TECHNICAL SUPPORT, 3 YEARS DELL 20 MONITOR E2016H, SHPW</t>
  </si>
  <si>
    <t>U15280500282</t>
  </si>
  <si>
    <t>U15280500283</t>
  </si>
  <si>
    <t>U15280500284</t>
  </si>
  <si>
    <t>U15280500285</t>
  </si>
  <si>
    <t>QUIPOS DE COMPUTO DELL - MARCA: DELL N/P: 69195829 PRODUCTO: OPTIPLEX 7050 SMALL FORM FACTOR BTX DELL MS116 WIRED MOUSE, BLACK DVD+/-RW BEZEL, SMALL FORM FACTOR INTEL CORE I7-7700 (QC/8MB/8T/3.6GHZ/65W) SUPPORTS WINDOWS 10/LINUX 8GB (2X4GB) 2400MHZ DDR4 MEMORY 1TB 7.2K RPM SATA 6GBPS ENTRY 3.5IN CABLED HARD DRIVE TRAY LOADING DUAL LAYER DVD BURNER INTEL INTEGRATED GRAPHICS, DELL OPTIPLEX DELL KB216 WIRED KEYBOARD, SPANISH WIN 10 PRO 64 ENGLISH, FRENCH, SPANISH DELL LIMITED HARDWARE WARRANTY PLUS SERVICE PROSUPPORT: NEXT BUSINESS DAY ONSITE, 3 YEARS PROSUPPORT: 7X24 TECHNICAL SUPPORT, 3 YEARS DELL 20 MONITOR E2016H, SHPW</t>
  </si>
  <si>
    <t>U15280500286</t>
  </si>
  <si>
    <t>U15280500287</t>
  </si>
  <si>
    <t>U15280500288</t>
  </si>
  <si>
    <t>U15280500289</t>
  </si>
  <si>
    <t>U15280500290</t>
  </si>
  <si>
    <t>U15280500291</t>
  </si>
  <si>
    <t>U15280500292</t>
  </si>
  <si>
    <t>U15280502548</t>
  </si>
  <si>
    <t>U15280500294</t>
  </si>
  <si>
    <t>U15280500295</t>
  </si>
  <si>
    <t>U15280500296</t>
  </si>
  <si>
    <t>U15280500297</t>
  </si>
  <si>
    <t>U15280500298</t>
  </si>
  <si>
    <t>U15280500299</t>
  </si>
  <si>
    <t>U15280502368</t>
  </si>
  <si>
    <t>U15280502369</t>
  </si>
  <si>
    <t>U15280501785</t>
  </si>
  <si>
    <t>EQUIPOS DE COMPUTO DELL - OPTIPLEX 7050 SMALL FORM - 70665534 CORE I7 7700 (8MB/8T/3.6 GHZ) SISTEMA OPERATIVO WINDOWS 10 PRO, 64 BIT, INGLES, FRANCES, ESP, MICROSOFT OFFICE MICROSOFTW OFFIE TRIAL 16 GB (23*8 GB) 2400 MHZ DDR4 MEMORY DD DE 1TB 7200 RPM DE 3.5", TARJETA DE VIDEO AMD RADEON R7 450, 4GB, (DP/DP), TECLADO S Y MOUSE TECALDO DELL MULTIMEDIA, KB216, NEGRO, ESP MOUSE DELL MOUSE DELL OPTICO MS116, USB, COLOR NEGRO, INCLUYE UNIDAD DVD, MONITOR DELL E2216H MONITOR DELL SERIE EE2216H DE 22", VGA N/P 70665534</t>
  </si>
  <si>
    <t>U15280506137</t>
  </si>
  <si>
    <t>EQUIPOS DE COMPUTO LEASING -ACTIVO CREADO AUTOMATICAMENTE POR PROCESO DE OPCION DE COMPRA DEL ACTIVO # 34963</t>
  </si>
  <si>
    <t>U15280506138</t>
  </si>
  <si>
    <t>EQUIPOS DE COMPUTO LEASING -ACTIVO CREADO AUTOMATICAMENTE POR PROCESO DE OPCION DE COMPRA DEL ACTIVO # 34964</t>
  </si>
  <si>
    <t>U15280506140</t>
  </si>
  <si>
    <t>EQUIPOS DE COMPUTO LEASING -ACTIVO CREADO AUTOMATICAMENTE POR PROCESO DE OPCION DE COMPRA DEL ACTIVO # 34966</t>
  </si>
  <si>
    <t>U15280506141</t>
  </si>
  <si>
    <t>EQUIPOS DE COMPUTO LEASING -ACTIVO CREADO AUTOMATICAMENTE POR PROCESO DE OPCION DE COMPRA DEL ACTIVO # 34967</t>
  </si>
  <si>
    <t>U15280506142</t>
  </si>
  <si>
    <t>EQUIPOS DE COMPUTO LEASING -ACTIVO CREADO AUTOMATICAMENTE POR PROCESO DE OPCION DE COMPRA DEL ACTIVO # 34968</t>
  </si>
  <si>
    <t>U15280506143</t>
  </si>
  <si>
    <t>EQUIPOS DE COMPUTO LEASING -ACTIVO CREADO AUTOMATICAMENTE POR PROCESO DE OPCION DE COMPRA DEL ACTIVO # 34969</t>
  </si>
  <si>
    <t>U15280506144</t>
  </si>
  <si>
    <t>EQUIPOS DE COMPUTO LEASING -ACTIVO CREADO AUTOMATICAMENTE POR PROCESO DE OPCION DE COMPRA DEL ACTIVO # 34970</t>
  </si>
  <si>
    <t>U15280506145</t>
  </si>
  <si>
    <t>EQUIPOS DE COMPUTO LEASING -ACTIVO CREADO AUTOMATICAMENTE POR PROCESO DE OPCION DE COMPRA DEL ACTIVO # 34971</t>
  </si>
  <si>
    <t>U15280506146</t>
  </si>
  <si>
    <t>EQUIPOS DE COMPUTO LEASING -ACTIVO CREADO AUTOMATICAMENTE POR PROCESO DE OPCION DE COMPRA DEL ACTIVO # 34972</t>
  </si>
  <si>
    <t>U15280506147</t>
  </si>
  <si>
    <t>EQUIPOS DE COMPUTO LEASING -ACTIVO CREADO AUTOMATICAMENTE POR PROCESO DE OPCION DE COMPRA DEL ACTIVO # 34973</t>
  </si>
  <si>
    <t>U15280506148</t>
  </si>
  <si>
    <t>EQUIPOS DE COMPUTO LEASING -ACTIVO CREADO AUTOMATICAMENTE POR PROCESO DE OPCION DE COMPRA DEL ACTIVO # 34974</t>
  </si>
  <si>
    <t>U15280506149</t>
  </si>
  <si>
    <t>EQUIPOS DE COMPUTO LEASING -ACTIVO CREADO AUTOMATICAMENTE POR PROCESO DE OPCION DE COMPRA DEL ACTIVO # 34975</t>
  </si>
  <si>
    <t>FACULTAD DE CIENCIAS BASICAS Y MATEMATICAS</t>
  </si>
  <si>
    <t>U15280506150</t>
  </si>
  <si>
    <t>EQUIPOS DE COMPUTO LEASING -ACTIVO CREADO AUTOMATICAMENTE POR PROCESO DE OPCION DE COMPRA DEL ACTIVO # 34976</t>
  </si>
  <si>
    <t>U15280506151</t>
  </si>
  <si>
    <t>EQUIPOS DE COMPUTO LEASING -ACTIVO CREADO AUTOMATICAMENTE POR PROCESO DE OPCION DE COMPRA DEL ACTIVO # 34977</t>
  </si>
  <si>
    <t>U15280506152</t>
  </si>
  <si>
    <t>EQUIPOS DE COMPUTO LEASING -ACTIVO CREADO AUTOMATICAMENTE POR PROCESO DE OPCION DE COMPRA DEL ACTIVO # 34978</t>
  </si>
  <si>
    <t>U15280506153</t>
  </si>
  <si>
    <t>EQUIPOS DE COMPUTO LEASING -ACTIVO CREADO AUTOMATICAMENTE POR PROCESO DE OPCION DE COMPRA DEL ACTIVO # 34979</t>
  </si>
  <si>
    <t>U15280506154</t>
  </si>
  <si>
    <t>EQUIPOS DE COMPUTO LEASING -ACTIVO CREADO AUTOMATICAMENTE POR PROCESO DE OPCION DE COMPRA DEL ACTIVO # 34980</t>
  </si>
  <si>
    <t>U15280506155</t>
  </si>
  <si>
    <t>EQUIPOS DE COMPUTO LEASING -ACTIVO CREADO AUTOMATICAMENTE POR PROCESO DE OPCION DE COMPRA DEL ACTIVO # 34981</t>
  </si>
  <si>
    <t>DERECHO CONSULTORIO</t>
  </si>
  <si>
    <t>U15280506156</t>
  </si>
  <si>
    <t>EQUIPOS DE COMPUTO LEASING -ACTIVO CREADO AUTOMATICAMENTE POR PROCESO DE OPCION DE COMPRA DEL ACTIVO # 34982</t>
  </si>
  <si>
    <t>U15280502376</t>
  </si>
  <si>
    <t>CENTRO DE IDIOMAS</t>
  </si>
  <si>
    <t>U15280502377</t>
  </si>
  <si>
    <t>VICERECTORIA</t>
  </si>
  <si>
    <t>U15280502378</t>
  </si>
  <si>
    <t>U15280502379</t>
  </si>
  <si>
    <t>U15280502380</t>
  </si>
  <si>
    <t>U15280502381</t>
  </si>
  <si>
    <t>U15280502382</t>
  </si>
  <si>
    <t>U15280502383</t>
  </si>
  <si>
    <t>U15280501004</t>
  </si>
  <si>
    <t>U15280500999</t>
  </si>
  <si>
    <t>U15280501006</t>
  </si>
  <si>
    <t>U15280501005</t>
  </si>
  <si>
    <t>U15280501007</t>
  </si>
  <si>
    <t>U15280501000</t>
  </si>
  <si>
    <t>U15280501889</t>
  </si>
  <si>
    <t>EQUIPOS DE COMPUTO DELL - CPU MARCA DELL MODELO OPTIPLEX 7050 SFF INTEL CORE I7- 7700 7MA GENERACIÓN 3.6GHZ FRECUENCIA TURBO MÁXIMA 4.2 GHZ CACHE: 6MB / 8GB ( 2X4GB) 2400MHZ DDR4 /GRÁFICOS INTEL INTEGRADOS / 1TB 3.5" SERIAL ATA 7200 RPM / OPTICO DVD- RW/ TECLADO Y MOUSE DELL / WINDOWS 10 PRO 64 BITS /GARANTÍA: 3 AÑOS DE SERVICIO DE HARDWARE CON SERVICIO IN SITIO DESPUÉS DEL DIAGNÓSTICO REMOTO, SERVICIO EN HORARIO 5X8 DURANTE 3 AÑOS</t>
  </si>
  <si>
    <t>U15280501890</t>
  </si>
  <si>
    <t>U15280501891</t>
  </si>
  <si>
    <t>U15280501892</t>
  </si>
  <si>
    <t>U15280501893</t>
  </si>
  <si>
    <t>U15280501901</t>
  </si>
  <si>
    <t>EQUIPOS DE COMPUTO DELL -COMPUTADOR DE ESCRITORIO DELL OPTIPLEX 3050 MFF PROCESADOR INTEL CORE I3 7100T (3.4GHZ) SEPTIMA GENERACION - MEMORIA RAM 8GB DISCO DURO 1 TERA - MONITOR PANTALLA 18.5"-WINDOWS 10 PROFESIONAL GARANTIA 1 AÑO.</t>
  </si>
  <si>
    <t>U15280501902</t>
  </si>
  <si>
    <t>U15280506117</t>
  </si>
  <si>
    <t>EQUIPOS DE COMPUTO LEASING -ACTIVO CREADO AUTOMATICAMENTE POR PROCESO DE OPCION DE COMPRA DEL ACTIVO # 34943</t>
  </si>
  <si>
    <t>U15280506119</t>
  </si>
  <si>
    <t>EQUIPOS DE COMPUTO LEASING -ACTIVO CREADO AUTOMATICAMENTE POR PROCESO DE OPCION DE COMPRA DEL ACTIVO # 34945</t>
  </si>
  <si>
    <t>U15280506120</t>
  </si>
  <si>
    <t>EQUIPOS DE COMPUTO LEASING -ACTIVO CREADO AUTOMATICAMENTE POR PROCESO DE OPCION DE COMPRA DEL ACTIVO # 34946</t>
  </si>
  <si>
    <t>U15280506121</t>
  </si>
  <si>
    <t>EQUIPOS DE COMPUTO LEASING -ACTIVO CREADO AUTOMATICAMENTE POR PROCESO DE OPCION DE COMPRA DEL ACTIVO # 34947</t>
  </si>
  <si>
    <t>U15280506123</t>
  </si>
  <si>
    <t>EQUIPOS DE COMPUTO LEASING -ACTIVO CREADO AUTOMATICAMENTE POR PROCESO DE OPCION DE COMPRA DEL ACTIVO # 34949</t>
  </si>
  <si>
    <t>U15280506124</t>
  </si>
  <si>
    <t>EQUIPOS DE COMPUTO LEASING -ACTIVO CREADO AUTOMATICAMENTE POR PROCESO DE OPCION DE COMPRA DEL ACTIVO # 34950</t>
  </si>
  <si>
    <t>U15280506125</t>
  </si>
  <si>
    <t>EQUIPOS DE COMPUTO LEASING -ACTIVO CREADO AUTOMATICAMENTE POR PROCESO DE OPCION DE COMPRA DEL ACTIVO # 34951</t>
  </si>
  <si>
    <t>U15280506126</t>
  </si>
  <si>
    <t>EQUIPOS DE COMPUTO LEASING -ACTIVO CREADO AUTOMATICAMENTE POR PROCESO DE OPCION DE COMPRA DEL ACTIVO # 34952</t>
  </si>
  <si>
    <t>U15280506127</t>
  </si>
  <si>
    <t>EQUIPOS DE COMPUTO LEASING -ACTIVO CREADO AUTOMATICAMENTE POR PROCESO DE OPCION DE COMPRA DEL ACTIVO # 34953</t>
  </si>
  <si>
    <t>U15280506128</t>
  </si>
  <si>
    <t>EQUIPOS DE COMPUTO LEASING -ACTIVO CREADO AUTOMATICAMENTE POR PROCESO DE OPCION DE COMPRA DEL ACTIVO # 34954</t>
  </si>
  <si>
    <t>U15280506129</t>
  </si>
  <si>
    <t>EQUIPOS DE COMPUTO LEASING -ACTIVO CREADO AUTOMATICAMENTE POR PROCESO DE OPCION DE COMPRA DEL ACTIVO # 34955</t>
  </si>
  <si>
    <t>U15280506130</t>
  </si>
  <si>
    <t>EQUIPOS DE COMPUTO LEASING -ACTIVO CREADO AUTOMATICAMENTE POR PROCESO DE OPCION DE COMPRA DEL ACTIVO # 34956</t>
  </si>
  <si>
    <t>U15280506131</t>
  </si>
  <si>
    <t>EQUIPOS DE COMPUTO LEASING -ACTIVO CREADO AUTOMATICAMENTE POR PROCESO DE OPCION DE COMPRA DEL ACTIVO # 34957</t>
  </si>
  <si>
    <t>U15280506132</t>
  </si>
  <si>
    <t>EQUIPOS DE COMPUTO LEASING -ACTIVO CREADO AUTOMATICAMENTE POR PROCESO DE OPCION DE COMPRA DEL ACTIVO # 34958</t>
  </si>
  <si>
    <t>U15280506133</t>
  </si>
  <si>
    <t>EQUIPOS DE COMPUTO LEASING -ACTIVO CREADO AUTOMATICAMENTE POR PROCESO DE OPCION DE COMPRA DEL ACTIVO # 34959</t>
  </si>
  <si>
    <t>U15280506134</t>
  </si>
  <si>
    <t>EQUIPOS DE COMPUTO LEASING -ACTIVO CREADO AUTOMATICAMENTE POR PROCESO DE OPCION DE COMPRA DEL ACTIVO # 34960</t>
  </si>
  <si>
    <t>U15280506135</t>
  </si>
  <si>
    <t>EQUIPOS DE COMPUTO LEASING -ACTIVO CREADO AUTOMATICAMENTE POR PROCESO DE OPCION DE COMPRA DEL ACTIVO # 34961</t>
  </si>
  <si>
    <t>U15280506136</t>
  </si>
  <si>
    <t>EQUIPOS DE COMPUTO LEASING -ACTIVO CREADO AUTOMATICAMENTE POR PROCESO DE OPCION DE COMPRA DEL ACTIVO # 34962</t>
  </si>
  <si>
    <t>U15280501294</t>
  </si>
  <si>
    <t>U15280501295</t>
  </si>
  <si>
    <t>U15280501296</t>
  </si>
  <si>
    <t>CENTRO DE PENSAMIENTO</t>
  </si>
  <si>
    <t>U15280501293</t>
  </si>
  <si>
    <t>U15280501298</t>
  </si>
  <si>
    <t>U15280501297</t>
  </si>
  <si>
    <t>U15280501833</t>
  </si>
  <si>
    <t>EQUIPOS DE COMPUTO DELL - PC SFF OPTIPLEX SFF 7050, INTEL CORR3E I7, 7700, 8GB/1TERA/DVDRW,WIN10, PRO, MONITOR DE 18" P/N YD5MK</t>
  </si>
  <si>
    <t>U15280501834</t>
  </si>
  <si>
    <t>U15280501835</t>
  </si>
  <si>
    <t>U15280501836</t>
  </si>
  <si>
    <t>U15280501837</t>
  </si>
  <si>
    <t>U15280501838</t>
  </si>
  <si>
    <t>U15280501839</t>
  </si>
  <si>
    <t>U15280501840</t>
  </si>
  <si>
    <t>U15280501841</t>
  </si>
  <si>
    <t>U15280501842</t>
  </si>
  <si>
    <t>U15280501843</t>
  </si>
  <si>
    <t>U15280501844</t>
  </si>
  <si>
    <t>U15280501845</t>
  </si>
  <si>
    <t>U15280501846</t>
  </si>
  <si>
    <t>U15280501847</t>
  </si>
  <si>
    <t>U15280501848</t>
  </si>
  <si>
    <t>U15280501849</t>
  </si>
  <si>
    <t>U15280501850</t>
  </si>
  <si>
    <t>U15280501851</t>
  </si>
  <si>
    <t>U15280501852</t>
  </si>
  <si>
    <t>U15280501853</t>
  </si>
  <si>
    <t>U15280506158</t>
  </si>
  <si>
    <t>EQUIPOS DE COMPUTO LEASING -ACTIVO CREADO AUTOMATICAMENTE POR PROCESO DE OPCION DE COMPRA DEL ACTIVO # 34984</t>
  </si>
  <si>
    <t>U15280506161</t>
  </si>
  <si>
    <t>EQUIPOS DE COMPUTO LEASING -ACTIVO CREADO AUTOMATICAMENTE POR PROCESO DE OPCION DE COMPRA DEL ACTIVO # 34987</t>
  </si>
  <si>
    <t>U15280501001</t>
  </si>
  <si>
    <t>FACULTAD CIENCIAS NATURALES Y MAT.</t>
  </si>
  <si>
    <t>U15280501155</t>
  </si>
  <si>
    <t>U15280501164</t>
  </si>
  <si>
    <t>U15280501163</t>
  </si>
  <si>
    <t>U15280501160</t>
  </si>
  <si>
    <t>U15280501161</t>
  </si>
  <si>
    <t>U15280501159</t>
  </si>
  <si>
    <t>U15280500840</t>
  </si>
  <si>
    <t>EQUIPOS DE COMPUTO PORTATIL HP CON CARGADOR, BASE VENTILADOR Y GUAYA DE SEGURIDAD. PROVEEDOR:890704382 UNIVERSIDAD DE IBAGUE</t>
  </si>
  <si>
    <t>U15280500926</t>
  </si>
  <si>
    <t>EQUIPOS DE COMPUTO COMPUTADOR DE MESA MARCA DELL MODELO OPTIPLEX 3020. PROVEEDOR:890704382 UNIVERSIDAD DE IBAGUE</t>
  </si>
  <si>
    <t>U15280501053</t>
  </si>
  <si>
    <t>EQUIPOS DE COMPUTO COMPUTADOR DE MESA HP . PROVEEDOR:890704382 UNIVERSIDAD DE IBAGUE</t>
  </si>
  <si>
    <t>DIRECCION DE INVESTIGACIONES</t>
  </si>
  <si>
    <t>U15280500396</t>
  </si>
  <si>
    <t>EQUIPOS DE COMPUTO COMPUTADOR DE MESA DELL NEGRO CON ESTABILIZADOR. PROVEEDOR:890704382 UNIVERSIDAD DE IBAGUE</t>
  </si>
  <si>
    <t>U15280500881</t>
  </si>
  <si>
    <t>EQUIPOS DE COMPUTO COMPUTADOR DE MESA MARCA DELL COLOR NEGRO . PROVEEDOR:890704382 UNIVERSIDAD DE IBAGUE</t>
  </si>
  <si>
    <t>U15280500256</t>
  </si>
  <si>
    <t>EQUIPOS DE COMPUTO COMPUTADOR PORTÁTIL HEWLETT PACKARD PROBOOK4320S. PROVEEDOR:890704382 UNIVERSIDAD DE IBAGUE</t>
  </si>
  <si>
    <t>U15280500628</t>
  </si>
  <si>
    <t>EQUIPOS DE COMPUTO COMPUTADOR PORTÁTIL MARCA ASUS MODELO AR5B125. PROVEEDOR:890704382 UNIVERSIDAD DE IBAGUE</t>
  </si>
  <si>
    <t>U15280500308</t>
  </si>
  <si>
    <t>U15280500320</t>
  </si>
  <si>
    <t>U15280501037</t>
  </si>
  <si>
    <t>ADMINISTRATIVA</t>
  </si>
  <si>
    <t>U15280501333</t>
  </si>
  <si>
    <t>U15280501243</t>
  </si>
  <si>
    <t>EQUIPOS DE COMPUTO COMPUTADOR DE MESA MARACA HP. PROVEEDOR:890704382 UNIVERSIDAD DE IBAGUE</t>
  </si>
  <si>
    <t>CEP</t>
  </si>
  <si>
    <t>U15280501113</t>
  </si>
  <si>
    <t>EQUIPOS DE COMPUTO COMPUTADOR DE MESA. PROVEEDOR:890704382 UNIVERSIDAD DE IBAGUE</t>
  </si>
  <si>
    <t>U15280501044</t>
  </si>
  <si>
    <t>EQUIPOS DE COMPUTO COMPUTADOR HP SIN TORRE . PROVEEDOR:890704382 UNIVERSIDAD DE IBAGUE</t>
  </si>
  <si>
    <t>U15280500126</t>
  </si>
  <si>
    <t>U15280501043</t>
  </si>
  <si>
    <t>U15280500146</t>
  </si>
  <si>
    <t>EQUIPOS DE COMPUTO ESTACIONARIO HP GRIS CON CABLE DE PODER . PROVEEDOR:890704382 UNIVERSIDAD DE IBAGUE</t>
  </si>
  <si>
    <t>VICERRECTORIA</t>
  </si>
  <si>
    <t>U15280501046</t>
  </si>
  <si>
    <t>PROMOCION</t>
  </si>
  <si>
    <t>U15280501125</t>
  </si>
  <si>
    <t>GRADUADOS</t>
  </si>
  <si>
    <t>U15280501215</t>
  </si>
  <si>
    <t>U15280501142</t>
  </si>
  <si>
    <t>EQUIPOS DE COMPUTO COMPUTADOR HP. PROVEEDOR:890704382 UNIVERSIDAD DE IBAGUE</t>
  </si>
  <si>
    <t>CONSULTORIO JURIDICO</t>
  </si>
  <si>
    <t>U15280500365</t>
  </si>
  <si>
    <t>U15280500623</t>
  </si>
  <si>
    <t>EQUIPOS DE COMPUTO COMPUTADOR DE MESA MARCA HP COLOR NEGRO MODELO PRODESK 400. PROVEEDOR:890704382 UNIVERSIDAD DE IBAGUE</t>
  </si>
  <si>
    <t>U15280501049</t>
  </si>
  <si>
    <t>U15280501130</t>
  </si>
  <si>
    <t>U15280501123</t>
  </si>
  <si>
    <t>U15280501122</t>
  </si>
  <si>
    <t>U15280501126</t>
  </si>
  <si>
    <t>EQUIPOS DE COMPUTO COMPUTADOR DE MESA HP. PROVEEDOR:890704382 UNIVERSIDAD DE IBAGUE - AJUSTAR PENDIENTE DAR DE BAJA</t>
  </si>
  <si>
    <t>U15280501133</t>
  </si>
  <si>
    <t>U15280501135</t>
  </si>
  <si>
    <t>U15280501138</t>
  </si>
  <si>
    <t>U15280501115</t>
  </si>
  <si>
    <t>U15280501119</t>
  </si>
  <si>
    <t>U15280501116</t>
  </si>
  <si>
    <t>U15280501117</t>
  </si>
  <si>
    <t>U15280501121</t>
  </si>
  <si>
    <t>RESPONSABILIDAD SOCIAL INTEGRAL</t>
  </si>
  <si>
    <t>U15280500615</t>
  </si>
  <si>
    <t>EQUIPOS DE COMPUTO COMPUTADOR DE MESA DATACENTER MARCA HP COLOR NEGRO . PROVEEDOR:890704382 UNIVERSIDAD DE IBAGUE</t>
  </si>
  <si>
    <t>U15280500590</t>
  </si>
  <si>
    <t>U15280500496</t>
  </si>
  <si>
    <t>EQUIPOS DE COMPUTO COMPUTADOR MARCA HP MODELO PRODESK 400 G1 SFF COLOR NEGRO . PROVEEDOR:890704382 UNIVERSIDAD DE IBAGUE</t>
  </si>
  <si>
    <t>U15280500613</t>
  </si>
  <si>
    <t>U15280500622</t>
  </si>
  <si>
    <t>U15280500495</t>
  </si>
  <si>
    <t>EQUIPOS DE COMPUTO COMPUTADOR MARCA HP MODELO PRODESK 400 G1 SFF. PROVEEDOR:890704382 UNIVERSIDAD DE IBAGUE</t>
  </si>
  <si>
    <t>U15280500596</t>
  </si>
  <si>
    <t>U15280500594</t>
  </si>
  <si>
    <t>EQUIPOS DE COMPUTO COMPUTADOR DE MESA MARCA HP COOR NEGRO MODELO PRODESK 400 G1 SFF. PROVEEDOR:890704382 UNIVERSIDAD DE IBAGUE</t>
  </si>
  <si>
    <t>U15280500158</t>
  </si>
  <si>
    <t>EQUIPOS DE COMPUTO COMPUTADOR DE MESA MARCA HP NEGRO. PROVEEDOR:890704382 UNIVERSIDAD DE IBAGUE</t>
  </si>
  <si>
    <t>U15280500159</t>
  </si>
  <si>
    <t>EQUIPOS DE COMPUTO COMPUTADOR DE MESA MARCA HP NEGRO . PROVEEDOR:890704382 UNIVERSIDAD DE IBAGUE</t>
  </si>
  <si>
    <t>CONSULTORIO JURIDICO DE HONDA</t>
  </si>
  <si>
    <t>U15280500160</t>
  </si>
  <si>
    <t>U15280501232</t>
  </si>
  <si>
    <t>U15280500835</t>
  </si>
  <si>
    <t>U15280500153</t>
  </si>
  <si>
    <t>EQUIPOS DE COMPUTO COMPUTADOR DE MESA HP CON TORRE HP PROVEEDOR:890704382 UNIVERSIDAD DE IBAGUE</t>
  </si>
  <si>
    <t>U15280500149</t>
  </si>
  <si>
    <t>EQUIPOS DE COMPUTO COMPUTADOR DE MESA HP NEGRO. PROVEEDOR:890704382 UNIVERSIDAD DE IBAGUE</t>
  </si>
  <si>
    <t>U15280500114</t>
  </si>
  <si>
    <t>EQUIPOS DE COMPUTO COMPUTADOR DE MESA MARCA DELL CON ESTABILIZADOR. PROVEEDOR:890704382 UNIVERSIDAD DE IBAGUE</t>
  </si>
  <si>
    <t>ADMISIONES Y REGISTRO</t>
  </si>
  <si>
    <t>U15280500968</t>
  </si>
  <si>
    <t>EQUIPOS DE COMPUTO PORTATIL MARCA HP. PROVEEDOR:890704382 UNIVERSIDAD DE IBAGUE</t>
  </si>
  <si>
    <t>APOYO FINANCIERO UNI2</t>
  </si>
  <si>
    <t>U15280500778</t>
  </si>
  <si>
    <t>EQUIPOS DE COMPUTO COMPUTADOR DE MESA HP CON PARLANTES. PROVEEDOR:890704382 UNIVERSIDAD DE IBAGUE</t>
  </si>
  <si>
    <t>U15280500981</t>
  </si>
  <si>
    <t>EMPRENDIMIENTO</t>
  </si>
  <si>
    <t>U15280500354</t>
  </si>
  <si>
    <t>EQUIPOS DE COMPUTO PORTATIL DELL NEGRO CON PLATEADO CON BASE, TECLADO ADICIONAL , MOUSE Y CARGADOR. PROVEEDOR:890704382 UNIVERSIDAD DE IBAGUE</t>
  </si>
  <si>
    <t>U15280501566</t>
  </si>
  <si>
    <t>EQUIPOS DE COMPUTO COMPUTADOR DE MESA DELL OCTIPLES 8020. PROVEEDOR:890704382 UNIVERSIDAD DE IBAGUE</t>
  </si>
  <si>
    <t>U15280500639</t>
  </si>
  <si>
    <t>EQUIPOS DE COMPUTO COMPUTADOR DE MESA COLOR NEGRO MODELO XPS MARCA DELL. PROVEEDOR:890704382 UNIVERSIDAD DE IBAGUE</t>
  </si>
  <si>
    <t>U15280500973</t>
  </si>
  <si>
    <t>FILANTROPIA</t>
  </si>
  <si>
    <t>U15280501222</t>
  </si>
  <si>
    <t>U15280500040</t>
  </si>
  <si>
    <t>EQUIPOS DE COMPUTO COMPUTADOR COLOR NEGRO MARCA HP . PROVEEDOR:890704382 UNIVERSIDAD DE IBAGUE</t>
  </si>
  <si>
    <t>PUBLICACIONES</t>
  </si>
  <si>
    <t>U15280500400</t>
  </si>
  <si>
    <t>PROGRAMA DE DISEÑO</t>
  </si>
  <si>
    <t>U15280500310</t>
  </si>
  <si>
    <t>U15280500977</t>
  </si>
  <si>
    <t>U15280500591</t>
  </si>
  <si>
    <t>EQUIPOS DE COMPUTO COMPUTADOR DE MESA MARCA HP MODELO ELITE DESCK 800 COLOR NEGRO . PROVEEDOR:890704382 UNIVERSIDAD DE IBAGUE</t>
  </si>
  <si>
    <t>U15280501328</t>
  </si>
  <si>
    <t>U15280501324</t>
  </si>
  <si>
    <t>U15280501329</t>
  </si>
  <si>
    <t>U15280500334</t>
  </si>
  <si>
    <t>EQUIPOS DE COMPUTO EQUIPO DE COMPUTO HP. PROVEEDOR:890704382 UNIVERSIDAD DE IBAGUE</t>
  </si>
  <si>
    <t>PSICOLOGIA</t>
  </si>
  <si>
    <t>U15280500965</t>
  </si>
  <si>
    <t>EQUIPOS DE COMPUTO COMPUTADOR DE MESA MARCA HP. PROVEEDOR:890704382 UNIVERSIDAD DE IBAGUE - AJUSTAR PENDIENTE DAR DE BAJA</t>
  </si>
  <si>
    <t>RECTORIA</t>
  </si>
  <si>
    <t>U15280500967</t>
  </si>
  <si>
    <t>U15280500741</t>
  </si>
  <si>
    <t>U15280500231</t>
  </si>
  <si>
    <t>EQUIPOS DE COMPUTO COMPUTADOR TODO EN UNO MARCA HP. PROVEEDOR:890704382 UNIVERSIDAD DE IBAGUE - AJUSTAR PENDIENTE DAR DE BAJA</t>
  </si>
  <si>
    <t>U15280500230</t>
  </si>
  <si>
    <t>EQUIPOS DE COMPUTO COMPUTADOR TODO EN UNO MARCA HP. PROVEEDOR:890704382 UNIVERSIDAD DE IBAGUE</t>
  </si>
  <si>
    <t>U15280500232</t>
  </si>
  <si>
    <t>EQUIPOS DE COMPUTO COMPUTADOR TODO EN UNO MARCA HP. PROVEEDOR:65742208 MARIA DEL SOCORRO CASTANEDA</t>
  </si>
  <si>
    <t>U15280500229</t>
  </si>
  <si>
    <t>U15280500228</t>
  </si>
  <si>
    <t>U15280500154</t>
  </si>
  <si>
    <t>EQUIPOS DE COMPUTO COMPUTADOR HP NEGRO. PROVEEDOR:890704382 UNIVERSIDAD DE IBAGUE</t>
  </si>
  <si>
    <t>U15280501218</t>
  </si>
  <si>
    <t>PRESUPUESTO</t>
  </si>
  <si>
    <t>U15280501088</t>
  </si>
  <si>
    <t>COMUNICACION INSTITUCIONAL</t>
  </si>
  <si>
    <t>U15280501086</t>
  </si>
  <si>
    <t>U15280500539</t>
  </si>
  <si>
    <t>U15280500661</t>
  </si>
  <si>
    <t>EQUIPOS DE COMPUTO COMPUTADOR DE MARCA HP. PROVEEDOR:890704382 UNIVERSIDAD DE IBAGUE</t>
  </si>
  <si>
    <t>U15280500043</t>
  </si>
  <si>
    <t>EQUIPOS DE COMPUTO COMPUTADOR MARCA HP COLOR NEGRO. PROVEEDOR:890704382 UNIVERSIDAD DE IBAGUE</t>
  </si>
  <si>
    <t>U15280501412</t>
  </si>
  <si>
    <t>U15280500327</t>
  </si>
  <si>
    <t>EQUIPOS DE COMPUTO DIGITURNO LENOVO CON BASE METALICA AZUL CON BLANCO. PROVEEDOR:890704382 UNIVERSIDAD DE IBAGUE</t>
  </si>
  <si>
    <t>U15280500647</t>
  </si>
  <si>
    <t>EQUIPOS DE COMPUTO COMPUTADOR PORTATIL MARCA ASUS COLOR PLATEADO. PROVEEDOR:890704382 UNIVERSIDAD DE IBAGUE</t>
  </si>
  <si>
    <t>U15280500584</t>
  </si>
  <si>
    <t>EQUIPOS DE COMPUTO COMPUTADOR PORTÁTIL MARCA ASUS MODELO L 551J COLOR PLATEADO Y NEGRO . PROVEEDOR:890704382 UNIVERSIDAD DE IBAGUE</t>
  </si>
  <si>
    <t>PROGRAMA DE INGENIERIA DE SISTEMAS</t>
  </si>
  <si>
    <t>U15280501913</t>
  </si>
  <si>
    <t>FACULDAD CIENCIAS NATURALES Y MATEMATICAS</t>
  </si>
  <si>
    <t>U15280500601</t>
  </si>
  <si>
    <t>EQUIPOS DE COMPUTO COMPUTADOR PORTÁTIL ( MAS UNA PANTALLA) COLOR PLATEADO MARCA ASUS . PROVEEDOR:890704382 UNIVERSIDAD DE IBAGUE MONITOR: MARCA Y MODELO DELL E2011HC 20 PULGADAS SERIAL CN-02H2VM-64180-27G-101S</t>
  </si>
  <si>
    <t>U15280500587</t>
  </si>
  <si>
    <t>EQUIPOS DE COMPUTO COMPUTADOR MARCA ASUS COLOR PLATEADO . PROVEEDOR:890704382 UNIVERSIDAD DE IBAGUE</t>
  </si>
  <si>
    <t>U15280500609</t>
  </si>
  <si>
    <t>EQUIPOS DE COMPUTO COMPUTADOR PORTÁTIL MARCA ASUS . PROVEEDOR:890704382 UNIVERSIDAD DE IBAGUE</t>
  </si>
  <si>
    <t>REGISTRO ACADEMICO</t>
  </si>
  <si>
    <t>U15280500406</t>
  </si>
  <si>
    <t>EQUIPOS DE COMPUTO COMPUTADOR PORTÁTIL MARCA HP COLOR NEGRO Y PLATEADO . PROVEEDOR:890704382 UNIVERSIDAD DE IBAGUE</t>
  </si>
  <si>
    <t>LOGISTICA Y EVENTOS</t>
  </si>
  <si>
    <t>U15280501575</t>
  </si>
  <si>
    <t>EQUIPOS DE COMPUTO PORTATIL HP CON CARGADOR . PROVEEDOR:890704382 UNIVERSIDAD DE IBAGUE</t>
  </si>
  <si>
    <t>U15280501034</t>
  </si>
  <si>
    <t>U15280500929</t>
  </si>
  <si>
    <t>EQUIPOS DE COMPUTO COMPUTADOR DE MESA MARCA HP MODELO PROONE G1 AIO BUSINESS . PROVEEDOR:890704382 UNIVERSIDAD DE IBAGUE</t>
  </si>
  <si>
    <t>U15280500110</t>
  </si>
  <si>
    <t>EQUIPOS DE COMPUTO PORTATIL MARCA HP CON CARGADOR. PROVEEDOR:890704382 UNIVERSIDAD DE IBAGUE</t>
  </si>
  <si>
    <t>U15280501411</t>
  </si>
  <si>
    <t>U15280501020</t>
  </si>
  <si>
    <t>U15280500923</t>
  </si>
  <si>
    <t>EQUIPOS DE COMPUTO COMPUTADOR DE MESA MARCA HP MODELO PROONE 400G1 BUSINESS. PROVEEDOR:890704382 UNIVERSIDAD DE IBAGUE</t>
  </si>
  <si>
    <t>U15280500924</t>
  </si>
  <si>
    <t>EQUIPOS DE COMPUTO COMPUTADOR DE MESA MARCA JANUS . PROVEEDOR:890704382 UNIVERSIDAD DE IBAGUE</t>
  </si>
  <si>
    <t>U15280500369</t>
  </si>
  <si>
    <t>EQUIPOS DE COMPUTO PORTATIL HP GRIS INTEL CON CARGADOR Y ESTUCHE. PROVEEDOR:890704382 UNIVERSIDAD DE IBAGUE</t>
  </si>
  <si>
    <t>U15280501056</t>
  </si>
  <si>
    <t>EQUIPOS DE COMPUTO COMPUTADOR DELL CON DOS MONITORES DELL. PROVEEDOR:890704382 UNIVERSIDAD DE IBAGUE</t>
  </si>
  <si>
    <t>NEGOCIOS INTERNACIONALES</t>
  </si>
  <si>
    <t>U15280501026</t>
  </si>
  <si>
    <t>EQUIPOS DE COMPUTO COMPUTADOR DE MESA JANUS CON MONITOR SAMSUNG. PROVEEDOR:890704382 UNIVERSIDAD DE IBAGUE</t>
  </si>
  <si>
    <t>U15280500834</t>
  </si>
  <si>
    <t>PSICOLOGIA LABORATORIO</t>
  </si>
  <si>
    <t>U15280500625</t>
  </si>
  <si>
    <t>EQUIPOS DE COMPUTO COMPUTADOR DE MESA MARCA HP MODELO PRODESK COLOR NEGRO . PROVEEDOR:890704382 UNIVERSIDAD DE IBAGUE</t>
  </si>
  <si>
    <t>G3</t>
  </si>
  <si>
    <t>U15280500501</t>
  </si>
  <si>
    <t>U15280501110</t>
  </si>
  <si>
    <t>U15280500816</t>
  </si>
  <si>
    <t>U15280500759</t>
  </si>
  <si>
    <t>U15280500616</t>
  </si>
  <si>
    <t>EQUIPOS DE COMPUTO COMPUTADOR DE MESA MARCA HP COLOR NEGRO . PROVEEDOR:830037278 NUEVA ERA SOLUCIONES SAS</t>
  </si>
  <si>
    <t>U15280500617</t>
  </si>
  <si>
    <t>U15280500846</t>
  </si>
  <si>
    <t>U15280500849</t>
  </si>
  <si>
    <t>RELACIONES INTERNACIONALES</t>
  </si>
  <si>
    <t>U15280500112</t>
  </si>
  <si>
    <t>U15280500525</t>
  </si>
  <si>
    <t>U15280501109</t>
  </si>
  <si>
    <t>PROMOCION Y MERCADEO</t>
  </si>
  <si>
    <t>U15280500147</t>
  </si>
  <si>
    <t>EQUIPOS DE COMPUTO PORTATIL HP NEGRO CON CARGADOR. PROVEEDOR:890704382 UNIVERSIDAD DE IBAGUE</t>
  </si>
  <si>
    <t>PROYECTOS ESPECIALES</t>
  </si>
  <si>
    <t>U15280500032</t>
  </si>
  <si>
    <t>EQUIPOS DE COMPUTO COMPUTADOR PORTÁTIL COLOR NEGRO Y PLATEADO MARCA HP . PROVEEDOR:890704382 UNIVERSIDAD DE IBAGUE - AJUSTAR PENDIENTE DAR DE BAJA</t>
  </si>
  <si>
    <t>U15280500543</t>
  </si>
  <si>
    <t>GERENCIA DE SERVICIOS</t>
  </si>
  <si>
    <t>U15280500836</t>
  </si>
  <si>
    <t>U15280500538</t>
  </si>
  <si>
    <t>U15280500519</t>
  </si>
  <si>
    <t>U15280500533</t>
  </si>
  <si>
    <t>EQUIPOS DE COMPUTO COMPUTADOR DE MESA DELL. PROVEEDOR:890704382 UNIVERSIDAD DE IBAGUE</t>
  </si>
  <si>
    <t>U15280500521</t>
  </si>
  <si>
    <t>EQUIPOS DE COMPUTO COMPUTADOR HP NEGRO . PROVEEDOR:890704382 UNIVERSIDAD DE IBAGUE</t>
  </si>
  <si>
    <t>U15280500141</t>
  </si>
  <si>
    <t>EQUIPOS DE COMPUTO PORTATIL HP GRIS CON CARGADOR . PROVEEDOR:890704382 UNIVERSIDAD DE IBAGUE</t>
  </si>
  <si>
    <t>U15280500144</t>
  </si>
  <si>
    <t>EQUIPOS DE COMPUTO PORTATIL HP GRIS CON CARGADOR . PROVEEDOR:890704382 UNIVERSIDAD DE IBAGUE - AJUSTAR PENDIENTE DAR DE BAJA</t>
  </si>
  <si>
    <t>U15280500333</t>
  </si>
  <si>
    <t>MERCADEO INSTITUCIONAL</t>
  </si>
  <si>
    <t>U15280500829</t>
  </si>
  <si>
    <t>EQUIPOS DE COMPUTO PORTATIL GRIS HP CON CARGADOR . PROVEEDOR:890704382 UNIVERSIDAD DE IBAGUE</t>
  </si>
  <si>
    <t>INVESTIGACIONES</t>
  </si>
  <si>
    <t>U15280500535</t>
  </si>
  <si>
    <t>EQUIPOS DE COMPUTO PORTATIL HP PLATEADO CON CARGADOR . PROVEEDOR:890704382 UNIVERSIDAD DE IBAGUE</t>
  </si>
  <si>
    <t>U15280500015</t>
  </si>
  <si>
    <t>PROGRAMA DE ECONOMIA</t>
  </si>
  <si>
    <t>U15280501552</t>
  </si>
  <si>
    <t>EQUIPOS DE COMPUTO COMPUTADOR DE MESA DELL 7040. PROVEEDOR:890704382 UNIVERSIDAD DE IBAGUE</t>
  </si>
  <si>
    <t>U15280500763</t>
  </si>
  <si>
    <t>U15280501442</t>
  </si>
  <si>
    <t>ADMINISTRACION FINANCIERA</t>
  </si>
  <si>
    <t>U15280500024</t>
  </si>
  <si>
    <t>EQUIPOS DE COMPUTO COMPUTADOR PORTÁTIL COLOR NEGRO MARCA DELL. PROVEEDOR:890704382 UNIVERSIDAD DE IBAGUE</t>
  </si>
  <si>
    <t>U15280500718</t>
  </si>
  <si>
    <t>EQUIPOS DE COMPUTO COMPUTADOR PORTATIL MARCA DELL. PROVEEDOR:890704382 UNIVERSIDAD DE IBAGUE</t>
  </si>
  <si>
    <t>U15280500801</t>
  </si>
  <si>
    <t>EQUIPOS DE COMPUTO PORTATIL ASUS NEGRO CON CARGADOR . PROVEEDOR:890704382 UNIVERSIDAD DE IBAGUE</t>
  </si>
  <si>
    <t>U15280500753</t>
  </si>
  <si>
    <t>EQUIPOS DE COMPUTO PORTATIL ASUS NEGRO CON CARGADOR, BASE VENTILADOR Y GUAYA DE SEGURIDAD Y TECLADO ALTERNO MARCA DELL. PROVEEDOR:890704382 UNIVERSIDAD DE IBAGUE</t>
  </si>
  <si>
    <t>AVISTAMIENTO AVES</t>
  </si>
  <si>
    <t>U15280500565</t>
  </si>
  <si>
    <t>EQUIPOS DE COMPUTO COMPUTADOR PORTÁTIL MARCA ASUS MODELO A550J COLOR NEGRO . PROVEEDOR:890704382 UNIVERSIDAD DE IBAGUE</t>
  </si>
  <si>
    <t>U15280500930</t>
  </si>
  <si>
    <t>U15280500249</t>
  </si>
  <si>
    <t>EQUIPOS DE COMPUTO COMPUTADOR DE MASA HP CON DOS BAFLES. PROVEEDOR:890704382 UNIVERSIDAD DE IBAGUE</t>
  </si>
  <si>
    <t>U15280500002</t>
  </si>
  <si>
    <t>EQUIPOS DE COMPUTO COMPUTADOR PORTÁTIL MARCA HP 15 PULGADAS . PROVEEDOR:890704382 UNIVERSIDAD DE IBAGUE</t>
  </si>
  <si>
    <t>U15280501576</t>
  </si>
  <si>
    <t>EQUIPOS DE COMPUTO PORTATIL HP CON CARGADOR. PROVEEDOR:890704382 UNIVERSIDAD DE IBAGUE - AJUSTAR PENDIENTE DAR DE BAJA</t>
  </si>
  <si>
    <t>U15280501662</t>
  </si>
  <si>
    <t>ADMINISTRACION DOCUMENTOS</t>
  </si>
  <si>
    <t>U15280500700</t>
  </si>
  <si>
    <t>EQUIPOS DE COMPUTO COMPUTADOR MARCA HP. PROVEEDOR:890704382 UNIVERSIDAD DE IBAGUE</t>
  </si>
  <si>
    <t>U15280501242</t>
  </si>
  <si>
    <t>EQUIPOS DE COMPUTO COMPUTADOR PORTATIL MARACA HP. PROVEEDOR:890704382 UNIVERSIDAD DE IBAGUE</t>
  </si>
  <si>
    <t>U15280500054</t>
  </si>
  <si>
    <t>EQUIPOS DE COMPUTO COMPUTADOR PORTÁTIL MARCA HP COLOR GRIS . PROVEEDOR:890704382 UNIVERSIDAD DE IBAGUE</t>
  </si>
  <si>
    <t>U15280500524</t>
  </si>
  <si>
    <t>U15280500516</t>
  </si>
  <si>
    <t>U15280500828</t>
  </si>
  <si>
    <t>U15280500362</t>
  </si>
  <si>
    <t>EQUIPOS DE COMPUTO COMPUTADOR DE MESA LENOVO NEGRO. PROVEEDOR:890704382 UNIVERSIDAD DE IBAGUE</t>
  </si>
  <si>
    <t>U15280500376</t>
  </si>
  <si>
    <t>EQUIPOS DE COMPUTO COMPUTADOR DE MESA THINK CENTRE CON MONITOR LENOVO NEGRO. PROVEEDOR:890704382 UNIVERSIDAD DE IBAGUE</t>
  </si>
  <si>
    <t>SALUD OCUPACIONAL</t>
  </si>
  <si>
    <t>U15280500357</t>
  </si>
  <si>
    <t>EQUIPOS DE COMPUTO PORTATIL LENOVO NEGRO CON CARGADOR Y GUAYA DE SEGURIDAD. PROVEEDOR:890704382 UNIVERSIDAD DE IBAGUE</t>
  </si>
  <si>
    <t>U15280500257</t>
  </si>
  <si>
    <t>EQUIPOS DE COMPUTO DELL - OPTIPLEX 7050 SMALL FORM FACTOR BTX DELL MS116 WIRED MOUSE, BLACK DVD+/-RW BEZEL, SMALL FORM FACTOR INTEL CORE I7-7700 (QC/8MB/8T/3.6GHZ/65W); SUPPORTS WINDOWS 10/LINUX 8GB (2X4GB) 2400MHZ DDR4 MEMORY 1TB 7.2K RPM SATA 6GBPS ENTRY 3.5IN CABLED HARD DRIVE DELL KB216 WIRED KEYBOARD, SPANISH WIN 10 PRO 64 ENGLISH, FRENCH, SPANISH ONSITE/IN-HOME SERVICE AFTER REMOTE DIAGNOSIS 3 YEARS DELL 22 MONITOR E2216H, SHPW</t>
  </si>
  <si>
    <t>U15280500258</t>
  </si>
  <si>
    <t>EQUIPOS DE COMPUTO DELL DATACENTER - OPTIPLEX 7050 SMALL FORM FACTOR BTX DELL MS116 WIRED MOUSE, BLACK DVD+/-RW BEZEL, SMALL FORM FACTOR INTEL CORE I7-7700 (QC/8MB/8T/3.6GHZ/65W); SUPPORTS WINDOWS 10/LINUX 8GB (2X4GB) 2400MHZ DDR4 MEMORY 1TB 7.2K RPM SATA 6GBPS ENTRY 3.5IN CABLED HARD DRIVE DELL KB216 WIRED KEYBOARD, SPANISH WIN 10 PRO 64 ENGLISH, FRENCH, SPANISH ONSITE/IN-HOME SERVICE AFTER REMOTE DIAGNOSIS 3 YEARS DELL 22 MONITOR E2216H, SHPW - PANTALLA ADICIONAL MARCA DELL</t>
  </si>
  <si>
    <t>U15280500259</t>
  </si>
  <si>
    <t>U15280500260</t>
  </si>
  <si>
    <t>U15280500261</t>
  </si>
  <si>
    <t>EQUIPOS DE COMPUTO DELL DATACENTER - OPTIPLEX 7050 SMALL FORM FACTOR BTX DELL MS116 WIRED MOUSE, BLACK DVD+/-RW BEZEL, SMALL FORM FACTOR INTEL CORE I7-7700 (QC/8MB/8T/3.6GHZ/65W); SUPPORTS WINDOWS 10/LINUX 8GB (2X4GB) 2400MHZ DDR4 MEMORY 1TB 7.2K RPM SATA 6GBPS ENTRY 3.5IN CABLED HARD DRIVE DELL KB216 WIRED KEYBOARD, SPANISH WIN 10 PRO 64 ENGLISH, FRENCH, SPANISH ONSITE/IN-HOME SERVICE AFTER REMOTE DIAGNOSIS 3 YEARS DELL 22 MONITOR E2216H, SHPW</t>
  </si>
  <si>
    <t>U15280500262</t>
  </si>
  <si>
    <t>EQUIPOS DE COMPUTO DELL - OPTIPLEX 7050 SMALL FORM FACTOR BTX DELL MS116 WIRED MOUSE, BLACK DVD+/-RW BEZEL, SMALL FORM FACTOR INTEL CORE I7-7700 (QC/8MB/8T/3.6GHZ/65W); SUPPORTS WINDOWS 10/LINUX 8GB (2X4GB) 2400MHZ DDR4 MEMORY 1TB 7.2K RPM SATA 6GBPS ENTRY 3.5IN CABLED HARD DRIVE DELL KB216 WIRED KEYBOARD, SPANISH WIN 10 PRO 64 ENGLISH, FRENCH, SPANISH ONSITE/IN-HOME SERVICE AFTER REMOTE DIAGNOSIS 3 YEARS DELL 22 MONITOR E2216H, SHPW - PANTALLA ADICIONAL MARCA DELL</t>
  </si>
  <si>
    <t>U15280500263</t>
  </si>
  <si>
    <t>EQUIPOS DE COMPUTO DELL - OPTIPLEX 7050 SMALL FORM FACTOR BTX DELL MS116 WIRED MOUSE, BLACK DVD+/-RW BEZEL, SMALL FORM FACTOR INTEL CORE I7-7700 (QC/8MB/8T/3.6GHZ/65W); SUPPORTS WINDOWS 10/LINUX 8GB (2X4GB) 2400MHZ DDR4 MEMORY 1TB 7.2K RPM SATA 6GBPS ENTRY 3.5IN CABLED HARD DRIVE DELL KB216 WIRED KEYBOARD, SPANISH WIN 10 PRO 64 ENGLISH, FRENCH, SPANISH ONSITE/IN-HOME SERVICE AFTER REMOTE DIAGNOSIS 3 YEARS DELL 22 MONITOR E2216H, SHPW - CON PATALLA ADICIONAL MARCA DELL</t>
  </si>
  <si>
    <t>U15280500264</t>
  </si>
  <si>
    <t>EQUIPOS DE COMPUTO DELL - OPTIPLEX 7050 SMALL FORM FACTOR BTX DELL MS116 WIRED MOUSE, BLACK DVD+/-RW BEZEL, SMALL FORM FACTOR INTEL CORE I7-7700(QC/8MB/8T/3.6GHZ/65W); SUPPORTS WINDOWS 10/LINUX 8GB (2X4GB) 2400MHZ DDR4 MEMORY 1TB 7.2K RPM SATA 6GBPS ENTRY 3.5IN CABLED HARD DRIVE DELL KB216 WIRED KEYBOARD, SPANISH WIN10 PRO 64 ENGLISH, FRENCH, SPANISH ONSITE/IN-HOME SERVICE AFTER REMOTE DIAGNOSIS 3 YEARS DELL 22 MONITOR E2216H, SHPW</t>
  </si>
  <si>
    <t>U15280500265</t>
  </si>
  <si>
    <t>U15280500266</t>
  </si>
  <si>
    <t>U15280500267</t>
  </si>
  <si>
    <t>U15280500268</t>
  </si>
  <si>
    <t>U15280501666</t>
  </si>
  <si>
    <t>EQUIPO DE COMPUTO HP - 280 G2 SFF. PROCESADOR INTEL CORE I5-6500 CON GRAFICOS INTEL HD 530</t>
  </si>
  <si>
    <t>U15280501677</t>
  </si>
  <si>
    <t>EQUIPOS DE COMPUTO - EQUIPO DE COMPUTO OPTIPLEX 3050SFF, EQ DE ESCRITO CON PROCESADOR INTEL CORE I7-7700 GENERACION 7, MEMORIA RAM 8GB DDR 4, DD 1TB (7200RPM), SISTEMA OPERATIVO W10PROFESIONAL 64 BITS, UND 8X SLIMLINE, DVD/RW, VIDEO INTEL HD GRAPHICS, MCAFEE 30 DAYS TRIAL, 2 USB 3.0, 6 USB 2.0, PUERTOS HDMI, RJ-45, MONITOR 18.5"</t>
  </si>
  <si>
    <t>PROGRAMA NEGOCIOS INTERNACIONALES</t>
  </si>
  <si>
    <t>U15280501678</t>
  </si>
  <si>
    <t>U15280501680</t>
  </si>
  <si>
    <t>EQUIPO PORTATIL DELL - EQUIPO DE COMPUTO PORTATIL DELL VOSTRO 3459 INTEL CORE I5 6200U (2.3 CHZ) 8GB, 1TB, PANTALLA 14" DVD/RW, WIND 10 PRO - NEGRO</t>
  </si>
  <si>
    <t>U15280501681</t>
  </si>
  <si>
    <t>U15280501682</t>
  </si>
  <si>
    <t>U15280501683</t>
  </si>
  <si>
    <t>U15280501684</t>
  </si>
  <si>
    <t>U15280501687</t>
  </si>
  <si>
    <t>EQUIPO DE COMPUTO HP - EQUIPO DE ESCRITORIO HEWLETT PACKARD 280 G2 SFF - INTEL CORE I5 6500 (3.2GHZ) - 4GB - 1TB - PANTALLA 20" - DVD/RW - WIND 10 PRO OJO SUPER PROMOCION</t>
  </si>
  <si>
    <t>U15280501688</t>
  </si>
  <si>
    <t>EQUIPO MAC - IMAC 21.5" ÁMTAÑÑA 4K /3.4 GHZ/CORE I5 QUAD CORE/8GB RAM INTEGRADA/ DD FUSION DRIVE DE 1TB/GRAFICOS RADEON PRO 560 CON 4 GB DE VRAM/ TECLADO Y MOUSE INALAMBRICOS, REEMPLAZO MK452 NUEVOS MNE02E/A</t>
  </si>
  <si>
    <t>U15280501701</t>
  </si>
  <si>
    <t>EQUIPO PORTATIL DELL - VOSTRO 3459 INTEL CORE I5 62000U (2.3 GHZ) 8 GB - 1TB - PANTALLA 14" DVD/RW-WIND 10 PRO NEGRO - AJUSTAR PENDIENTE DAR DE BAJA</t>
  </si>
  <si>
    <t>U15280501702</t>
  </si>
  <si>
    <t>EQUIPO PORTATIL DELL - VOSTRO 3459 INTEL CORE I5 62000U (2.3 GHZ) 8 GB - 1TB - PANTALLA 14" DVD/RW-WIND 10 PRO NEGRO</t>
  </si>
  <si>
    <t>U15280501707</t>
  </si>
  <si>
    <t>EQUIPO PORTATIL HP - 240 G5 INTEL CORE I5 6200U (2.3GHZ) - 4GB - 1TB - PANTALLA 14" - DVD/RW - WIND 10 PRO - NEGRO. INCLUYE GUAYA.</t>
  </si>
  <si>
    <t>U15280501708</t>
  </si>
  <si>
    <t>U15280501709</t>
  </si>
  <si>
    <t>EQUIPO DE COMPUTO HP - EQUIPO DE COMPUTO HP EQUIPO DE ESCRITORIO HEWLETT PACKARD 280 G2 SFF, PROCESADOR INTEL CORE I3 6100 SEXTA GENEARCIÓN , DISCO DURO 1 TERA, MEMORIA RAM 8 GB DDR4, UNIDAD DVD RW, MONITOR 18.5" HPV194, WINDOWS 10 PROFESIONAL GARANTÍA 1 AÑO.</t>
  </si>
  <si>
    <t>INGENIERIA MECANICA</t>
  </si>
  <si>
    <t>U15280501711</t>
  </si>
  <si>
    <t>EQUIPO DE COMPUTO HP - EQUIPO DE ESCRITORIO HEWLETT PACKARD 280 G2 SFF, PROCESADOR INTEL CORE I3 6100 SEXTA GENEARCIÓN , DISCO DURO 1 TERA, MEMORIA RAM 8 GB DDR4, UNIDAD DVD RW, MONITOR 18.5" HPV194, WINDOWS 10 PROFESIONAL GARANTÍA 1 AÑO.</t>
  </si>
  <si>
    <t>U15280501712</t>
  </si>
  <si>
    <t>CENTRO CONCILIACION PRIVADO</t>
  </si>
  <si>
    <t>U15280501713</t>
  </si>
  <si>
    <t>U15280501715</t>
  </si>
  <si>
    <t>EQUIPO PORTATIL HP - COMPUTADOR PORTÁTIL HEWLETT PACKARD HP 240 G6 PROCESADOR INTEL CORE I5 1200U (2.6HZ) SÉPTIMA GENERACIÓN, MEMORIA RAM 8GB DISCO DURO 1TBPANTALLA 14" UNIDAD DVD/RW -WINDOWS 10 PROFESIONAL GARANTÍA 1 AÑO. INCLUYE MALETÍN Y GUAYA.</t>
  </si>
  <si>
    <t>U15280501716</t>
  </si>
  <si>
    <t>U15280501717</t>
  </si>
  <si>
    <t>EQUIPO DE COMPUTO HP - EQUIPO DE ESCRITORIO HP 280 G5, PROCESADOR INTEL CORE I5 6500U (3.2GHZ) SEXTA GENERACIÓN, MEMORIA RAM 8 GB, DISCO DURO 1 TERA, PANTALLA 18.5", UNIDAD DVD/RW, WINDOWS 10 COLOR NEGRO, GARANTÍA UN AÑO. INCLUYE GUAYA.</t>
  </si>
  <si>
    <t>U15280501740</t>
  </si>
  <si>
    <t>EQUIPO MAC - IMAC 27" 5K/3.8 GHZ/CORE I5 QUAD CORE 8 GB (DOS DE 4GB) DE MEMORIA, FUSION DRIVE DE 2 TB, GRAFICOS, RADEON PRO 580 CON 8 GB DE VRAM, MOUSE Y TECLADO INALAMBRICOS, REEMPLAZO MK482, MNED2EA, CON MEMORIA RAM ADICIONAL DE 8GB</t>
  </si>
  <si>
    <t>U15280501741</t>
  </si>
  <si>
    <t>EQUIPO PORTATIL DELL - LATITUDE 3480, INTEL DUAL CORE I5-6200U PROCESSOR (DUAL CORE, 2.3GHZ, 3M CACHE, 15W)/8G DDR4 (1 X 8G)/1TB 5400RPM HARD DISK DRIVE/WINDOWS 10 PRO, 64-BIT, INGLÉS, FRANCÉS, ESPAÑOL/14.0 INCH NON- TOUCH HD (1366X768) ANTI-GLARE LCD/NEGROPRIMARY 3-CELL, 42WHR BATTERY/2 USB 3.0, 1 USB 2.0/INTEL® HD GRAPHICS 520/QUALCOMM QCA61X4A 802.11AC DUAL BAND (2X2) WIRELESS ADAPTER+ BLUETOOTH 4.1/ PUERTOS HDMI-VGA-RJ - 45/ WEB CAM/PESO:1,81 KG (4,0 LB)/ P/N L348I5SS81TBW10 P1W-NMV08</t>
  </si>
  <si>
    <t>U15280501743</t>
  </si>
  <si>
    <t>EQUIPOS DE COMPUTO DELL DATACENTER- OPTIPLEX 3050 SFF INTEL CORE I7-7700 N/P 51036344 - AJUSTAR PENDIENTE DAR DE BAJA</t>
  </si>
  <si>
    <t>U15280501744</t>
  </si>
  <si>
    <t>U15280501746</t>
  </si>
  <si>
    <t>U15280501747</t>
  </si>
  <si>
    <t>U15280501760</t>
  </si>
  <si>
    <t>EQUIPO DE COMPUTO HP - TODO EN UNO HP PRO ONE 400 G2, PROCESADOR INTEL CORE I5 6500 (3.2 CHZ). ,E,PROA RA, 8GB DD 1TB PANTALLA 20" DVD/RW-WIND 10 PROFESIONAL</t>
  </si>
  <si>
    <t>U15280501766</t>
  </si>
  <si>
    <t>ESTACION DE TRABAJO - COMPUTADOR DE ESCRITORIO MARCA HEWLETT PACKARD 800 G3 SFF PROCESADOR INTEL CORE I7 - 7700 VPRO (UP TO 4,2GHZ) SEPTIMA GENERACIÓN, CHIPSET INTEL Q270, DISCO DURO 4 TERA 7200, MEMORIA RAM 16 GB DDR4,UNIDAD DVDRW, TARJETA RED 10/100/1000, MONITOR HP 20", WINDOWS 10 PROFESIONAL INCLUYE TARJETA DE VIDEO GIGABYTE GTX 1050 TL 4GB DDR5 D.D SOLIDO 128 GB, DISCO DURO DE 4GB - MAS 1 MONITOR MARCA HP #P0Q48AA</t>
  </si>
  <si>
    <t>U15280501767</t>
  </si>
  <si>
    <t>EQUIPO DE COMPUTO HP - COMPUTADOR DE ESCRITORIO MARCA HEWLETT PACKARD HP 400 G4 SFF PROCESADOR INTEL® CORETM I7-7700 SEPTIMA GENERACIÓN CON GRÁFICOS INTEL HD 630 (3,6 GHZ, HASTA 4,2 GHZ, CON INTEL TURBO BOOST, 8 MB DE CACHÉ, 4 NÚCLEOS) CHIPSET INTEL H270, INTEL HD GRAPHICS 530, TPM, DISCO DURO 1 TB 7200 RPM, MEMORIA RAM 8 GB (1X8 GB) DDR4 2133 MHZ UNIDAD DVDRW MOUSE USB, TECLADO USB, PUESTO SERIAL, REALTEK 10/100/1000 MICROSOFT WINDOWS® 10 PRO, GARANTIA 3-3-3, HP MONITOR V244H 23.8" RESOLUCIÓN NATIVA 1920 X 1080 A 60 HZ, CONECTOR DE ENTRADA 1 VGA, 1 DVI-D (COMPATIBLE CON HDCP) 1 HDMI (COMPATIBLE CON HDCP)</t>
  </si>
  <si>
    <t>U15280501768</t>
  </si>
  <si>
    <t>EQUIPO DE COMPUTO HP - TODO EN UNO HP PRO ONE 400 G2 PROCESADOR INTEL CORE I5 6500 (3.2 GHZ), MEMORIA RAM 8 GB DD 1 TB, PANTALLA 20" DVD / RW-WIND 10 PROESSIONAL</t>
  </si>
  <si>
    <t>U15280501769</t>
  </si>
  <si>
    <t>EQUIPO PORTATIL HP - 240 G6 PROCESADOR INTEL CORE I5 7200 U (2.66 GHZ) MEMORIA RAM 8GB DISCO DURO 1TB PANTALLA 14" DVD/RW-WIIN 10PRO</t>
  </si>
  <si>
    <t>U15280501781</t>
  </si>
  <si>
    <t>EQUIPO DE COMPUTO HP - HP 2840 WORKSTATION, VOH10LA#ABM PROCESADOR INTEL XEON E5 2650V4, TWELVECORE 2.2 GHZ 30MB SMARTCACHE, DDR4-2400 MEMORY, 9.6GT/S QPI, HT, TURBO BOOST (2,9GHZ), HT, 105W, INTEL® C612 CHIPSET, MEMORIA: 16GB (2X8GB)DDR4-2400 REGRAM, DISCO DURO: 256GB ZTURBO DRIVE (SSD),1TB SATA 6GB/S 7200RPM, CONTROLADORES DE DISCOS: INTEGRADO 6-CHANNEL SATA 6.0GB/SEC - INTEGRADO 8-CHANNEL SAS 6.0GB/SEC, 2 CONTROLADORES DE RED GIGABIT- INTEGRATED INTEL I218LM - INTEGRATED I210AT, UNIDAD OPTICA: DVDRW 9.5MM SLIM SUPERMULTI, GRAFICADORA DE VIDEO: NVIDIA QUADRO M4000 8GB VIDEO RAM, FUENTE DE PODER: 1125W 90% EFFICIENT WIDE- RANGING, ACTIVE POWER FACTOR CORRECTION, SEGURIDAD: HP CHASSIS INTRUSION SENSOR, SISTEMA OPERATIVO: 'WINDOWS 10 PRO 64,</t>
  </si>
  <si>
    <t>FACULTAD DE INGENIERÍA</t>
  </si>
  <si>
    <t>U15280501783</t>
  </si>
  <si>
    <t>EQUIPO PORTATIL DELL - LATITUDE 5480, DELL LATITUDE 5480 - 7TH GENERATION INTEL CORE I7-7600U (DUAL CORE, 2.80GZ, 4MB CACHE)/ /8GB (1X8GB) 2400MHZ DDR4/1TB 5400RPM HD/2 USB 3.1 DE PRIMERA GENERACIÓN (UNO CON POWERSHARE), HDMI, VGA RJ-45, OPCIÓN DE BANDEJA DE TARJETA USIM EXTERNA LECTOR DE TARJETA DE MEMORIA USD 4.0 WIND 10 PRO 64 BITS /14.0'' NON-TOUCH ANTI-GLARE HD (1366 X 768) / NEGRO/ 3 CELL 51WHR PRIMARY BATTERYINTEGRATED HD GRAPHICS 630 /MCAFEE 30 DAYS TRIAL/3 USB 3.0 ONE POWER SHARE / PUERTOS: USB TIPO C/HD WEB CAM/AUDIO HIGHT QUALITY/INTEL DUAL-BAND WIRELESS-AC 8265 WI-FI + BT 4.2 WIRELESS CARD (2X2)/BLUETOOTH 4.2/PESO:1,76KG/ 3 AÑOS DE GARANTIA LIMITADA ON-SITE SERVICE P/N L5480I7KS81TBW1 0P3W - 2J6R7</t>
  </si>
  <si>
    <t>U15280501820</t>
  </si>
  <si>
    <t>EQUIPO MAC - IMAC 27" 5K / 3.8 GHZ / CORE I5 QUAD CORE / 8 GB (DOS DE 4 GB) DE MEMORIA / FUSION DRIVE DE 2 TB / GRAFICOS: RADEON PRO 580 CON 8 GB DE VRAM / MOUSE Y TECLADO INALAMBRICOS. REEMPLAZO MK482 MNED2E/A MEMORIA DE 8 GB PARA IMAC</t>
  </si>
  <si>
    <t>U15280501821</t>
  </si>
  <si>
    <t>U15280501829</t>
  </si>
  <si>
    <t>EQUIPOS DE COMPUTO DELL - PC SFF OPTIPLEX SFF 7050, INTEL CORE I7, 7700 , 8GB/1TERA, DVDRW, WIN 10 PRO, GARANTIA 3 AÑOS ON-SITE</t>
  </si>
  <si>
    <t>U15280501668</t>
  </si>
  <si>
    <t>EQUIPOS DE COMPUTO DELL - COMPUTADOR DE ESCRITORIO DELL OPTIPLEX 3050 MFF - PROCESADOR INTEL CORE I3 7100T (3.4GHZ) SEPTIMA GENERACION - MEMORIA RAM 8GB - DISCO DURO 500GB - MONITOR PANTALLA 18.5" -WINDOWS 10 PROFESIONAL GARANTIA 1 AÑO.</t>
  </si>
  <si>
    <t>U15280501830</t>
  </si>
  <si>
    <t>EQUIPO PORTATIL HP - PORTÁTIL HP 240 G6, PROCESADOR DE 7A GENERACIÓN INTEL® CORETM I5, 8 GB DE SDRAM DDR4-2133 (2 X 4 GB), DISCO DURO SATA DE 1 TB Y 5400 RPM, HD SVA DE PANTALLA PLANTA ANTIRREFLEJO CON RETROILUMINACIÓN LED DE 14" EN DIAGONAL (1366 X 768), 2 USB 3.0, 1 USB 2.0, 1 HDMI 1.4B, 1 VGA, 1 RJ-45, 1 COMBINACIÓN DE AURICULARES/MICRÓFONO, 1 ALIMENTACIÓN DE CA, NIC GBE (10/100/1000), COMBINACIÓN 802.11B/G/N (1X1) Y BLUETOOTH® 4.0, IONES DE LITIO DE 4 CELDAS Y 41 WH, WINDOWS 10 PROFESIONAL, GARANTÍA 1 AÑO. EXENTO DE IVA</t>
  </si>
  <si>
    <t>U15280501863</t>
  </si>
  <si>
    <t>PORTATIL LENOVO - O IDEAPAD 320-15 ABR PROCESADOR AMD A12 9720P DISCO DURO 1 TERA MEMORIA RAM 8GB DDR PANTALLA 15,6" HD NO INCLUYE UNIDAD DVD, PUERTO HDMI TARJETA DE VIDEO 2GB R8 M535DX WINDOWS 10 HOME</t>
  </si>
  <si>
    <t>U15280501867</t>
  </si>
  <si>
    <t>U15280501872</t>
  </si>
  <si>
    <t>EQUIPOS DE COMPUTO DELL - OPTIPLEX 3050 MFF-PROCESADOR INTEL CORE I3 7100T (3.4GHZ) SEPTIMA GENERACION MEMORIA RAM 8GB,DD 1TB, MONITOR PANTALLA 18.5", WIN 10PRO</t>
  </si>
  <si>
    <t>U15280501870</t>
  </si>
  <si>
    <t>EQUIPOS DE COMPUTO DELL - COMPUTADOR DE ESCRITORIO DELL OPTIPLEX 3050 MFF -</t>
  </si>
  <si>
    <t>U15280501871</t>
  </si>
  <si>
    <t>CONTADURIA PUBLICA</t>
  </si>
  <si>
    <t>U15280501869</t>
  </si>
  <si>
    <t>PORTATIL LENOVO - PORTATIL LENOVO LEGION Y520 (15.6", INTEL) PROCESADOR INTEL CORE I5- 7300HQ PROCESSOR ( 2.50GHZ 2400MHZ 6MB ), SISTEMA OPERATIVO WINDOWS 10 HOME 64, SISTEMA OPERATIVO WINDOWS 10 HOME 64 MONITOR 15,6" HIGH DEFINITION IPS ANTIGLARE LED BACKLIGHT 1920X1080, MEMORIA RAM 16GB PC4-19200 DDR4 SODIMM 2400MHZ, DISCO DURO MECANICO 1TB 5400 RPM, GARANTÍA UN AÑO TARJETA GRÁFICADORA INDEPENDIENTE NVIDIA GEFORCE GTX 1050 2GB GDDR5, 3 CELDAS; BLUETOOTH,VR 4.1; CONECTIVIDAD INALÁMBRICO LENOVO</t>
  </si>
  <si>
    <t>U15280501894</t>
  </si>
  <si>
    <t>EQUIPO PORTATIL DELL - 5480/INTEL CORE I7-7600U/8GB (1X8GB) 2400MHZ DDR4/INTEGRATED HD GRAPHICS 630/1TB 5400RPM HD/INTEL DUAL-BAND WIRELESS-AC 8265 WI-FI + BT 4.2, WIRELESS CARD (2X2)/WEBCAM INTEGRATED/NO-DVD/MICROSOFT OFFICE TRIAL/HDMI/USB 3.0/2.0/14.0'' NON-TOUCH ANTI-GLARE HD (1366 X 768)/WINDOWS 10 PRO 64BIT SPANISH/3 YEAR HARDWARE SERVICE WITH ONSITE/IN-HOME SERVICE AFTER REMOTE DIAGNOSIS P/N 2J6R7</t>
  </si>
  <si>
    <t>U15280501899</t>
  </si>
  <si>
    <t>EQUIPOS DE COMPUTO DELL - COMPUTADOR DE ESCRITORIO DELL OPTIPLEX 3050 MFF - PROCESADOR INTEL CORE I3 7100T (3.4GHZ) SEPTIMA GENERACION - MEMORIA RAM 8GB - DISCO DURO 1 TERA - MONITOR PANTALLA 18.5" -WINDOWS 10 PROFESIONAL GARANTIA 1 AÑO.</t>
  </si>
  <si>
    <t>U15280501900</t>
  </si>
  <si>
    <t>U15280501981</t>
  </si>
  <si>
    <t>U15280501982</t>
  </si>
  <si>
    <t>U15280501984</t>
  </si>
  <si>
    <t>INSTITUTO DE DESARROLLO REGIONAL</t>
  </si>
  <si>
    <t>U15280501985</t>
  </si>
  <si>
    <t>EQUIPO COMPUTO LENOVO - PORTÁTIL LENOVO V310 INTEL CORE I5-6200U PROCESSOR (UP TO 2.80GHZ), 8.0GB RAM, 1 TB 5400 RPM, 14 " HD AG (1366 X 768), INTEL HD GRAPHICS 520, SUPER MULTI TRAY CD/DVD, 720P HD CAMERA WITH MIC, FINGERPRINT READER, TOUCHPAD, ETHERNET, WIFI+BT4.1 1X1AC, BLUETOOTH 4.1, 4 CELL LITHIUM-ION UP TO 6 HORAS, LENOVO POWER 5.0, ONE KEY RECOVERY 7.0, WINDOWS10 PROFESSIONAL, 1YEAR DEPOT. EXENTO DE IVA</t>
  </si>
  <si>
    <t>U15280501997</t>
  </si>
  <si>
    <t>EQUIPO PORTATIL DELL - PORTATIL DELL LATITUDE 5480 TIPO 3 - INTEL CI5-7440HQ/ 16GB DDR4/ DD 512GB SSD/ 14.0" FHD/ WIN10 PRO/ 3 AÑOS PROSSUPORT PLUS</t>
  </si>
  <si>
    <t>U15280501995</t>
  </si>
  <si>
    <t>EQUIPO COMPUTO LENOVO - LENOVO V520S SFF - INTEL CORE I7 7700 QC (2.9GHZ) - MEMORIA RAM 8GB DISCO DURO 1TB - PANTALLA 19.5" - WIND 10 PRO. GARANTIA 1 AÑO.</t>
  </si>
  <si>
    <t>U15280502005</t>
  </si>
  <si>
    <t>EQUIPO PORTATIL DELL - PORTATIL DELL 5480/INTEL CORE I7-7600U/8GB (1X8GB) 2400MHZ DDR4/INTEGRATED HD. GRAPHICS 630/1TB 5400RPM HD/INTEL DUAL-BAND WIRELESS-AC 8265 WI-FI + BT 4.2. WIRELESS CARD (2X2)/WEBCAM INTEGRATED/NO-DVD/MICROSOFT OFFICE TRIAL/HDMI/USB. 3.0/2.0/14.0'' NON-TOUCH ANTI-GLARE HD (1366 X 768)/WINDOWS 10 PRO 64BIT SPANISH/3. YEAR HARDWARE SERVICE WITH ONSITE/IN-HOME SERVICE AFTER REMOTE DIAGNOSIS P/N 2J6R7.</t>
  </si>
  <si>
    <t>U15280502006</t>
  </si>
  <si>
    <t>U15280502007</t>
  </si>
  <si>
    <t>CONTABILIDAD</t>
  </si>
  <si>
    <t>U15280502008</t>
  </si>
  <si>
    <t>U15280502009</t>
  </si>
  <si>
    <t>U15280501993</t>
  </si>
  <si>
    <t>EQUIPO DE COMPUTO HP - HP 800 G3 SFF PROCESADOR INTEL CORE I5 7500 QC (3.4GHZ) MEMORIA RAM 8GB DISCO DURO 1TERA - PANTALLA 18.5" UNIDAD DVD/RW WINDOWS 10 PROFESIONAL. GARANTIA 3 AÑOS A TARVES DE LA LINES DIRECTA DE HP COLOMBIA.</t>
  </si>
  <si>
    <t>U15280501994</t>
  </si>
  <si>
    <t>U15280502011</t>
  </si>
  <si>
    <t>EQUIPO PORTATIL HP - EQUIPO PORTÁTIL CORPORATIVO HP 440 G5, PROCESADOR INTEL CORE I7 8500U (2.7GHZ), MEMORIA RAM 8 GB, DISCO DURO 1 TB, PANTALLA DE 14", WINDOWS 10 PROFESIONAL, GARANTÍA 1 AÑO</t>
  </si>
  <si>
    <t>U15280502012</t>
  </si>
  <si>
    <t>U15280502022</t>
  </si>
  <si>
    <t>PORTATIL LENOVO - PORTATIL LENOVO REF 510S 14ISK PROCESADOR INTEL® CORE ¿ I5- 6200U CACHÉ DE 3M, HASTA 2.80 GHZ(2.3GHZ) MEMORIA RAM 8GB DISCO DURO 1TB - TARJETA DE VIDEO 2GB AMD RADEON. PANTALLA 14 " HD. SISTEMA OPERATIVO WINDOWS 10 PROFESIONAL PUERTOS USB 2.0 X1 USB - 3.0 X2 - HDMI. UNIDAD OPTICA NO TIENE. PESO 2,2 KG. GARANTIA 1 AÑO COLOR BLANCO.</t>
  </si>
  <si>
    <t>U15280502023</t>
  </si>
  <si>
    <t>U15280502026</t>
  </si>
  <si>
    <t>EQUIPO PORTATIL DELL - PORTATIL DELL LATITUDE 3480 TIPO 1 - INTEL CI3-7100U/ 8GB DDR4/ DD 500GB/ 14.0" HD/ WIN10 PRO/ 3 AÑOS PROSSUPORT PLUS</t>
  </si>
  <si>
    <t>U15280502027</t>
  </si>
  <si>
    <t>U15280502024</t>
  </si>
  <si>
    <t>EQUIPO MAC - REFERENCIA:MNEA2E/A IMAC 27¿ RETINA 5K /8GB EN RAM /1 TB FD/ GRAFICOS RP575 CON 4GB DE VRAM/QC 3.5 GHZ</t>
  </si>
  <si>
    <t>U15280502025</t>
  </si>
  <si>
    <t>EQUIPO MAC - EQUIPO IMAC 27" 5K/*3.8 GHZ CORE I5 QUAD CORE FUSION DIRVE DE 2TB/GRAFICOS RADEON PRO 580 CON 8GB DE VRAM, MOUSE Y TECLADO INALAMBRICOS, REF MNED2E/A 8GB EN RAM, RAM ADICIONAL DE 24 GB PARA UN TOTAL DE 24 GB EN RAM CON GARANTIA EXTENDIDA DE 2 AÑOS PARA UN TOTAL DE 3 AÑOS</t>
  </si>
  <si>
    <t>U15280502036</t>
  </si>
  <si>
    <t>EQUIPO PORTATIL HP - PORTATIL HEWLETT PACKARD PROCESADOR INTEL CORE I5 7200U (2.5GHZ) SÉPTIMA GENERACIÓN, MEMORIA RAM 8GB DISCO DURO 1TB, NÚMERO DE PUERTOS HDMI|VGA|USB; TARJETA GRÁFICA INTEL HD 620, CONECTIVIDAD BLUETOOTH,PANTALLA 14" RESOLUCION: 1366 X 768, SISTEMA OPERATIVO:WINDOWS 10 PRO 64, PESO: 1.85KG, NEGRO, GARANTÍA 1 AÑO. VALOR EXENTO DE IVA</t>
  </si>
  <si>
    <t>U15280502037</t>
  </si>
  <si>
    <t>INNOVAR SURORIENTE - EQUIPO DE COMPUTO HP - EQUIPO DE ESCRITORIO MARCA HEWLETT PACKARD REF 280 G2 SFF CON PROCESADOR INTEL® CORE¿ I5-7500 CON GRÁFICOS INTEL® HD 630 (FRECUENCIA BASE DE 3,4 GHZ, HASTA 3,8 GHZ CON TECNOLOGÍA INTEL® TURBO BOOST, 6 MB DE CACHÉ, 4 NÚCLEOS); MEMORIA RAM 16 GB DE SDRAM DDR4-2400; DISCO DURO 1 TB SATA (DE 7.200 RPM); TARJETA DE RED LANGBE REALTEK RTL8111HSH-CG GBE INTEGRADO; GRABADORA DE DVD SATA DELGADA; WINDOWS 10 PRO 64 ; MONITOR HP DE 22"</t>
  </si>
  <si>
    <t>U15280502040</t>
  </si>
  <si>
    <t>EQUIPO DE COMPUTO HP - EQUIPO DE ESCRITORIO MARCA HEWLETT PACKARD REF 280 G2 SFF CON PROCESADOR INTEL® CORETM I5-7500 CON GRÁFICOS INTEL® HD 630 (FRECUENCIA BASE DE 3,4 GHZ, HASTA 3,8 GHZ CON TECNOLOGÍA INTEL® TURBO BOOST, 6 MB DE CACHÉ, 4 NÚCLEOS); MEMORIA RAM 16 GB DE SDRAM DDR4-2400; DISCO DURO 1 TB SATA (DE 7.200 RPM); TARJETA DE RED LANGBE REALTEK RTL8111HSH-CG GBE INTEGRADO; GRABADORA DE DVD SATA DELGADA; WINDOWS 10 PRO 64 ; MONITOR HP 18,5"</t>
  </si>
  <si>
    <t>U15280506001</t>
  </si>
  <si>
    <t>EQUIPOS DE COMPUTO LEASING -ACTIVO CREADO AUTOMATICAMENTE POR PROCESO DE OPCION DE COMPRA DEL ACTIVO # 34823</t>
  </si>
  <si>
    <t>U15280506002</t>
  </si>
  <si>
    <t>EQUIPOS DE COMPUTO LEASING -ACTIVO CREADO AUTOMATICAMENTE POR PROCESO DE OPCION DE COMPRA DEL ACTIVO # 34824</t>
  </si>
  <si>
    <t>GERENCIA ADMINISTRATIVA</t>
  </si>
  <si>
    <t>U15280506003</t>
  </si>
  <si>
    <t>EQUIPOS DE COMPUTO LEASING -ACTIVO CREADO AUTOMATICAMENTE POR PROCESO DE OPCION DE COMPRA DEL ACTIVO # 34825</t>
  </si>
  <si>
    <t>U15280506005</t>
  </si>
  <si>
    <t>EQUIPOS DE COMPUTO LEASING -ACTIVO CREADO AUTOMATICAMENTE POR PROCESO DE OPCION DE COMPRA DEL ACTIVO # 34827</t>
  </si>
  <si>
    <t>U15280506006</t>
  </si>
  <si>
    <t>EQUIPOS DE COMPUTO LEASING -ACTIVO CREADO AUTOMATICAMENTE POR PROCESO DE OPCION DE COMPRA DEL ACTIVO # 34828</t>
  </si>
  <si>
    <t>BIENESTAR UNIVERSITARIO UNIDAD DE PEMANENCIA</t>
  </si>
  <si>
    <t>U15280506007</t>
  </si>
  <si>
    <t>EQUIPOS DE COMPUTO LEASING -ACTIVO CREADO AUTOMATICAMENTE POR PROCESO DE OPCION DE COMPRA DEL ACTIVO # 34829</t>
  </si>
  <si>
    <t>U15280506008</t>
  </si>
  <si>
    <t>EQUIPOS DE COMPUTO LEASING -ACTIVO CREADO AUTOMATICAMENTE POR PROCESO DE OPCION DE COMPRA DEL ACTIVO # 34830</t>
  </si>
  <si>
    <t>U15280506009</t>
  </si>
  <si>
    <t>EQUIPOS DE COMPUTO LEASING -ACTIVO CREADO AUTOMATICAMENTE POR PROCESO DE OPCION DE COMPRA DEL ACTIVO # 34833</t>
  </si>
  <si>
    <t>U15280506010</t>
  </si>
  <si>
    <t>EQUIPOS DE COMPUTO LEASING -ACTIVO CREADO AUTOMATICAMENTE POR PROCESO DE OPCION DE COMPRA DEL ACTIVO # 34834</t>
  </si>
  <si>
    <t>U15280506011</t>
  </si>
  <si>
    <t>EQUIPOS DE COMPUTO LEASING -ACTIVO CREADO AUTOMATICAMENTE POR PROCESO DE OPCION DE COMPRA DEL ACTIVO # 34835</t>
  </si>
  <si>
    <t>U15280506012</t>
  </si>
  <si>
    <t>EQUIPOS DE COMPUTO LEASING -ACTIVO CREADO AUTOMATICAMENTE POR PROCESO DE OPCION DE COMPRA DEL ACTIVO # 34836</t>
  </si>
  <si>
    <t>U15280506013</t>
  </si>
  <si>
    <t>EQUIPOS DE COMPUTO LEASING -ACTIVO CREADO AUTOMATICAMENTE POR PROCESO DE OPCION DE COMPRA DEL ACTIVO # 34837</t>
  </si>
  <si>
    <t>U15280506014</t>
  </si>
  <si>
    <t>EQUIPOS DE COMPUTO LEASING -ACTIVO CREADO AUTOMATICAMENTE POR PROCESO DE OPCION DE COMPRA DEL ACTIVO # 34838</t>
  </si>
  <si>
    <t>U15280506015</t>
  </si>
  <si>
    <t>EQUIPOS DE COMPUTO LEASING -ACTIVO CREADO AUTOMATICAMENTE POR PROCESO DE OPCION DE COMPRA DEL ACTIVO # 34839</t>
  </si>
  <si>
    <t>U15280506016</t>
  </si>
  <si>
    <t>EQUIPOS DE COMPUTO LEASING -ACTIVO CREADO AUTOMATICAMENTE POR PROCESO DE OPCION DE COMPRA DEL ACTIVO # 34840</t>
  </si>
  <si>
    <t>U15280506017</t>
  </si>
  <si>
    <t>EQUIPOS DE COMPUTO LEASING -ACTIVO CREADO AUTOMATICAMENTE POR PROCESO DE OPCION DE COMPRA DEL ACTIVO # 34841</t>
  </si>
  <si>
    <t>U15280506020</t>
  </si>
  <si>
    <t>EQUIPOS DE COMPUTO LEASING -ACTIVO CREADO AUTOMATICAMENTE POR PROCESO DE OPCION DE COMPRA DEL ACTIVO # 34845</t>
  </si>
  <si>
    <t>U15280506021</t>
  </si>
  <si>
    <t>EQUIPOS DE COMPUTO LEASING -ACTIVO CREADO AUTOMATICAMENTE POR PROCESO DE OPCION DE COMPRA DEL ACTIVO # 34846</t>
  </si>
  <si>
    <t>U15280506022</t>
  </si>
  <si>
    <t>EQUIPOS DE COMPUTO LEASING -ACTIVO CREADO AUTOMATICAMENTE POR PROCESO DE OPCION DE COMPRA DEL ACTIVO # 34847</t>
  </si>
  <si>
    <t>U15280506023</t>
  </si>
  <si>
    <t>EQUIPOS DE COMPUTO LEASING -ACTIVO CREADO AUTOMATICAMENTE POR PROCESO DE OPCION DE COMPRA DEL ACTIVO # 34848</t>
  </si>
  <si>
    <t>U15280506024</t>
  </si>
  <si>
    <t>EQUIPOS DE COMPUTO LEASING -ACTIVO CREADO AUTOMATICAMENTE POR PROCESO DE OPCION DE COMPRA DEL ACTIVO # 34849</t>
  </si>
  <si>
    <t>U15280506025</t>
  </si>
  <si>
    <t>EQUIPOS DE COMPUTO LEASING -ACTIVO CREADO AUTOMATICAMENTE POR PROCESO DE OPCION DE COMPRA DEL ACTIVO # 34850</t>
  </si>
  <si>
    <t>U15280506026</t>
  </si>
  <si>
    <t>EQUIPOS DE COMPUTO LEASING -ACTIVO CREADO AUTOMATICAMENTE POR PROCESO DE OPCION DE COMPRA DEL ACTIVO # 34852</t>
  </si>
  <si>
    <t>EMPLEABILIDAD</t>
  </si>
  <si>
    <t>U15280506027</t>
  </si>
  <si>
    <t>EQUIPOS DE COMPUTO LEASING -ACTIVO CREADO AUTOMATICAMENTE POR PROCESO DE OPCION DE COMPRA DEL ACTIVO # 34853</t>
  </si>
  <si>
    <t>U15280506028</t>
  </si>
  <si>
    <t>EQUIPOS DE COMPUTO LEASING -ACTIVO CREADO AUTOMATICAMENTE POR PROCESO DE OPCION DE COMPRA DEL ACTIVO # 34854</t>
  </si>
  <si>
    <t>U15280506030</t>
  </si>
  <si>
    <t>EQUIPOS DE COMPUTO LEASING -ACTIVO CREADO AUTOMATICAMENTE POR PROCESO DE OPCION DE COMPRA DEL ACTIVO # 34856</t>
  </si>
  <si>
    <t>U15280506031</t>
  </si>
  <si>
    <t>EQUIPOS DE COMPUTO LEASING -ACTIVO CREADO AUTOMATICAMENTE POR PROCESO DE OPCION DE COMPRA DEL ACTIVO # 34857</t>
  </si>
  <si>
    <t>U15280506032</t>
  </si>
  <si>
    <t>EQUIPOS DE COMPUTO LEASING -ACTIVO CREADO AUTOMATICAMENTE POR PROCESO DE OPCION DE COMPRA DEL ACTIVO # 34858</t>
  </si>
  <si>
    <t>U15280506033</t>
  </si>
  <si>
    <t>EQUIPOS DE COMPUTO LEASING -ACTIVO CREADO AUTOMATICAMENTE POR PROCESO DE OPCION DE COMPRA DEL ACTIVO # 34859</t>
  </si>
  <si>
    <t>U15280506034</t>
  </si>
  <si>
    <t>EQUIPOS DE COMPUTO LEASING -ACTIVO CREADO AUTOMATICAMENTE POR PROCESO DE OPCION DE COMPRA DEL ACTIVO # 34860</t>
  </si>
  <si>
    <t>PLATA FISICA ACTIVOS FIJOS</t>
  </si>
  <si>
    <t>U15280506035</t>
  </si>
  <si>
    <t>EQUIPOS DE COMPUTO LEASING -ACTIVO CREADO AUTOMATICAMENTE POR PROCESO DE OPCION DE COMPRA DEL ACTIVO # 34861</t>
  </si>
  <si>
    <t>U15280506036</t>
  </si>
  <si>
    <t>EQUIPOS DE COMPUTO LEASING -ACTIVO CREADO AUTOMATICAMENTE POR PROCESO DE OPCION DE COMPRA DEL ACTIVO # 34862</t>
  </si>
  <si>
    <t>U15280506108</t>
  </si>
  <si>
    <t>EQUIPO PORTATIL HP - PORTÁTIL HEWLETT PACKARD MODELO NOTEBOOK 14H</t>
  </si>
  <si>
    <t>U15280506157</t>
  </si>
  <si>
    <t>EQUIPOS DE COMPUTO LEASING -ACTIVO CREADO AUTOMATICAMENTE POR PROCESO DE OPCION DE COMPRA DEL ACTIVO # 34983</t>
  </si>
  <si>
    <t>U15280506159</t>
  </si>
  <si>
    <t>EQUIPOS DE COMPUTO LEASING -ACTIVO CREADO AUTOMATICAMENTE POR PROCESO DE OPCION DE COMPRA DEL ACTIVO # 34985</t>
  </si>
  <si>
    <t>AYUDAS EDUCATIVAS</t>
  </si>
  <si>
    <t>U15280506160</t>
  </si>
  <si>
    <t>EQUIPOS DE COMPUTO LEASING -ACTIVO CREADO AUTOMATICAMENTE POR PROCESO DE OPCION DE COMPRA DEL ACTIVO # 34986</t>
  </si>
  <si>
    <t>U15280506162</t>
  </si>
  <si>
    <t>EQUIPOS DE COMPUTO LEASING -ACTIVO CREADO AUTOMATICAMENTE POR PROCESO DE OPCION DE COMPRA DEL ACTIVO # 34988</t>
  </si>
  <si>
    <t>U15280506163</t>
  </si>
  <si>
    <t>EQUIPOS DE COMPUTO LEASING -ACTIVO CREADO AUTOMATICAMENTE POR PROCESO DE OPCION DE COMPRA DEL ACTIVO # 34989</t>
  </si>
  <si>
    <t>U15280506164</t>
  </si>
  <si>
    <t>EQUIPOS DE COMPUTO LEASING -ACTIVO CREADO AUTOMATICAMENTE POR PROCESO DE OPCION DE COMPRA DEL ACTIVO # 34990</t>
  </si>
  <si>
    <t>U15280506165</t>
  </si>
  <si>
    <t>EQUIPOS DE COMPUTO LEASING -ACTIVO CREADO AUTOMATICAMENTE POR PROCESO DE OPCION DE COMPRA DEL ACTIVO # 34991</t>
  </si>
  <si>
    <t>U15280506166</t>
  </si>
  <si>
    <t>EQUIPOS DE COMPUTO LEASING -ACTIVO CREADO AUTOMATICAMENTE POR PROCESO DE OPCION DE COMPRA DEL ACTIVO # 34992</t>
  </si>
  <si>
    <t>U15280506167</t>
  </si>
  <si>
    <t>EQUIPOS DE COMPUTO LEASING -ACTIVO CREADO AUTOMATICAMENTE POR PROCESO DE OPCION DE COMPRA DEL ACTIVO # 34993</t>
  </si>
  <si>
    <t>U15280506168</t>
  </si>
  <si>
    <t>EQUIPOS DE COMPUTO LEASING -ACTIVO CREADO AUTOMATICAMENTE POR PROCESO DE OPCION DE COMPRA DEL ACTIVO # 34994</t>
  </si>
  <si>
    <t>U15280506169</t>
  </si>
  <si>
    <t>EQUIPOS DE COMPUTO LEASING -ACTIVO CREADO AUTOMATICAMENTE POR PROCESO DE OPCION DE COMPRA DEL ACTIVO # 34995</t>
  </si>
  <si>
    <t>U15280506170</t>
  </si>
  <si>
    <t>EQUIPOS DE COMPUTO LEASING -ACTIVO CREADO AUTOMATICAMENTE POR PROCESO DE OPCION DE COMPRA DEL ACTIVO # 34996</t>
  </si>
  <si>
    <t>U15280506171</t>
  </si>
  <si>
    <t>EQUIPOS DE COMPUTO LEASING -ACTIVO CREADO AUTOMATICAMENTE POR PROCESO DE OPCION DE COMPRA DEL ACTIVO # 34997</t>
  </si>
  <si>
    <t>U15280506172</t>
  </si>
  <si>
    <t>EQUIPOS DE COMPUTO LEASING -ACTIVO CREADO AUTOMATICAMENTE POR PROCESO DE OPCION DE COMPRA DEL ACTIVO # 34998</t>
  </si>
  <si>
    <t>U15280506173</t>
  </si>
  <si>
    <t>EQUIPOS DE COMPUTO LEASING -ACTIVO CREADO AUTOMATICAMENTE POR PROCESO DE OPCION DE COMPRA DEL ACTIVO # 34999</t>
  </si>
  <si>
    <t>U15280506174</t>
  </si>
  <si>
    <t>EQUIPOS DE COMPUTO LEASING -ACTIVO CREADO AUTOMATICAMENTE POR PROCESO DE OPCION DE COMPRA DEL ACTIVO # 35000</t>
  </si>
  <si>
    <t>U15280506175</t>
  </si>
  <si>
    <t>EQUIPOS DE COMPUTO LEASING -ACTIVO CREADO AUTOMATICAMENTE POR PROCESO DE OPCION DE COMPRA DEL ACTIVO # 35001</t>
  </si>
  <si>
    <t>U15280506176</t>
  </si>
  <si>
    <t>EQUIPOS DE COMPUTO LEASING -ACTIVO CREADO AUTOMATICAMENTE POR PROCESO DE OPCION DE COMPRA DEL ACTIVO # 35002</t>
  </si>
  <si>
    <t>U15280506177</t>
  </si>
  <si>
    <t>EQUIPOS DE COMPUTO LEASING -ACTIVO CREADO AUTOMATICAMENTE POR PROCESO DE OPCION DE COMPRA DEL ACTIVO # 35003</t>
  </si>
  <si>
    <t>U15280506178</t>
  </si>
  <si>
    <t>EQUIPOS DE COMPUTO LEASING -ACTIVO CREADO AUTOMATICAMENTE POR PROCESO DE OPCION DE COMPRA DEL ACTIVO # 35004</t>
  </si>
  <si>
    <t>U15280506179</t>
  </si>
  <si>
    <t>EQUIPOS DE COMPUTO LEASING -ACTIVO CREADO AUTOMATICAMENTE POR PROCESO DE OPCION DE COMPRA DEL ACTIVO # 35005</t>
  </si>
  <si>
    <t>U15280506180</t>
  </si>
  <si>
    <t>EQUIPOS DE COMPUTO LEASING -ACTIVO CREADO AUTOMATICAMENTE POR PROCESO DE OPCION DE COMPRA DEL ACTIVO # 35006</t>
  </si>
  <si>
    <t>U15280506181</t>
  </si>
  <si>
    <t>EQUIPOS DE COMPUTO LEASING -ACTIVO CREADO AUTOMATICAMENTE POR PROCESO DE OPCION DE COMPRA DEL ACTIVO # 35007</t>
  </si>
  <si>
    <t>U15280506182</t>
  </si>
  <si>
    <t>EQUIPOS DE COMPUTO LEASING -ACTIVO CREADO AUTOMATICAMENTE POR PROCESO DE OPCION DE COMPRA DEL ACTIVO # 35008</t>
  </si>
  <si>
    <t>U15280506183</t>
  </si>
  <si>
    <t>EQUIPOS DE COMPUTO LEASING -ACTIVO CREADO AUTOMATICAMENTE POR PROCESO DE OPCION DE COMPRA DEL ACTIVO # 35009</t>
  </si>
  <si>
    <t>U15280506184</t>
  </si>
  <si>
    <t>EQUIPOS DE COMPUTO LEASING -ACTIVO CREADO AUTOMATICAMENTE POR PROCESO DE OPCION DE COMPRA DEL ACTIVO # 35010</t>
  </si>
  <si>
    <t>U15280506185</t>
  </si>
  <si>
    <t>EQUIPOS DE COMPUTO LEASING -ACTIVO CREADO AUTOMATICAMENTE POR PROCESO DE OPCION DE COMPRA DEL ACTIVO # 35011</t>
  </si>
  <si>
    <t>FACULTAD DE DERECHO Y CIENCIAS ECONOMICAS</t>
  </si>
  <si>
    <t>U15280506186</t>
  </si>
  <si>
    <t>EQUIPOS DE COMPUTO LEASING -ACTIVO CREADO AUTOMATICAMENTE POR PROCESO DE OPCION DE COMPRA DEL ACTIVO # 35012</t>
  </si>
  <si>
    <t>U15280506187</t>
  </si>
  <si>
    <t>EQUIPOS DE COMPUTO LEASING -ACTIVO CREADO AUTOMATICAMENTE POR PROCESO DE OPCION DE COMPRA DEL ACTIVO # 35013</t>
  </si>
  <si>
    <t>U15280506188</t>
  </si>
  <si>
    <t>EQUIPOS DE COMPUTO LEASING -ACTIVO CREADO AUTOMATICAMENTE POR PROCESO DE OPCION DE COMPRA DEL ACTIVO # 35014</t>
  </si>
  <si>
    <t>ALMACEN</t>
  </si>
  <si>
    <t>U15280506189</t>
  </si>
  <si>
    <t>EQUIPOS DE COMPUTO LEASING -ACTIVO CREADO AUTOMATICAMENTE POR PROCESO DE OPCION DE COMPRA DEL ACTIVO # 35015</t>
  </si>
  <si>
    <t>U15280506190</t>
  </si>
  <si>
    <t>EQUIPOS DE COMPUTO LEASING -ACTIVO CREADO AUTOMATICAMENTE POR PROCESO DE OPCION DE COMPRA DEL ACTIVO # 35016</t>
  </si>
  <si>
    <t>U15280506191</t>
  </si>
  <si>
    <t>EQUIPOS DE COMPUTO LEASING -ACTIVO CREADO AUTOMATICAMENTE POR PROCESO DE OPCION DE COMPRA DEL ACTIVO # 35017</t>
  </si>
  <si>
    <t>U15280506192</t>
  </si>
  <si>
    <t>EQUIPOS DE COMPUTO LEASING -ACTIVO CREADO AUTOMATICAMENTE POR PROCESO DE OPCION DE COMPRA DEL ACTIVO # 35018</t>
  </si>
  <si>
    <t>U15280506193</t>
  </si>
  <si>
    <t>EQUIPOS DE COMPUTO LEASING -ACTIVO CREADO AUTOMATICAMENTE POR PROCESO DE OPCION DE COMPRA DEL ACTIVO # 35019</t>
  </si>
  <si>
    <t>U15280506194</t>
  </si>
  <si>
    <t>EQUIPOS DE COMPUTO LEASING -ACTIVO CREADO AUTOMATICAMENTE POR PROCESO DE OPCION DE COMPRA DEL ACTIVO # 35020</t>
  </si>
  <si>
    <t>U15280506195</t>
  </si>
  <si>
    <t>EQUIPOS DE COMPUTO LEASING -ACTIVO CREADO AUTOMATICAMENTE POR PROCESO DE OPCION DE COMPRA DEL ACTIVO # 35021</t>
  </si>
  <si>
    <t>U15280506196</t>
  </si>
  <si>
    <t>EQUIPOS DE COMPUTO LEASING -ACTIVO CREADO AUTOMATICAMENTE POR PROCESO DE OPCION DE COMPRA DEL ACTIVO # 35022</t>
  </si>
  <si>
    <t>U15280502042</t>
  </si>
  <si>
    <t>EQUIPO PORTATIL HP</t>
  </si>
  <si>
    <t>FACULTAD DE CIENCIAS ECONOMICAS</t>
  </si>
  <si>
    <t>U15280502043</t>
  </si>
  <si>
    <t>EQUIPO DE COMPUTO HP</t>
  </si>
  <si>
    <t>U15280502044</t>
  </si>
  <si>
    <t>U15280501635</t>
  </si>
  <si>
    <t>EQUIPOS DE COMPUTO</t>
  </si>
  <si>
    <t>U15280500580</t>
  </si>
  <si>
    <t>EQUIPOS DE COMPUTO COMPUTADOR MARCA ASUS MODELO A550J COLOR NEGRO . PROVEEDOR:890704382 UNIVERSIDAD DE IBAGUE</t>
  </si>
  <si>
    <t>U15280501923</t>
  </si>
  <si>
    <t>U15280500116</t>
  </si>
  <si>
    <t>EQUIPOS DE COMPUTO COMPUTADOR DE MESA BLANCO APPLE. PROVEEDOR:890704382 UNIVERSIDAD DE IBAGUE</t>
  </si>
  <si>
    <t>U15280500155</t>
  </si>
  <si>
    <t>U15280501052</t>
  </si>
  <si>
    <t>U15280501930</t>
  </si>
  <si>
    <t>EQUIPOS DE COMPUTO DELL</t>
  </si>
  <si>
    <t>U15280501650</t>
  </si>
  <si>
    <t>U15280500589</t>
  </si>
  <si>
    <t>EQUIPOS DE COMPUTO COMPUTADOR PORTÁTIL MARCA ASUS COLOR PLATEADO . PROVEEDOR:890704382 UNIVERSIDAD DE IBAGUE</t>
  </si>
  <si>
    <t>U15280500649</t>
  </si>
  <si>
    <t>EQUIPOS DE COMPUTO COMPUTADOR PORTATIL MARCA ASUS COLOR PLATEADO . PROVEEDOR:890704382 UNIVERSIDAD DE IBAGUE</t>
  </si>
  <si>
    <t>U15280500470</t>
  </si>
  <si>
    <t>EQUIPOS DE COMPUTO COMPUTADOR PORTÁTIL MARCA HP PROOBOOK MODELO 440G3 COLOR PLATEADO Y NEGRO . PROVEEDOR:890704382 UNIVERSIDAD DE IBAGUE</t>
  </si>
  <si>
    <t>U15280501636</t>
  </si>
  <si>
    <t>U15280501907</t>
  </si>
  <si>
    <t>U15280502252</t>
  </si>
  <si>
    <t>EQUIPO PORTATIL HP - PORTATIL HEWLETT PACKARD HP 15-DA0015LA INTEL® CORETM I7- 8550U (FRECUENCIA BASE DE 1,8 GHZ, HASTA 4 GHZ CON TECNOLOGÍA INTEL® TURBO BOOST, 8 MB DE CACHÉ, 4 NÚCLEOS) SATA DE 1 TB Y 5400 RPM; 12 GB DE SDRAM DDR4-2400 (1 X 4 GB, 1 X 8 GB), PANTALLA FHD SVA ANTIRREFLEJO CON RETROILUMINACIÓN DE WLED DE 39,6 CM (15,6") EN DIAGONAL (1920 X 1080); HDMI - UNIDAD DVD-RW EXTERNA; NVIDIA® GEFORCE® MX130 (DDR3 DE 4 GB DEDICADOS), WINDOWS 10 PROF - SILVER</t>
  </si>
  <si>
    <t>IBAGUE COMO VAMOS</t>
  </si>
  <si>
    <t>U15280502255</t>
  </si>
  <si>
    <t>EQUIPO DE COMPUTO HP - COMPUTADOR DE ESCRITORIO HP 280 G2 SFF - PROCESADOR INTEL CORE I5 6500T QC (2.5GHZ) MEMORIA RAM 7GB - 1TB - PANTALLA 18.5" - DVD/RW - WIND 10 PROFESIONAL</t>
  </si>
  <si>
    <t>U15280502256</t>
  </si>
  <si>
    <t>EQUIPO PORTATIL HP - EQUIPO DE COMPUTO PORTÁTIL HEWLETT PACKARD, PROCESADOR INTEL CORE I5 OCTAVA GENERACIÓN, MEMORIA RAM 8 GB, DISCO DURO 1 TB, PANTALLA 14", WINDOWS 10 PROFESIONAL.</t>
  </si>
  <si>
    <t>U15280501941</t>
  </si>
  <si>
    <t>CPU</t>
  </si>
  <si>
    <t>U15280501942</t>
  </si>
  <si>
    <t>Servidor</t>
  </si>
  <si>
    <t>U15280502270</t>
  </si>
  <si>
    <t>EQUIPOS DE COMPUTO DELL - TORRE DELL PRECISION 5820 XCTO ¿ 1021800271020 PROCESADOR INTEL® XEON® W-2125 4.0GHZ, 4.5GHZ TURBO, 4C, 8.25M CACHE, HT, (120W) DDR4-2666 UBUNTU LINUX 16.04 NVIDIA® QUADRO® P2000, 5GB, 4 MINI DISPLAYPORT 32GB (2X16GB) 2666MHZ DDR4 RDIMM ECC 2.5" 256GB SATA CLASE 20 SSD DISCO DURO SATA DE 2,5 GB, 1 TB DE 7200 RPM TECLADO CON CABLE DELL KB216, ESPAÑOL MOUSE CABLEADO DELL MS116; NEGRO UNIDAD ÓPTICA 16X (DVD-ROM) 3 AÑOS DE SERVICIO DE HARDWARE EN EL SITIO/EN EL HOGAR LUEGO DE DIAGNÓSTICO REMOTO + MONITOR DELL ULTRASHARPTM U2717D INFINITYEDGE DE 27"</t>
  </si>
  <si>
    <t>U15280502271</t>
  </si>
  <si>
    <t>EQUIPO COMPUTO LENOVO - EQUIPO DE ESCRITORIO HP 280 G3, INTEL® CORETM I5-8500 OCTAVA GENERACIÓN CON GRÁFICOS INTEL HD 530 (3,2 GHZ, HASTA 3,6 GHZ CON INTEL TURBO BOOST, 6 MB DE CACHÉ, 4 NÚCLEOS); MEMORIA RAM 8 GB DE SDRAM DDR4-2133, DISCO DURO 1 TB SATA (DE 7.200 RPM), GRABADORA SATA DE DVD SUPERMULTI DELGADA, LAN: GBE REALTEK RTL8111HSH-CG GBE INTEGRADO, PUERTOS ADELANTE: 2 USB 3.0; 1 COMBO DE MICRÓFONO/AURICULARES; ATRÁS: 6 USB 2.0; 1 ENTRADA DE LÍNEA DE AUDIO; 1 SALIDA DE LÍNEA DE AUDIO; 1 HDMI; 1 VGA; 1 RJ-45, MONITOR HP 18,5", WINDOWS 10 PRO 64</t>
  </si>
  <si>
    <t>U15280502273</t>
  </si>
  <si>
    <t>PORTATIL LENOVO - PORTÁTIL LENOVO 330S-14IKB PROCESADOR INTEL CORE I3 7020U SEPTIMA GENERACIÓN DISCO DURO 1 TERA MEMORIA RAM 8GB DDR4 PANTALLA 14" - NO DVD - HDMI PLATINIUM GREY WINDOWS 10 PROFESIONAL 1 AÑO DE GARANTIA. EXENTO DE IVA</t>
  </si>
  <si>
    <t>GERENCIA DE SERVICIOS Y SOSTENIBILIDAD</t>
  </si>
  <si>
    <t>U15280502274</t>
  </si>
  <si>
    <t>U15280502275</t>
  </si>
  <si>
    <t>U15280502276</t>
  </si>
  <si>
    <t>U15280502281</t>
  </si>
  <si>
    <t>ESTACION DE TRABAJO - NRO. DE PARTE 1026970278028 - PRECISION 3630 TOWER CTO BASE - 1026970278028 INTEL XEON E-2124, 4 NÚCLEOS, CACHÉ DE 8 MB, 3,4 GHZ, TURBO A 4,5 GHZ WINDOWS 10 PRO PARA WORKSTATION (HASTA 4 NÚCLEOS), VARIOS: INGLÉS, FRANCÉS, ESPAÑOL NVIDIA® QUADRO® P620, 2GB, 4 MDP 16 GB (2 X 8 GB) DE MEMORIA DDR4 ECC DE 2666 MHZ UNIDAD DE DISCO DURO SATA DE 2,5"; 1 TB Y 7200 RPM TECLADO CON CABLE DELL KB216, ESPAÑOL MOUSE CABLEADO DELL MS116; NEGRO UNIDAD DE DISCO ÓPTICA DVD+/-RW 8X, 9,5 MM 3 AÑOS DE SERVICIO DE HARDWARE EN EL SITIO/EN EL HOGAR LUEGO DE DIAGNÓSTICO REMOTO</t>
  </si>
  <si>
    <t>U15280502282</t>
  </si>
  <si>
    <t>PORTATIL LENOVO - V330-14IKB PROCESADOR INTEL CORE I5 8250U QC (1.6GHZ) MEMORIA RAM 8GB DISCO DURO 1TB - PANTALLA 14,0"ANTIRREFLEJOS HD 1366 X 768 - WIND 10 PROFESIONAL</t>
  </si>
  <si>
    <t>U15280502279</t>
  </si>
  <si>
    <t>EQUIPO PORTATIL DELL - PORTÁTIL LATITUDE 3490 INTEL CORE I7-8550U 8VA GENERACIÓN 1.8GHZ FRECUENCIA TURBO MÁXIMA 4.0 GHZ / 8GB 1X8GB 2400MHZ DDR4 / DISCO DURO HIBRIDO 1TR 2.5" 5400RPM + 8GB FLASH / WINDOWS 10 PROFESIONAL 64 BITS / PANTALLA 14" HD 1366X768 ANTIREFLEJO CAMARA &amp; MICROFONO/ WIRELESS QUALCOMM QCA61X4A 802.11AC DUAL BAND (2X2) ADAPTER+ BLUETOOTH 4.1/ NO INCLUYE UNIDAD OPTICA / BATERIA: 3 CELDAS 42WHR EXPRESSCHARGETM / PESO: 1.78KGS/ GARANTÍA: 1 AÑO DE SERVICIO DE HARDWARE CON SERVICIO IN SITIO DESPUÉS DEL DIAGNÓSTICO REMOTO + EXTENSION DE GARANTIA - ACTUALIZACIÓN DE 1 AÑO BASIC NBD ON-SITE A 3 AÑOS BASIC NBD ON-SITE, INCLUYE GUAYA</t>
  </si>
  <si>
    <t>U15280502293</t>
  </si>
  <si>
    <t>ESTACION DE TRABAJO - NRO. PARTE. 1025745604369 - TORRE DELL PRECISION 5820 XCTO BASE - 025745604369, PROCESADOR INTEL® XEON® W-2123 3.6GHZ, 3.9GHZ TURBO, 4C, 8.25M CACHE, HT, (120W) DDR4-2666, WINDOWS 10 PRO PARA WORKSTATION (HASTA 4 NÚCLEOS), VARIOS: INGLÉS, FRANCÉS, ESPAÑOL, NVIDIA® QUADRO® P1000, 4GB, 4 MINI DISPLAYPORT (5820T) 32GB (2X16GB) 2666MHZ DDR4 RDIMM ECC, TECLADO CON CABLE DELL KB216, ESPAÑOL MOUSE CABLEADO DELL MS116; NEGRO, UNIDAD ÓPTICA 16X (DVD +/- RW) 3 AÑOS DE SERVICIO DE HARDWARE EN EL SITIO/EN EL HOGAR LUEGO DE DIAGNÓSTICO REMOTO 2 X DELL 22 MONITOR | P2217H, DELL 2.0 USB SPEAKER SYSTEM - AX210 - DUAL MONITOR SE LE ANEXA EL ACTIVO NRO.35931 EL CUAL VA DENTRO CON LA PLACAU 152805A2293</t>
  </si>
  <si>
    <t>U15280501958</t>
  </si>
  <si>
    <t>EQUIPO PORTATIL DELL - LATITUD 7490 PROCESADOR INTEL CORE I7 DE 8TH GENERACIÓN, 8A GENERACIÓN DEL PROCESADOR INTEL® CORETM I7-8650U - MEMORIA RAM DE 16 GB - DISCO DURO SSD DE 512 GB - PANTALLA 14" - WINDOWS 10 PROFESIONAL. NRO. PARTE 1025745604369</t>
  </si>
  <si>
    <t>U15280501959</t>
  </si>
  <si>
    <t>PROGRAMA DE INGENIERIA DE MECANICA</t>
  </si>
  <si>
    <t>U15280502294</t>
  </si>
  <si>
    <t>EQUIPO PORTATIL HP - PORTÁTIL HP 240 HP 240 G6 PROCESADOR INTEL CORE I5 8250U QC (1.6GHZ) OCTAVA GENERACIÓN MEMORIA RAM 8GB DISCO DURO 1TB, HD SVA DE PANTALLA PLANTA ANTIRREFLEJO CON RETROILUMINACIÓN LED DE 14" EN DIAGONAL (1366 X 768), 2 USB 3.0, 1 USB 2.0, 1 HDMI 1.4B, 1 VGA, 1 RJ-45, 1 COMBINACIÓN DE AURICULARES/MICRÓFONO, 1 ALIMENTACIÓN DE CA, NIC GBE (10/100/1000), COMBINACIÓN 802.11B/G/N (1X1) Y BLUETOOTH® 4.0, WINDOWS 10 PROFESIONAL, GARANTÍA 1 AÑO.</t>
  </si>
  <si>
    <t>U15280502295</t>
  </si>
  <si>
    <t>EQUIPO DE COMPUTO HP - EQUIPO DE ESCRITORIO D280G3,INTEL®CORE¿I5-8500 OCTAVA GENERACIÓN CON GRÁFICOS INTEL HD530(3,2GHZ,HASTA3,6GHZ CON INTEL TURBO BOOST,6MBDECACHÉ,4NÚCLEOS);MEMORIARAM8GBDESDRAMDDR4-2133,DISCODURO1TBSATA(DE7.200RPM),GRABADORASATADEDVDSUPERMULTIDELGADA,LAN:GBEREALTEKRTL8111HSH-CGGBEINTEGRADO,PUERTOSADELANTE:2USB3.0;1COMBODEMICRÓFONO/AURICULARES;ATRÁS:6USB2.0;1ENTRADADELÍNEADEAUDIO;1SALIDADELÍNEADEAUDIO;1HDMI;1VGA;1RJ-45,MONITORHP18,5",WINDOWS10PRO64,GARANTÍA1AÑO. EXENTO DE IVA</t>
  </si>
  <si>
    <t>U15280502297</t>
  </si>
  <si>
    <t>EQUIPO DE COMPUTO HP - PACKARD 280 G3, INTEL® CORETM I5-8500 OCTAVA GENERACIÓN CON GRÁFICOS INTEL HD 530 (3,2 GHZ, HASTA 3,6 GHZ CON INTEL TURBO BOOST, 6 MB DE CACHÉ, 4 NÚCLEOS); MEMORIA RAM 8 GB DE SDRAM DDR4-2133, DISCO DURO 1 TB SATA (DE 7.200 RPM), GRABADORA SATA DE DVD SUPERMULTI DELGADA, LAN: GBE REALTEK RTL8111HSH-CG GBE INTEGRADO, PUERTOS ADELANTE: 2 USB 3.0; 1 COMBO DE MICRÓFONO/AURICULARES; ATRÁS: 6 USB 2.0; 1 ENTRADA DE LÍNEA DE AUDIO; 1 SALIDA DE LÍNEA DE AUDIO; 1 HDMI; 1 VGA; 1 RJ-45, MONITOR HP 18,5", WINDOWS 10 PRO 64,</t>
  </si>
  <si>
    <t>U15280502298</t>
  </si>
  <si>
    <t>EQUIPO COMPUTO LENOVO - LENOVO V520S - SFF - INTEL CORE I5 7400 QC (3.0GHZ) - MEMORIA RAM 8GB -DISCO DURO 1TERA - PANTALLA 19.5" -, WINDOWS 10</t>
  </si>
  <si>
    <t>U15280502313</t>
  </si>
  <si>
    <t>PORTATIL LENOVO - PORTATIL THINKPAD L390 - INTEL CORE I7-8565U PROCESSOR (UP TO 4.6 GHZ), 8GB DDR4 2400 SODIMM UP TO 32 GB, DISCO DURO 256GB M.2 2280 NVME, PANTALLA 13.3" PULGADAS HD (1366X768) ANTI-GLARE, TARJETA DE VIDEO INTEL® UHD GRAPHICS 620, CAMERA HD 720P FIXED FOCUS, FINGER PRINT READER, MICROSD CARD READER, WIFI INTEL 9560(2X2 AC)+BT5.0, TWO USB 3.1 GEN 1, TWO USB 3.1 TYPE-C GEN 1, HDMI 1.4B, HEADPHONE / MICROPHONE COMBO JACK, SECURITY KEYHOLE, KEYBOARD SPILL RESISTANT, HARDWARE SECURITY CHIP TPM 2.0, INTERNAL BATTERY 3-CELL (45WH), ENERGY STAR 7.0, ROHS, PESO 1.46 KG, WINDOWS10 PROFESSIONAL, 3 YEARS ON SITE REF: 20NSS00R00</t>
  </si>
  <si>
    <t>AREA DE GESTION Y ESTRATEGIA ORGANIZACIONAL</t>
  </si>
  <si>
    <t>U15280502342</t>
  </si>
  <si>
    <t>EQUIPO DE COMPUTO HP - REFERENCIA: 4QP98LT#ABM + 2NK17AA#ABM // HP PRODESK 400 G5, SFF INTEL CORE I5-8500 3.03.2GHZ 6C 1 TB 7200 RPM RAM 8GB (1X8GB) DDR4 2666 DVD +/- WR, TECLADO Y MOUSES USB, GRAFICOS INTEGRADOS INTEL UHD GRAPHICS 630, HW SECURITY TPM; MICROSOFT WINDOWS® 10 PRO;HP BIOSPHERE GEN4, GARANTÍA 3-3-3 + MONITOR HP DE 18,5" RESOLUCIÓN NATIVA HD (1366 X 768) A 60 HZ, PERFIL DELGADO, CONFIGURACIÓN EFICAZ E INTELIGENTE PUEDE CONECTE SU DESKTOP HP MINI, HP CHROMEBOX O CIERTOS HP THIN CLIENT DIRECTAMENTE DETRÁS DE LA PANTALLA PARA OBTENER UN ESPACIO DE TRABAJO O MONTAJE VESA 3 AÑOS DE GARANTÍA.</t>
  </si>
  <si>
    <t>U15280503334</t>
  </si>
  <si>
    <t>EQUIPO MAC - NEW IMAC CON PANTALLA RETINA 5K DE 27 PULGADAS: INTEL CORE I5 DE SEIS NÚCLEOS A 3,0 GHZ DE OCTAVA GENERACIÓN, ALMACENAMIENTO DD FUSION DRIVE DE 1 TB , MEMORIA 8 GB (DOS DE 4 GB) DE MEMORIA DDR4 DE 2666 MHZ; CUATRO RANURAS SO-DIMM ACCESIBLES, GRAFICOS RADEON PRO 570X CON 4 GB DE VRAM, MOUSE Y TECLADO INALAMBRICOS.</t>
  </si>
  <si>
    <t>U15280503335</t>
  </si>
  <si>
    <t>EQUIPOS DE COMPUTO DELL - NRO. PARTE 157D5 - TORRE OPTIPLEX 7070 SFF INTEL® CORETM I7-9700 (8 CORES/12MB/8T/3.0GHZ TO 4.8GHZ/65W); SUPPORTS WINDOWS 10 PRO 8GB 1X8GB DDR4 2666MHZ UDIMM NON-ECC/3.5" 1TB 7200RPM SATA /// NRO. PARTE P2219H - MONITOR PROFESIONAL 22" CÓDIGO DE PRODUCTO: S1040542 | MONITOR PROFESIONAL DE 22 "CON PUERTOS VGA, HDMI Y DP, BASE AJUSTABLE, 1920 X 1080 AT 60 HZ /// NRO. PARTE 020-0002-000010 PCIE DDR5 2GB GIGABYTE NVIDIA GEFORCE GT710 DVI/HDMI LP GV- N710D5-2GL (VENTIL.). GARANTIA DE 1 AÑO; ORIGINAÑ</t>
  </si>
  <si>
    <t>U15280503338</t>
  </si>
  <si>
    <t>PORTATIL MAC - MV962E/A ¿ NEW MBP 13,3" SG/2.4GHZ QC/8GB/256GB-SPA CON TOUCH BAR INTEL CORE I5 DE CUATRO NÚCLEOS A 2,4 GHZ DE OCTAVA GENERACIÓN, SSD DE 256 GB /8 GB DE MEMORIA INTEGRADA /GRAFICOS INTEL IRIS PLUS GRAPHICS 655 / GRIS ESPACIAL ¿ GARANTÍA 1 AÑO</t>
  </si>
  <si>
    <t>U15280503373</t>
  </si>
  <si>
    <t>PORTATIL LENOVO</t>
  </si>
  <si>
    <t>U15280503377</t>
  </si>
  <si>
    <t>U15280503378</t>
  </si>
  <si>
    <t>U15280503383</t>
  </si>
  <si>
    <t>PORTATIL LENOVO. SE DA DE BAJA PC QUE SE LE PRESTÓ EN BIBLIOTECA Y DESPUÉS DE VARIOS DÍAS NOS CONFIRMA QUE SE LE EXTRAVIÓ ESTUDIANTE NATALIA DIAZ - 3520221012 - 1107974465</t>
  </si>
  <si>
    <t>U15280503386</t>
  </si>
  <si>
    <t>U15280503399</t>
  </si>
  <si>
    <t>U15280503400</t>
  </si>
  <si>
    <t>U15280503407</t>
  </si>
  <si>
    <t>U15280503408</t>
  </si>
  <si>
    <t>U15280503413</t>
  </si>
  <si>
    <t>PORTATIL LENOVO. SE DA DE BAJA POR PERDIDA EL ESTUDIANTE JUAN PABLO MOLINA CASTRO REALIZO EL PAGO DEL MISMO</t>
  </si>
  <si>
    <t>U15280503414</t>
  </si>
  <si>
    <t>U15280503416</t>
  </si>
  <si>
    <t>U15280503419</t>
  </si>
  <si>
    <t>U15280503422</t>
  </si>
  <si>
    <t>U15280503423</t>
  </si>
  <si>
    <t>U15280503424</t>
  </si>
  <si>
    <t>U15280503425</t>
  </si>
  <si>
    <t>U15280503427</t>
  </si>
  <si>
    <t>U15280503430</t>
  </si>
  <si>
    <t>U15280503433</t>
  </si>
  <si>
    <t>U15280503435</t>
  </si>
  <si>
    <t>U15280503437</t>
  </si>
  <si>
    <t>U15280503439</t>
  </si>
  <si>
    <t>U15280503440</t>
  </si>
  <si>
    <t>U15280503441</t>
  </si>
  <si>
    <t>U15280503486</t>
  </si>
  <si>
    <t>EQUIPO PORTATIL DELL - PORTATIL MARCA DELL VOSTRO PORTÁTIL 3490 INTEL PROCESADOR CORE I5 10210U DE DECIMA GENERACIONCML-U 4 CORES 4.20 MHZ 6.00 MB TPM / INTEL UHD GRAPHICS 620 / MEMORIA RAM 8GB DDR4 2666MHZ / DISCO DURO 1TB 5400 RPM / SISTEMA OPERATIVO WINDOWS 10 PROFESIONAL 64 BITS / PANTALLA 14" HD 1366X768 ANTIREFLEJO / WIRELESS CARD (802.11AC + BLUETOOTH 4.1, DUAL BAND 2.4&amp;5 GHZ, 1X1) BLUETOOTH 4.1, 2.4 GHZ/ NO INCLUYE UNIDAD DE DVD /BATERIA 3 CELDAS 42 WHR/ PESO:1.96 KGS/ GARANTÍA: 1 AÑO DE SERVICIO DE HARDWARE CON SERVICIO IN SITIOR DESPUÉS DEL DIAGNÓSTICO REMOTO</t>
  </si>
  <si>
    <t>U15280503487</t>
  </si>
  <si>
    <t>PROGRAMA DE INGENIERIA INDUSTRIAL</t>
  </si>
  <si>
    <t>U15280503489</t>
  </si>
  <si>
    <t>U15280503490</t>
  </si>
  <si>
    <t>U15280503492</t>
  </si>
  <si>
    <t>U15280503493</t>
  </si>
  <si>
    <t>U15280503494</t>
  </si>
  <si>
    <t>U15280503495</t>
  </si>
  <si>
    <t>EQUIPO PORTATIL DELL - PORTATIL MARCA DELL VOSTRO PORTÁTIL 3490 INTEL PROCESADOR CORE I5 10210U DE DECIMA GENERACIONCML-U 4 CORES 4.20 MHZ 6.00 MB TPM / INTEL UHD GRAPHICS 620 / MEMORIA RAM 8GB DDR4 2666MHZ / DISCO DURO 1TB 5400 RPM / SISTEMA OPERATIVO WINDOWS 10 PROFESIONAL 64 BITS / PANTALLA 14" HD 1366X768 ANTIREFLEJO / WIRELESS CARD (802.11AC + BLUETOOTH 4.1, DUAL BAND 2.4&amp;5 GHZ, 1X1) BLUETOOTH 4.1, 2.4 GHZ/ NO INCLUYE UNIDAD DE DVD /BATERIA 3 CELDAS 42 WHR/ PESO:1.96 KGS/ GARANTÍA: 1 AÑO DE SERVICIO DE HARDWARE CON SERVICIO IN SITIOR DESPUÉS DEL DIAGNÓSTICO REMOTO.COMITE DE BAJAS CAF002-2025</t>
  </si>
  <si>
    <t>U15280503497</t>
  </si>
  <si>
    <t>U15280503498</t>
  </si>
  <si>
    <t>U15280503499</t>
  </si>
  <si>
    <t>U15280503500</t>
  </si>
  <si>
    <t>U15280503501</t>
  </si>
  <si>
    <t>U15280503502</t>
  </si>
  <si>
    <t>U15280503503</t>
  </si>
  <si>
    <t>PROGRAMA INGENIERIA DE SISTEMAS</t>
  </si>
  <si>
    <t>U15280503504</t>
  </si>
  <si>
    <t>U15280503505</t>
  </si>
  <si>
    <t>U15280503445</t>
  </si>
  <si>
    <t>EQUIPOS DE COMPUTO - PC DELL VOSTRO SFF 3681 PROCESSOR INTEL I7 10700, MEMORY 8GB, GRAPHICS INTEL UHD 630 UMA, BLUETOOTH 802.11BGN + BLUETOOTH 4.0, 1X1, KEYBOARD DELL KB216 WIRED KEYBOARD, SPANISH, MOUSE DELL OPTICAL MOUSE - MS116 ¿ BLACK, PRIMARY OPTICAL DEVICE TRAY LOAD DVD DRIVE (READS AND WRITES TO DVD/CD), PRIMARY STORAGE 1TB 7200RPM SATA 3.5" HDD, S.O, WIN 10 PRO 64 ENGLISH, FRENCH, SPANISH, WARRANTY 1 YEAR HARDWARE SERVICE WITH ONSITE/IN-HOME SERVICE AFTE R REMOTE DIAGNOSIS,LA, ANTIVIRUS MCAFEESECURITYCENTER30DAYFREELTRIAL, MICROSOFT MICROSOFT OFFICE 30 DAY TRIAL, BLUE TOOTH 802.11BGN + BLUETOOTH 4.0, 1X1, WIRELESS DRIVER 802.11BGN + BLUETOOTH 4.0, 1X1, WIRELESS WAN CARD 802.11BGN + BLUETOOTH 4.0, 1X1 + MONITOR E2318H PUERTO VGA Y DP TRANSITO 48 UNDDS DIC. 05</t>
  </si>
  <si>
    <t>U15280503508</t>
  </si>
  <si>
    <t>EQUIPO PORTATIL HP EQUIPO HP N. DE SERIAL: 5CG9394B70 CARGADOR MOUSE INALÁMBRICO FORRO (TODO DENTRO DE SU RESPECTIVA CAJA).</t>
  </si>
  <si>
    <t>U15280503509</t>
  </si>
  <si>
    <t>EQUIPO PORTATIL DELL - PORTATIL VOSTRO 3400 INTEL® CORETM I5-1135G7 DE GENERACION ONCE (CACHÉ DE 6 MB, HASTA 4.2 GHZ), MEMORIA RAM 8GB DDR4 2666 MHZ, DISCO DURO SSD 512 GB SATA, PANTALLA 14" IN 1366X768 ANTI-GLARE LED-BACKLIT DISPLAY, NO DVD, BATERÍA INTEGRADA, DE 3 CELDAS Y 42 WHR, INTEL HD GRAPHICS, (2) USB 3.1 , (1) USB 2.0, PUERTOS VGA-RJ45-HDMI 1,4B, WEBCAM INTEGRATED/AUDIO HIGHT QUALITY, BLUTOOTH 4.0, 1.72 KG, TECLADO ESPAÑOL, WIN 10 PRO64, NEGRO, 1 AÑO DE GARANTIA.</t>
  </si>
  <si>
    <t>U15280503510</t>
  </si>
  <si>
    <t>EQUIPO PORTATIL HP LAPTOP 14 CM 0029LA INCLUYE FUNDA DE PROTECCION, CARGADOR Y MOUSE INALAMBRICO</t>
  </si>
  <si>
    <t>U15280503514</t>
  </si>
  <si>
    <t>EQUIPO PORTATIL VOSTRO - DELL VOSTRO 3400 CORE I5- 1135G7 UP TO 4.20GHZ, 16 GBDDR4 2666MHZ, 1TB 5400 RPM, 14¿ HD, WIN10 PRO, 1 YEAR</t>
  </si>
  <si>
    <t>U15280503515</t>
  </si>
  <si>
    <t>U15280503516</t>
  </si>
  <si>
    <t>U15280503517</t>
  </si>
  <si>
    <t>ADMINISTRACION DE EMPRESAS</t>
  </si>
  <si>
    <t>U15280503518</t>
  </si>
  <si>
    <t>U15280503519</t>
  </si>
  <si>
    <t>COMUNICACION SOCIAL Y PERIODISMO</t>
  </si>
  <si>
    <t>U15280503520</t>
  </si>
  <si>
    <t>U15280503521</t>
  </si>
  <si>
    <t>PROGRAMA DE MERCADEO</t>
  </si>
  <si>
    <t>U15280503522</t>
  </si>
  <si>
    <t>U15280503523</t>
  </si>
  <si>
    <t>U15280503524</t>
  </si>
  <si>
    <t>U15280503525</t>
  </si>
  <si>
    <t>U15280503526</t>
  </si>
  <si>
    <t>U15280503528</t>
  </si>
  <si>
    <t>U15280503529</t>
  </si>
  <si>
    <t>U15280503531</t>
  </si>
  <si>
    <t>U15280503532</t>
  </si>
  <si>
    <t>U15280503533</t>
  </si>
  <si>
    <t>U15280503554</t>
  </si>
  <si>
    <t>EQUIPO PORTATIL VOSTRO - PORTATIL VOSTRO 3400 INTEL CORE TM I5-1135 G7 DE GENERACION ONCE (CACHE DE 6 MB, HASTA 4.2 GHZ), MEMORIA RAM 8GB DDR4 2666 MHZ, DISCO DURO 88D 512 GB SATA, PANTALLA 14" IN 1366X768 ANTI-GLARE LED- BACKLLT DISPLAY, NO DVD, BAERIA INTERGRADA, DE 3 CELDAS Y 42 WHR, INTEL HD GRAPHICS, (2) USB 3.1, (1) USB 2.0, PUERTOS VGA-RJ45-HDMI 1,4B, WEBCAM INTEGRATED/AUDIO HIGHT QUALITY, BLUTOO TH 4.0, 1.72KG, TECLADO ESPAÑOL, WIN 10 PRO64, NEGRO, 1 AÑO DE GARANTIA, GARANTIA PRESTADA DIRECTAMENTE POR DELL COLOMBIA A TRAVES DE LAS POLITICAS HTTPS://WWW.DELL.COM/SUPPORT/CONTESTS/ES-CO/CATEGORY/WARRANTY REPORTANDO EL CASO AL CORREO: DELL: LA_SOPORTE_DISTRIBUCION@DELL.COM. TIEMPO DE ENTREGA 5-7 DIAS DESPUES DE RECIBIR LA ODC.</t>
  </si>
  <si>
    <t>U15280503555</t>
  </si>
  <si>
    <t>U15280503556</t>
  </si>
  <si>
    <t>U15280503557</t>
  </si>
  <si>
    <t>U15280503558</t>
  </si>
  <si>
    <t>U15280503560</t>
  </si>
  <si>
    <t>U15280503561</t>
  </si>
  <si>
    <t>U15280503562</t>
  </si>
  <si>
    <t>U15280503563</t>
  </si>
  <si>
    <t>U15280503564</t>
  </si>
  <si>
    <t>U15280503565</t>
  </si>
  <si>
    <t>U15280503566</t>
  </si>
  <si>
    <t>U15280503567</t>
  </si>
  <si>
    <t>U15280503535</t>
  </si>
  <si>
    <t>EQUIPO PORTATIL VOSTRO - PORTATIL VOSTRO 3400 INTEL® CORE¿ I5-1135 G7 DE GENERACION ONCE (CACHÉ DE 6 MB, HASTA 4.2 GHZ), MEMORIA RAM 8GB DDR4 2666 MHZ, DISCO DURO SSD 512 GB SATA, PANTALLA 14" IN 1366X768 ANTI-GLARE LED-BACKLIT DISPLAY, NO DVD, BATERÍA INTEGRADA, DE 3 CELDAS Y 42 WHR, INTEL HD GRAPHICS, (2) USB 3.1 , (1) USB 2.0, PUERTOS VGA-RJ45-HDMI 1,4B, WEBCAM INTEGRATED/AUDIO HIGHT QUALITY, BLUTOOTH 4.0, 1.72 KG, TECLADO ESPAÑOL, WIN 10 PRO64, NEGRO, 1 AÑO DE GARANTIA. GRANTÍA PRESTADA DIRECTAMENTE POR DELL COLOMBIA A TRAVES DE LAS POLITICAS HTTPS://WWW.DELL.COM/SUPPORT/CONTENTS/ES-CO/CATEGORY/WARRANTY REPORTANDO EL CASO AL CORREO: DELL: LA_SOPORTE_DISTRIBUCION@DELL.COM.</t>
  </si>
  <si>
    <t>U15280503536</t>
  </si>
  <si>
    <t>U15280503571</t>
  </si>
  <si>
    <t>EQUIPO PORTATIL HP - HP PROBOOK 440 G8 PROCESADOR INTEL® CORETM I5-1135G7 11VA GENERACIÓN 4 NÚCLEOS, 8 HILOS, 4.2 GHZ DE RECUENCIA TURBO MÁXIMA, 8 MB SMARTCACHE ,SISTEMA OPERATIVO WINDOWS 10 PRO DE 64 BITS, EN ESPAÑOL, PANTALLA LCD DE 14¿ EN DIAGONAL, CON RETROILUMINACIÓN LED, HD (1366X768), ANTIRREFLEJO, DE 250 NITS DE BRILLO, DE BISEL DELGADO Y SVA, GRÁFICOS INTEGRADOS, INTEL® IRIS® XE GRAPHICS, MEMORIA RAM 16 GB DDR4 3200 (2X8 GB) SOPORTA HASTA 32GB EN (2) SLOTS SODIMM, UNIDAD DE ESTADO SÓLIDO SSD DE 512GB PCIE NVME, TECLADO HP PREMIUM RESISTENTE A SALPICADURAS DE LÍQUIDOS, EN ESPAÑOL, CÁMARA WEB WEBCAM HD 720P CON ARREGLO DE 2 MICRÓFONOS INTEGRADOS, CONECTIVIDAD LAN: REALTEK GIGABIT ETHERNET (10/100/1000MBPS) WLAN: INTEL WIFI 6 AX201 802.11AX (2X2) DUAL BAND CON BLUETOOTH® 5.0 EN COMBO, BATERÍA POLÍMERO DE 3 CELDAS 45 WH DURACIÓN CON AUTONOMÍA DE HASTA 12 HORAS Y 45 MINUTOS (MOBILEMARK 2018 (MM18) EN WIN 10), PESO A PARTIR DE 1.38 KG, CERTIFICACIONES ENERGY STAR®8.0, EPEAT GOLD, TCO 8.0, FCC, UL, CE, ROHS, ISO 14001-9001, MIL-STD-810H, GARANTÍA 1 AÑO, 1/1/0 (PARTES /MANO DE OBRA/EN SITIO). DISPONIBLE SUJETO A INVENTARIO, REVISAR DIA A DIA. + EXTENSIÓN DE GARANTÍA 3 AÑOS DE SOPORTE HP DE ARDWARE EN EL LUGAR, AL SIGUIENTE DÍA HÁBIL, PARA NOTEBOOKS SERIE 400</t>
  </si>
  <si>
    <t>U15280503572</t>
  </si>
  <si>
    <t>U15280503573</t>
  </si>
  <si>
    <t>U15280503574</t>
  </si>
  <si>
    <t>U15280503575</t>
  </si>
  <si>
    <t>U15280503577</t>
  </si>
  <si>
    <t>U15280503578</t>
  </si>
  <si>
    <t>U15280503579</t>
  </si>
  <si>
    <t>U15280503580</t>
  </si>
  <si>
    <t>DIRECCION DE EMPLEABILIDAD Y PASANTIAS</t>
  </si>
  <si>
    <t>U15280502345</t>
  </si>
  <si>
    <t>ESTACION DE TRABAJO - WORKSTATION TS P348 TW. WINDOWS 10 PRO 64 + INTEL CORE I7-11700 PROCESSOR (16MB CACHE, UP TO 4.90GHZ WITH TURBO BOOST) + 32GB DDR4 3200MHZ + 512GB SSD + NVIDIA GEFORCE RTX3060 12GB (HDMI+3XDP) + MOUSE Y TECLADO + WARRANTY 3Y ONSITE</t>
  </si>
  <si>
    <t>U15280502346</t>
  </si>
  <si>
    <t>PORTATIL ASUS - ASUS EXPERTBOOK B2451FB-EB0549R /INTEL® CORE™ I7-10510U PROCESSOR 1.8 GHZ (8M CACHE, UP TO 4.9 GHZ, 4 CORES) / INTEL INTEL® UHD GRAPHICS, NVIDIA® GEFORCE® MX110 - 2GB GDDR5 / 8GB DDR4 SO-DIMM / 512GB M.2 NVME™ PCIE® 3.0 SSD/ 14.0-INCH FHD (1920 X 1080) / WINDOWS 10 PRO / WI-FI 6(802.11AX) +BT5.2 (DUAL BAND) 2*2 / FINGERPRINT / CHICLET KEYBOARD / 1X USB 2.0 TYPE-A, 1X USB 3.2 GEN 1 TYPE-C SUPPORT DISPLAY / POWER DELIVERY, 2X USB 3.2 GEN 2 TYPE-A//1X HDMI 1.4, 1X VGA PORT (D-SUB), 1X 3.5MM COMBO AUDIO JACK, 1X RJ45 GIGABIT ETHERNET, 1X DC-IN//MICRO SD CARD READER / 1.5 KG / GTIA 1 AÑO CARRY IN, INCLUYE CARRY BAG (B2451FB-EB0549R)</t>
  </si>
  <si>
    <t>U15280502347</t>
  </si>
  <si>
    <t>U15280503347</t>
  </si>
  <si>
    <t>EQUIPO PORTATIL HP - PORTÁTIL HP 440 G8 PROCESADOR: INTEL® CORETM I5-1135G7 (FRECUENCIA BASE DE 2,4 GHZ, HASTA 4,2 GHZ CON TECNOLOGÍA INTEL® TURBO BOOST, 8 MB DE CACHÉ L3, 4 NÚCLEOS, 8 SUBPROCESOS MEMORIA: 8 GB (1X8GB) DDR4 3200. SOPORTA HASTA 32 GB EN (2) SLOTS SODIMM DOS RANURAS 2. DISCO DURO: SSD DE 512GB PANTALLA: LCD 14" HD AG LED SVA 250 FHDC NWBZ BENT SISTEMA OPERATIVO: WINDOWS 10 PROFESSIONAL 64BIT. O TARJETA GRÁFICA: INTEGRADO INTEL® UHD CÁMARA HD 720P PUERTOS Y CONECTORES: 3 USB SUPERSPEED TYPE-A CON VELOCIDAD DE SEÑAL DE 5 GBPS (1 DE CARGA, 1 DE ALIMENTACIÓN); 1 HDMI 1.4B; 1 COMBO DE AURICULARES/MICRÓFONO; 1 FUENTE DE ALIMENTACIÓN DE CA; 1 RJ-45 BATERÍA: 3 CELDAS DE LARGA DURACIÓN HP, POLÍMERO DE LITIO DE 45 WH SISTEMA OPERATIVO: WINDOWS® 10 PRO 64BIT GARANTÍA: 1 AÑO</t>
  </si>
  <si>
    <t>U15280503348</t>
  </si>
  <si>
    <t>U15280503583</t>
  </si>
  <si>
    <t>PORTATIL ASUS - PORT 16" ASUS UX7602ZM CI9 NG1</t>
  </si>
  <si>
    <t>U15280503631</t>
  </si>
  <si>
    <t>EQUIPO PORTATIL HP - HP PROBOOK 440 G8 NSD,INTEL® CORETM I5-1135G7,WINDOWS® 10 PRO 64BIT, NO, WLAN RT 8852AE WI-FI6 +BT 5.2 WW, NO WWAN, 8 GB, 8 GB (1X8GB) DDR4 3200, SSD 512 GB, NO, NO, BATT 3C 45 WHR LONG LIFE, LCD 14, LCD 14 HD AG LED SVA 250 FHDC NWBZ BENT, NO, NO, DIB HP COMFORT GRIP WIRELESS MOUSE, 1/1/0, HD, SPILL-RESISTANT, CLICK PAD, YES FPS</t>
  </si>
  <si>
    <t>U15280503349</t>
  </si>
  <si>
    <t>EQUIPO MAC - NEW MAC STUDIO: CHIP M1 MAX DE APPLE CON CPU DE 10 NÚCLEOS, GPU DE 24 NÚCLEOS, DISCO SSD 512 GB; MAC STUDIO/10C CPU/24C GPU/32G/512GB-LAE, MEMORIA 32 GB UNIFICADA, (CANTIDAD 1) *MAGIC MOUSE-AME REEMPLAZO DE MLA02LZ/A (CANTIDAD 1) * MAGIC KEYBOARD - ESPAÑOL (AMÉRICA LATINA) REEMPLAZO DE MLA22E/A (CANTIDAD 1)</t>
  </si>
  <si>
    <t>U15280502349</t>
  </si>
  <si>
    <t>U15280503620</t>
  </si>
  <si>
    <t>EQUIPO DE COMPUTO HP - COMPUTADOR HP 240 G8 INTEL CORE I5-1135G7, WINDOWS 10 PRO 64BIT, RAM 8GB DDR4, SSD 512 GB, LCD 14 HD, GARANTÍA 1 AÑO</t>
  </si>
  <si>
    <t>U15280502405</t>
  </si>
  <si>
    <t>EQUIPO PORTATIL DELL - HP PROBOOK 440 G9 / INTEL CORE I5-1235U / RAM 16GB DDR4-3200 / SSD 512GB PCIE NVME /LCD 14" FHD (1920 X 1080) / INTEL WI-FI 6E AX211 + BT 5.2 / BATERÍA 3 CELDAS LONG LIFE / WINDOWS 10 PRO UPG WINDOWS 11 PRO / GARANTÍA 1-1-0 /</t>
  </si>
  <si>
    <t>U15280502406</t>
  </si>
  <si>
    <t>U15280502404</t>
  </si>
  <si>
    <t>U15280502403</t>
  </si>
  <si>
    <t>U15280502402</t>
  </si>
  <si>
    <t>EQUIPO PORTATIL HP PROBOOK 440 G9 / INTEL CORE I5-1235U / RAM 16GB DDR4-3200 / SSD 512GB PCIE NVME /LCD 14" FHD (1920 X 1080) / INTEL WI-FI 6E AX211 + BT 5.2 / BATERÍA 3 CELDAS LONG LIFE / WINDOWS 10 PRO UPG WINDOWS 11 PRO / GARANTÍA 1-1-0 /</t>
  </si>
  <si>
    <t>U15280502390</t>
  </si>
  <si>
    <t>EQUIPOS DE COMPUTO DELL - VOSTRO DESKTOPS SFF 3710 / PROCESADOR INTEL® CORE™ I5-12400 (18 MB CACHE, 6 CORES, 12 THREADS, 2.50 GHZ TO 4.40 GHZ TURBO)/ MEMORIA 8 GB, 1 X 8 GB, DDR4, 3200 MHZ / DISCO 256GB CL35 M.2 SSD INTEL® UHD GRAPHICS 770 WINDOWS 10 PRO (WINDOWS 11 PRO LICENSE INCLUDED), ENGLISH, FRENCH, SPANISH 802.11AC 1X1 WIFI AND BLUETOOTH DELL WIRED KEYBOARD-KB216 BLACK (LATIN AMERICA) DELL 1 YEAR HARDWARE SERVICE WITH ONSITE NO OPTICAL DRIVE OPTICAL MOUSE - MS116 (BLACK + MONITOR DELL 18.5" PUERTOS 1X VGA GARANTIA 3 AÑOS (ALTURA FIJA).</t>
  </si>
  <si>
    <t>U15280502392</t>
  </si>
  <si>
    <t>U15280502393</t>
  </si>
  <si>
    <t>U15280502395</t>
  </si>
  <si>
    <t>U15280502396</t>
  </si>
  <si>
    <t>EQUIPOS DE COMPUTO DELL - V3710_I58256BW11PS_OD_523"VOSTRO SFF 3710 VOSTRO DESKTOP 3710 / 12 GEN INTEL® CORE™ I5-12400 (18 MB CACHE, 6 CORES, 12 THREADS, 2.50 GHZ TO 4.40 GHZ TURBO),512 M.2 SSD MEMORIA DE 32 GB, 2 X 16 GB, DDR4, 3200 MHZ TARJETA DE VÍDEO ASUS GEFORCE GT 730 2GB,802.11AC 1X1 WIFI AND BLUETOOTH WINDOWS 10 PRO (WINDOWS 11 PRO LICENSE INCLUDED), ENGLISH, FRENCH, SPANISH FRONT: USB 3.2 GEN 1 TYPE-A X2, USB 2.0 X2. REAR: USB 3.2 GEN 1 TYPE-A X2, USB 2.0 X2,1 YEAR HARDWARE SERVICE WITH ONSITE, MONITOR DELL 22"</t>
  </si>
  <si>
    <t>U15280502397</t>
  </si>
  <si>
    <t>U15280502398</t>
  </si>
  <si>
    <t>U15280502399</t>
  </si>
  <si>
    <t>U15280502400</t>
  </si>
  <si>
    <t>U15280503655</t>
  </si>
  <si>
    <t>EQUIPO PORTATIL HP - HP VICTUS: PROCESADOR AMD RAYZEN 5 5600H, MEMORIA RAM 16GB, DISCO DURO M.2 DE 512GB, TARJETA GRÁFICA RTX 1650 DE 4GB GDDR6, WINDOWS 11 PROFESIONAL, 2X PUERTO USB-A, 1X PUERTO USB-C; 1X HDMI; 1X ETHERNET RJ45, PANTALLA FHD DE 15,6". ***6 UNDS DISPONIBLES***. ***NO TIENE RANURA PARA GUAYA</t>
  </si>
  <si>
    <t>PROGRAMA DE NEGOCIOS INTERNACIONALES</t>
  </si>
  <si>
    <t>U15280503656</t>
  </si>
  <si>
    <t>EQUIPO PORTÁTIL HP PROBOOK 440 G9 PROCESADOR AMD RAYZEN 5 5600H, MEMORIA RAM 16GB, DISCO DURO M.2 DE 512GB, TARJETA GRÁFICA RTX 1650 DE 4GB GDDR6, WINDOWS 11 PROFESIONAL, 2X PUERTO USB-A, 1X PUERTO USB-C; 1X HDMI; 1X ETHERNET RJ45, PANTALLA FHD DE 15,6". ***6 UNDS DISPONIBLES***. ***NO TIENE RANURA PARA GUAYA</t>
  </si>
  <si>
    <t>EDICIONES UNIBAGUE</t>
  </si>
  <si>
    <t>U15280503657</t>
  </si>
  <si>
    <t>EQUIPO PORTATIL HP - HP PROBOOK 440 G9, INTEL® CORETM I5-1235U 12VA GEN, 10 NÚCLEOS, 12 HILOS, FRECUENCIA BASE DE 1.3GHZ HASTA 4.4GHZ CON FRECUENCIA TURBO, 12MB INTEL® SMARTCACHE, WINDOWS® 11 PRO 64BIT, LCD DELGADO 14" EN DIAGONAL CON RETROILUMINACIÓN LED, FHD (1920X1080)CON ANTIREFLEJO, DE 250 NITS, UWVA, GRÁFICOS INTEGRADOS INTEL® IRIS® XE GRAPHICS, 16GB (1X16GB) DDR4 3200, SOPORTA HASTA 32GB EN 2 SLOTS SODIMM, SSD M.2 512GB PCIE NVME VALUE, TECLADO RESISTENTE A SALPICADURAS EN ESPAÑOL, WEBCAM HD 720P CON ARREGLO DE 2 MICRÓFONOS INTEGRADOS, LAN: REALTEK GIGABIT ETHERNET (10/100/1000MBPS), WLAN: INTEL® AX211 WI-FI 6E +BLUETOOTH 5.3, ION DE LITIO DE 3C 42 WHR LONG LIFE CON AUTONOMÍA DE HASTA 11HORAS 15 MINUTOS, PESO A PARTIR DE 1.38 KG, GARANTÍA 1/1/0.</t>
  </si>
  <si>
    <t>U15280503658</t>
  </si>
  <si>
    <t>U15280503659</t>
  </si>
  <si>
    <t>EQUIPO COMPUTO HP***</t>
  </si>
  <si>
    <t>U15280502391</t>
  </si>
  <si>
    <t>U15280502394</t>
  </si>
  <si>
    <t>U15280503685</t>
  </si>
  <si>
    <t>EQUIPOS DE COMPUTO DELL - PC DELL VOSTRO 3020 SFF INTEL I5 13400, MEMORIA 8GB, DISCO DUERO 512GB SSD, WINDOWS</t>
  </si>
  <si>
    <t>U15280503686</t>
  </si>
  <si>
    <t>U15280503687</t>
  </si>
  <si>
    <t>U15280503688</t>
  </si>
  <si>
    <t>U15280503689</t>
  </si>
  <si>
    <t>U15280503690</t>
  </si>
  <si>
    <t>U15280503691</t>
  </si>
  <si>
    <t>U15280503692</t>
  </si>
  <si>
    <t>U15280503693</t>
  </si>
  <si>
    <t>U15280503694</t>
  </si>
  <si>
    <t>U15280503695</t>
  </si>
  <si>
    <t>U15280503696</t>
  </si>
  <si>
    <t>U15280503665</t>
  </si>
  <si>
    <t>EQUIPO PORTATIL HP - HP PROBOOK 440 G9 / INTEL CORE I5-1235U / RAM 16GB/DISCO DURO DE ESTADO SOLIDO TIPO M.2 512GB</t>
  </si>
  <si>
    <t>U15280503666</t>
  </si>
  <si>
    <t>U15280503667</t>
  </si>
  <si>
    <t>U15280503668</t>
  </si>
  <si>
    <t>U15280503669</t>
  </si>
  <si>
    <t>U15280503670</t>
  </si>
  <si>
    <t>U15280503671</t>
  </si>
  <si>
    <t>U15280503672</t>
  </si>
  <si>
    <t>U15280503673</t>
  </si>
  <si>
    <t>U15280503674</t>
  </si>
  <si>
    <t>U15280503675</t>
  </si>
  <si>
    <t>U15280503676</t>
  </si>
  <si>
    <t>U15280503677</t>
  </si>
  <si>
    <t>PROGRAMA DE ARQUITECTURA</t>
  </si>
  <si>
    <t>U15280503678</t>
  </si>
  <si>
    <t>U15280503679</t>
  </si>
  <si>
    <t>U15280503680</t>
  </si>
  <si>
    <t>U15280503681</t>
  </si>
  <si>
    <t>U15280503682</t>
  </si>
  <si>
    <t>U15280503683</t>
  </si>
  <si>
    <t>U15280503684</t>
  </si>
  <si>
    <t>U15280503709</t>
  </si>
  <si>
    <t>EQUIPOS DE COMPUTO - EQUIPO DE ALTO RENDIMIENTO PARA DISEÑO Y/O ARQUITECTURA MSI Z790-S PRO WIFI BT INTEL CORE 15-14600KF 3.5GHZ SIN DISIPADOR PATRIOT 32GB (2”16GB) 7600MHZ RGB VIPER EXTREME MSI RTX 4070 12GB VENTUS 2X PATRIOT 2TB VP4300 LITE NVME 7400/6400 PCIE 4.0 COOLER MASTER TD500 MECH FUENTE DE PODER XPG CORE REACTOR 850W DISIPARDO LIQUIDO TERMALTAKE TH240 WINDOWS 11 PRO ESD</t>
  </si>
  <si>
    <t>U15280502421</t>
  </si>
  <si>
    <t>EQUIPO PORTATIL HP - COMPUTADOR PORTÁTIL GAMER VICTUS HP 15,6"PULGADAS FA0000LA INTEL CORE I5-RAM 16GB - DISCO SSD 512GB-AZUL</t>
  </si>
  <si>
    <t>U15280502426</t>
  </si>
  <si>
    <t>EQUIPO PORTATIL DELL LATITUDE 5521/CORE™ I7-11850H/16 GB, 1 X 16 GB/DISCO SSD 256 GB GRIS - EQUIPO RECIBIDO DE CONVENIO</t>
  </si>
  <si>
    <t>U15280502427</t>
  </si>
  <si>
    <t>EQUIPO PORTATIL DELL LATITUDE GRIS 5421/CORETM I7-11850H/MEMORIA RAM 16 GB/DISCO SSD 256 GB - EQUIPO RECIBIDO DE CONVENIO</t>
  </si>
  <si>
    <t>U15280503726</t>
  </si>
  <si>
    <t>EQUIPO DE COMPUTO HP - HP Z1 G9 TOWER, INTEL® CORE™ I7-14700, 20CORES (8 PERFORMANCE CORES AT 2.1GHZ/5.3GHZ + 12 EFFICIENT CORES AT 1.5GHZ/4.2GHZ), 33MB INTEL SMARTCACHE, INTEL® UHD GRAPHICS 770, NVIDIA GEFORCE RTX 3050 8 GB GDDR6 FH PCIE X16 GRAPHICS, 32GB (2X16GB) DDR5-4800 MAX. 128GB, SSD 1T 2280 PCIE NVME VALUE , NA, WLAN RT 8852BE WI-FI6 +BT 5.3 WW, TPM 2.0, WINDOWS 11 PRO 64, 1/1/1. INCLUYE: MONITOR HP 21.5" P22V G5 FHD (1920 X 1080) HDMI ALTURA AJUSTABLE 3YR.</t>
  </si>
  <si>
    <t>U15280503727</t>
  </si>
  <si>
    <t>U15280503728</t>
  </si>
  <si>
    <t>U15280503729</t>
  </si>
  <si>
    <t>U15280503730</t>
  </si>
  <si>
    <t>U15280503735</t>
  </si>
  <si>
    <t>PC DELL VOSTRO SFF 3470 - RECIBIDO DE CONVENIO 043 DE 2019</t>
  </si>
  <si>
    <t>U15280503746</t>
  </si>
  <si>
    <t>EQUIPO PORTATIL DELL LATITUDE 3440 PROCESADOR: INTEL CORE I5 1335U 10 NÚCLEOS 12 HILOS (2 NÚCLEOS RENDIMIENTO – 8 NÚCLEOS EFICIENCIA 3.4 GHZ UP 4.6 GHZ) 12MB RED: 10/100/1000 WIFI 6E B/G/N/AX (2X2) BLUETOOTH MEMORIA: 16GB DDR4 3200 MHZ DISCO DURO: 512GB M.2 SSD PCIE NVME PANTALLA: 14" FHD UNIDAD DVD: NO PESO: 1.54 KG PUERTOS: RJ-45 USB-A USB-C HDMI ENERGÍA - BATERÍA: CA 65W 3 CELDAS (41 WH) TARJETA DE VIDEO: INTEL® IRIS® XE GRAPHICS SISTEMA OPERATIVO: WINDOWS 11 PRO 64 BITS GARANTÍA: 1 AÑO DELL EN SITIO (1-1-1) COLOR: GRIS OSCURO NOTAS: CERTIFICACIÓN MILITAR MIL-STD 810G OFRECER OFFICE HOME AND BUSINESS T5D-03487 ENTREGA INMEDIATA</t>
  </si>
  <si>
    <t>U15280503748</t>
  </si>
  <si>
    <t>EQUIPO PORTATIL - DELL LATITUDE 3440 PROCESADOR: INTEL CORE I5 1335U 10 NÚCLEOS 12 HILOS (2 NÚCLEOS RENDIMIENTO – 8 NÚCLEOS EFICIENCIA 3.4 GHZ UP 4.6 GHZ) 12MB RED: 10/100/1000 WIFI 6E B/G/N/AX (2X2) BLUETOOTH MEMORIA: 16GB DDR4 3200 MHZ DISCO DURO: 512GB M.2 SSD PCIE NVME PANTALLA: 14" FHD UNIDAD DVD: NO PESO: 1.54 KG PUERTOS: RJ-45 USB-A USB-C HDMI ENERGÍA - BATERÍA: CA 65W 3 CELDAS (41 WH) TARJETA DE VIDEO: INTEL® IRIS® XE GRAPHICS SISTEMA OPERATIVO: WINDOWS 11 PRO 64 BITS</t>
  </si>
  <si>
    <t>U15280503758</t>
  </si>
  <si>
    <t>EQUIPO PORTATIL - DELL LATITUDE 3440 PROCESADOR: INTEL CORE I5 1335U 10 NÚCLEOS 12 HILOS (2 NÚCLEOS RENDIMIENTO – 8 NÚCLEOS EFICIENCIA 3.4 GHZ UP 4.6 GHZ) 12MB RED: 10/100/1000 WIFI 6E B/G/N/AX (2X2) BLUETOOTH MEMORIA: 8GB DDR4 3200 MHZ DISCO DURO: 512GB M.2 SSD PCIE NVME PANTALLA: 14" FHD UNIDAD DVD: NO PESO: 1.54 KG PUERTOS: RJ-45 USB-A USB-C HDMI ENERGÍA - BATERÍA: CA 65W 3 CELDAS (41 WH) TARJETA DE VIDEO: INTEL® IRIS® XE GRAPHICS SISTEMA OPERATIVO: WINDOWS 11 PRO 64 BITS GARANTÍA: 1 AÑO DELL EN SITIO (1-1-1) COLOR: GRIS OSCURO KINGSTON MEMORIA RAM PC4-25600 DDR4 8GB 3200 MHZ 1.2V PORTATIL</t>
  </si>
  <si>
    <t>U15280503760</t>
  </si>
  <si>
    <t>EQUIPO DE COMPUTO HP - HP PRO SFF 400 G9 - INTEL CORE I7-14700 - TECNOLOGÍA VPRO - RAM DDR5-4800 MHZ DE 32 GB (2 X 16 GB) - 1TB SSD - FORMATO PEQUEDO - INTEL Q670 CHIP - WINDOWS 11 PRO - INTEL UHD GRAPHICS DDR5 SDRAM - ESPAÑOL TECLADO - IEEE 802.11AX - 240W - WINDOWS 11 PRO - GARANTÍA 1/1/1. INCLUYE MONITOR HP P24H G5 HDMI - VGA - DP.</t>
  </si>
  <si>
    <t>U15280503759</t>
  </si>
  <si>
    <t>U15280502457</t>
  </si>
  <si>
    <t>U15280502458</t>
  </si>
  <si>
    <t>U15280502459</t>
  </si>
  <si>
    <t>U15280502460</t>
  </si>
  <si>
    <t>U15280502461</t>
  </si>
  <si>
    <t>U15280502462</t>
  </si>
  <si>
    <t>U15280502463</t>
  </si>
  <si>
    <t>U15280502464</t>
  </si>
  <si>
    <t>U15280502465</t>
  </si>
  <si>
    <t>U15280502466</t>
  </si>
  <si>
    <t>U15280502467</t>
  </si>
  <si>
    <t>U15280502468</t>
  </si>
  <si>
    <t>U15280502469</t>
  </si>
  <si>
    <t>U15280502470</t>
  </si>
  <si>
    <t>U15280502471</t>
  </si>
  <si>
    <t>U15280502472</t>
  </si>
  <si>
    <t>U15280502473</t>
  </si>
  <si>
    <t>U15280502474</t>
  </si>
  <si>
    <t>U15280502475</t>
  </si>
  <si>
    <t>U15280502476</t>
  </si>
  <si>
    <t>U15280502477</t>
  </si>
  <si>
    <t>U15280502478</t>
  </si>
  <si>
    <t>U15280502479</t>
  </si>
  <si>
    <t>U15280502480</t>
  </si>
  <si>
    <t>U15280502481</t>
  </si>
  <si>
    <t>U15280502482</t>
  </si>
  <si>
    <t>U15280502483</t>
  </si>
  <si>
    <t>U15280502484</t>
  </si>
  <si>
    <t>U15280502485</t>
  </si>
  <si>
    <t>U15280502486</t>
  </si>
  <si>
    <t>U15280502487</t>
  </si>
  <si>
    <t>U15280502498</t>
  </si>
  <si>
    <t>REVISORIA FISCAL</t>
  </si>
  <si>
    <t>U15280503761</t>
  </si>
  <si>
    <t>EQUIPO PORTATIL - 210-BLLF, DELL LATITUDE 3450, XCTO, INTEL® CORE™ I5-1335U DE 13.ª GENERACIÓN (12 MB DE CACHÉ, 10 NÚCLEOS, 12 SUBPROCESOS, HASTA 4,6 GHZ TURBO), WINDOWS 11 HOME, INGLÉS, PORTUGUÉS DE BRASIL, FRANCÉS, ESPAÑOL, 32 GB: 2 X 16 GB, DDR5, 5600 MT/S (5200 MT/S WITH 13TH GEN INTEL® CORE™ PROCESSORS), 1 TB, M.2 2230, TLC, PCIE, NVME DE 4.ª GENERACIÓN, 14.0” FHD (1920 X 1080), SIN FUNCIÓN TÁCTIL, ANTIRREFLEJO, IPS, 250 NITS, CÁMARA FHD, WLAN, CÁMARA FHD HDR RGB, REDUCCIÓN DE RUIDO TEMPORAL, OBTURADOR DE CÁMARA, MICRÓFONO, INTEL WI-FI 6E (6 SI 6E NO ESTÁ DISPONIBLE) AX211, 2X2, 802.11AX, TARJETA INALÁMBRICA BLUETOOTH, BATERÍA DE 42 WH CON 3 CELDAS, CICLO DE VIDA PROLONGADO, EXPRESSCHARGE, GARANTÍA DE HARDWARE LIMITADA DE 3 AÑOS, 3 AÑOS DE SERVICIO BÁSICO EN EL SITIO DESPUÉS DEL DIAGNÓSTICO REMOTO CON SOPORTE SOLAMENTE DE HARDWARE</t>
  </si>
  <si>
    <t>U15280502443</t>
  </si>
  <si>
    <t>EQUIPOS DE COMPUTO DELL - YEDELL NB 3450 INTEL CI5 1335U/3 YEAR/16GB 11, DDR5/512SSD/W11PRO</t>
  </si>
  <si>
    <t>U15280502444</t>
  </si>
  <si>
    <t>FACULTAD DE CIENCIAS NATURALES Y MATEMATICAS</t>
  </si>
  <si>
    <t>U15280502445</t>
  </si>
  <si>
    <t>U15280502446</t>
  </si>
  <si>
    <t>U15280502447</t>
  </si>
  <si>
    <t>U15280502448</t>
  </si>
  <si>
    <t>U15280502449</t>
  </si>
  <si>
    <t>PROGRAMA DE DERECHO</t>
  </si>
  <si>
    <t>U15280502450</t>
  </si>
  <si>
    <t>U15280502451</t>
  </si>
  <si>
    <t>U15280502452</t>
  </si>
  <si>
    <t>U15280502453</t>
  </si>
  <si>
    <t>U15280502454</t>
  </si>
  <si>
    <t>U15280502455</t>
  </si>
  <si>
    <t>U15280502456</t>
  </si>
  <si>
    <t>U15280502499</t>
  </si>
  <si>
    <t>U15280502500</t>
  </si>
  <si>
    <t>PROGRAMA DE INGENIERAI MECANICA</t>
  </si>
  <si>
    <t>U15280502501</t>
  </si>
  <si>
    <t>U15280502502</t>
  </si>
  <si>
    <t>U15280502503</t>
  </si>
  <si>
    <t>DIRECCION ADMINISTRATIVA Y FINANCIERA</t>
  </si>
  <si>
    <t>U15280502504</t>
  </si>
  <si>
    <t>U15280502505</t>
  </si>
  <si>
    <t>U15280502506</t>
  </si>
  <si>
    <t>U15280502507</t>
  </si>
  <si>
    <t>U15280502508</t>
  </si>
  <si>
    <t>U15280502509</t>
  </si>
  <si>
    <t>U15280502510</t>
  </si>
  <si>
    <t>U15280502511</t>
  </si>
  <si>
    <t>U15280502512</t>
  </si>
  <si>
    <t>U15280502513</t>
  </si>
  <si>
    <t>PROGRAMA ADMINISTRACION DE EMPRESAS</t>
  </si>
  <si>
    <t>U15280502514</t>
  </si>
  <si>
    <t>U15280502515</t>
  </si>
  <si>
    <t>U15280502516</t>
  </si>
  <si>
    <t>U15280502517</t>
  </si>
  <si>
    <t>U15280502518</t>
  </si>
  <si>
    <t>U15280502519</t>
  </si>
  <si>
    <t>U15280502520</t>
  </si>
  <si>
    <t>U15280502521</t>
  </si>
  <si>
    <t>U15280502522</t>
  </si>
  <si>
    <t>U15280502523</t>
  </si>
  <si>
    <t>PROGRAMA DE BIOLOGIA</t>
  </si>
  <si>
    <t>U15280502524</t>
  </si>
  <si>
    <t>U15280502525</t>
  </si>
  <si>
    <t>U15280502526</t>
  </si>
  <si>
    <t>INVETIGACIONES</t>
  </si>
  <si>
    <t>U15280502527</t>
  </si>
  <si>
    <t>U15280502528</t>
  </si>
  <si>
    <t>U15280502529</t>
  </si>
  <si>
    <t>U15280502530</t>
  </si>
  <si>
    <t>U15280502531</t>
  </si>
  <si>
    <t>U15280502532</t>
  </si>
  <si>
    <t>U15280502533</t>
  </si>
  <si>
    <t>U15280502534</t>
  </si>
  <si>
    <t>INGENIERIA CIVIL</t>
  </si>
  <si>
    <t>U15280502542</t>
  </si>
  <si>
    <t>EQUIPOS DE COMPUTO - PROCESADOR INTEL CORE I9-14900KF LGA1700 (3.2 GHZ-6.0 GHZ) NO FAN/NO VÍDEO B MSI PRO Z790 - A MAX WIFI (A V R) DDR5 LGA 1700 13TH GEN UNIDAD SÓLIDA M.2 KINGSTON NV3 2TB 6000/5000 MB/S X2 UNIDADES TARJETA DE VÍDEO MSI GEFORCE RTX 5070 VENTUS 2X OC 12GB MEMORIA RAM PC XPG LANCER BLADE DDR5 32GB 6000MT/S NEGRO (AMD EXPO) 2X16 FUENTE AEROCOOL MIRAGE 850W 80 PLUS GOLD RGB FULL MODULAR CAJA E-ATX COOLER MASTER MASTERBOX TD500 MESH V2 MONITOR ASUS 27" PROART PA278QV REFRIGERACIÓN LIQUIDA GAMDIAS AURA GL360 V2 ARGB . LICENCIA WINDOWS 11 PROFESIONAL CON CERTIFICADO DE LA LICENCIA DEL SISTEMA OPERATIVO</t>
  </si>
  <si>
    <t>U15280502543</t>
  </si>
  <si>
    <t>U15280502544</t>
  </si>
  <si>
    <t>EQUIPOS DE COMPUTO - PROCESADOR INTEL CORE I7-14700K LGA1700 (3.4 GHZ5.6 GHZ) NO FAN/VÍDEO B MSI PRO Z790 - A MAX WIFI (A V R) DDR5 LGA 1700 13TH GEN MEMORIA RAM PC XPG LANCER BLADE DDR5 32GB 6000MT/S NEGRO (AMD EXPO) 2X16 UNIDAD SÓLIDA M.2 KINGSTON NV3 2TB 6000/5000 MB/S 8 GIGAS ASUS GEFORCE RTX-4060TI DUAL EVO OC CAJA E-ATX THERMALTAKE H390 TG ATGB SNOW (750W 80 PLUS BRONZE) LICENCIA WINDOWS 11 PROFESIONAL CON CERTIFICADO DE LA LICENCIA DEL SISTEMA OPERATIVO. MONITOR ASUS 27" PROART PA278QV REFRIGERACIÓN LIQUIDA GAMDIAS AURA GL360 V2 ARGB.</t>
  </si>
  <si>
    <t>U15280502545</t>
  </si>
  <si>
    <t>U15280502547</t>
  </si>
  <si>
    <t>EQUIPO PORTATIL - PORT 16" ASUS X1605VA CI5 NG</t>
  </si>
  <si>
    <t>U15280502559</t>
  </si>
  <si>
    <t>EQUIPO PORTATIL - LATITUDE 3450 I5 13TH GEN INTEL® CORETM I5- 1335U (12 MB CACHE, 10 CORES, 12 THREADS, UP TO 4.6 GHZ TURBO) 14.0" FHD (1920X1080) NON-TOUCH, AG, IPS, 250 NITS, FHD CAM, WLAN8 GB: 1 X 8 GB, DDR5, 5600 MT/S (5200 MT/S WITH 13TH GEN INTEL® CORETM PROCESSORS) 512 GB SSD, CL 25 WINDOWS 11 PRO, ENGLISH, BRAZILIAN PORTUGUESE, FRENCH, SPANISH INTEL 13TH GENERATION I5-1335U, INTEL INTEGRATED GRAPHICS65W AC ADAPTER, USB TYPE-C, ECODESIGN INTEL WI-FI 6E (6 IF 6E UNAVAILABLE) AX211, 2X2, 802.11AX, BLUETOOTH WIRELESS CARDSPANISH (LATIN AMERICA) NON-BACKLIT COPILOT KEY KEYBOARD, 80-KEYTOUCHPAD SPANISH KEYBOARD LAYOUT1X USB4 GEN 2 TYPE-C (20G X1) W/ POWER DELIVERY &amp; DISPLAYPORT, 3 X USB 3.2 GEN 1 TYPE-A (1 W/ POWERSHARE)3- CELL, 42WH BATTERY, EXPRESS CHARGE, EXPRESS CHARGE BOOST CAPABLEINTEL WI-FI 6E (6 IF 6E UNAVAILABLE) AX211, 2X2, 802.11AX, BLUETOOTH WIRELESS CARD1X HDMI 1.4 (RPL)1 YEAR HARDWARE SERVICE WITH ONSITE SNS-LA/</t>
  </si>
  <si>
    <t>U15280502560</t>
  </si>
  <si>
    <t>U15280502561</t>
  </si>
  <si>
    <t>U15280502562</t>
  </si>
  <si>
    <t>U15280503753</t>
  </si>
  <si>
    <t>EQUIPO PORTATIL - DELL LATITUDE 5450 PORTATIL LATITUDE 5450 INTEL CORE ULTRA 7 155U 14" (12 MB CACHE, 12 CORES 14 THREADS, UP TO 4.8 GHZ TURBO) 14.0", FHD 1920X1080, 60HZ, IPS, NON-TOUCH, AG, 250 NIT, 45% NTSC, FHD CAM 16 GB: 1 X 16 GB, DDR5, 5600 MT 512 GB TLC SSD INTEL® WI-FI 6E (6 WHERE 6E UNAVAILABLE) AX211, 2X2, 802.11AX, BLUETOOTH® 5.3 WIRELESS CARD 1X HDMI 2.1, 1 X UNIVERSAL AUDIO JACK , 1X RJ45 WINDOWS 11 PRO, ENGLISH, SPANISH, FRENCH, BRAZILIAN PORTUGUESE 3 YEAR HARDWARE SERVICE WITH ONSITE COLOR GRAY</t>
  </si>
  <si>
    <t>U15280503781</t>
  </si>
  <si>
    <t>EQUIPO PORTATIL - BR1402CGA-PORTATIL ASUS EDUCATION BR1402CGA-NK0584W | PROCESADOR: INTEL® CORETM I3-N305 PROCESSOR 1.8 GHZ (6MB CACHE, UP TO 3.8 GHZ, 8 CORES, 8 THREADS) | INTEL® UHD GRAPHICS | PANTALLA: 14,O" FHD (1920 X 1080) 16:9 ANTIREFLEJO, 250NITS | ALMACENAMIENTO: 512GB M.2 2280 NVMETM PCIE® 3.0 SSD | MEMORIA RAM INSTALADA: DDR4 16GB | CONECTIVIDAD: WI-FI 6(802.11AX) (DUAL BAND) 2*2 + BLUETOOTH® 5.2 WIRELESS CARD - 1X RJ45 GIGABIT ETHERNET | WEBCAM: 720P HD CAMERA | LECTOR DE HUELLA | US MIL-STD 810H MILITARY- GRADE STANDARD | TRUSTED PLATFORM MODULE (TPM) 2.0 | EPEAT GOLD-ENERGY STAR 8.0-FSC MIX-REACH-ROHS-TCO CERTIFIED | BATERIA: 50WHRS, 3S1P, 3-CELL LI- ION | PESO: 1.56 KG (3.44 LBS) // 50 WHRS BATTERY | SISTEMA OPERATIVO: WINDOWS 11 HOME | GARANTIA 3 AÑOS IN CARRY | INCLUYE MOUSE ASUS ALAMBRICO + ONSITE 3 AÑOS PORTATIL ASUS EXPERTBOOK B5405</t>
  </si>
  <si>
    <t>U15280503782</t>
  </si>
  <si>
    <t>U15280503783</t>
  </si>
  <si>
    <t>U15280503784</t>
  </si>
  <si>
    <t>U15280503785</t>
  </si>
  <si>
    <t>U15280503786</t>
  </si>
  <si>
    <t>U15280503787</t>
  </si>
  <si>
    <t>U15280503788</t>
  </si>
  <si>
    <t>U15280503789</t>
  </si>
  <si>
    <t>U15280503790</t>
  </si>
  <si>
    <t>U15280503792</t>
  </si>
  <si>
    <t>PORTATIL MAC - MACBOOK AIR 13 CHIP M4 - RAM 16GB - 512GB - MEDIANOCHE SERIE/IMEI: SQ37DL9TW7C + FUNDA IMPERMEABLE SATECHI PARA PORTÁTIL 13" CON BOLSILLOS - GRIS</t>
  </si>
  <si>
    <t>U15280502549</t>
  </si>
  <si>
    <t>EQUIPO PORTATIL - PORTATIL G815LR-S9015W ASUS GAMING PROCESADOR INTEL® CORE™ ULTRA 9 PROCESSOR 275HX 2.7 GHZ (36MB CACHE, UP TO 5.4 GHZ, 24 CORES, 24 THREADS); INTEL® AI BOOST NPU UP TO 13TOPS, SSD 1TB M.2 NVME™ PCIE® 4.0, MEMORIA RAM 32GB DDR5-5600 SO-DIMM, THE MEMORY SPEED OF THE SYSTEMS VARY BY CPU SPEC *2, (2560 X 1600, WQXGA), TARJETA DE VIDEO NVIDIA® GEFORCE RTX™ 5070 TI LAPTOP GPU, PANTALLA 2.5K (2560 X 1600, WQXGA) 16:10 ASPECT RATIO, 240HZ, SISTEMA OPERATIVO WINDOWS 11 HOME, GARANTÍA 3 AÑOS.</t>
  </si>
  <si>
    <t>U15280503797</t>
  </si>
  <si>
    <t>EQUIPOS DE COMPUTO DELL - PORTATIL DELL LATITUDE 3450, 13TH GEN INTEL CORE I5-1335U (12 MB CACHE, 10 CORES, 12 THREADS, UP TO 4.60GHZ TURBO) MEMORIA 16GB, DDR5, 5600 MT, 512 GB SSD, CL 25, 14.0" FHD (1920X1080) NON-TOUCH, AG, IPS, 250 NITS, FHD CAM, WLAN, INTEL WI-FI 6E (6 IF 6E UNAVAILABLE) AX211, 2X2, 802.11AX, BLUETOOTH WIRELESS CARD, 1X HDMI 1.4, 1X USB4 GEN 2 TYPE-C (20G X1) WINDOWS 11 PRO, ENGLISH, BRAZILIAN PORTUGUESE, FRENCH, SPANISH, GARANTIA ONSITE/IN-HOME SERVICE AFTER REMOTE DIAGNOSIS, 1 YEAR DE GARANTIA., 3- CELL, 42WH BATTERY, EXPRESS CHARGE, EXPRESS CHARGE BOOST CAPABLE + DELL OPTIMIZER + TECLA COPILOT, MIL-STD 810G, PESO 1,52KG ENTREGA: 2 DÍAS HABILES GARANTIA: 12 MESES</t>
  </si>
  <si>
    <t>U15280502577</t>
  </si>
  <si>
    <t>EQUIPO PORTATIL - THINKPAD E14 GEN 6 JING INTEL 2.0 PROCESADOR INTEL CORE ULTRA 5 125U ( 12 CORE 2 P-CORE + 8 E-CORE + 2 LPE -CORE) - 14 HILOS, FRECUENCIA BASE: P-CORE 1.3 GHZ / E-CORE 800 MHZ / LPE-CORE 700 MHZ, FRECUENCIA MAXIMA: P-CORE 4.3 GHZ / E-CORE 3.6 GHZ/ LPE-CORE 2.1 GHZ, CACHE 12 MB | NPU: INTEL AI BOOST, 11 TOPS (TERA OPERATIONS PER SECOND)| VPRO: NO | RAM 16 GB DDR5 - 5600, CRECE HASTA 64 GB DDR5 - 5600 | DISCO DURO 512 GB M.2 2242 | AMPLIACION RAM&amp;SSD CONFIRMAR EN PSREF* | CHIPSET INTEL SOC | PANTALLA 14" WUXGA (1920 X 1200) IPS 300 NITS, ANTI GLARE, 16:10 | TECLADO 6 FILAS, RESISTENTE A SALPICADURAS, TECLAS FN MULTIMEDIA, TECLA COPILOT | MOUSE DISPOSITIVO SEÑALADOR TRACKPOINT, PANEL TÁCTIL MULTITÁCTIL DE SUPERFICIE MYLAR | GRAFICOS INTEL GRAPHICS | CAMARA HD 720P, THINKSHUTTER SI | LECTOR DE HUELLA SI | CONEXIÓN INTEL WI-FI 6E AX211, 802.11AX 2X2 WI-FI + BLUETOOTH 5.3 | PUERTOS: 1X USB-A (USB 5GBPS / USB 3.2 GEN 1),1X USB-A (USB 10GBPS / USB 3.2 GEN 2), 1X USB-C (USB 20GBPS / USB 3.2 GEN 2X2), 1X USB-C (THUNDERBOLT 4 / USB4 40GBPS),1X HDMI 2.1,1X HEADPHONE / MICROPHONE COMBO JACK (3.5MM) | ETHERNET (RJ-45) SI | RANURA GUAYA SI | BATERÍA 3 CELL 47 WH INTERNAL | CARGADOR 65W USB-C (2-PIN) AC ADAPTER | COLOR BLACK | MATERIAL ALUMINIUM (TOP), PC- ABS (BOTTOM) | PESO 1.42 KG | CERTIFICACIONES: MIL- STD-810H,ENERGY STAR 8.0, EPEAT GOLD REGISTERED, ERP LOT 6, ERP LOT 26, ROHS COMPLIANT, TCO CERTIFIED 9.0,TÜV RHEINLANDLOW BLUE LIGHT | SISTEMA OPERATIVO WINDOWS 11 PRO | SOFTWARE:</t>
  </si>
  <si>
    <t>SIN ASIGNAR</t>
  </si>
  <si>
    <t>U15280502578</t>
  </si>
  <si>
    <t>U15280502579</t>
  </si>
  <si>
    <t>U15280502580</t>
  </si>
  <si>
    <t>U15280502581</t>
  </si>
  <si>
    <t>U15280502584</t>
  </si>
  <si>
    <t>PORTATIL LENOVO - LENOVO THINKPAD E14 GEN 6 JING INTEL 2.0 PROCESADOR INTEL CORE ULTRA 5 125U ( 12 CORE 2 P-CORE + 8 E-CORE + 2 LP -CORE) - 14 HILOS, FRECUENCIA BASE: P-CORE 1.3 GHZ / E-CORE 800 MHZ / LPE-CORE 700 MHZ, FRECUENCIA MAXIMA: P-CORE 4.3 GHZ / E-CORE 3.6 GHZ/ LPE-CORE 2.1 GHZ, CACHE 12 MB | NPU: INTEL AI BOOST, 11 TOPS (TERA OPERATIONS PER SECOND)| VPRO: NO | RAM 16 GB DDR5 - 5600, CRECE HASTA 64 GB DDR5 - 5600 | DISCO DURO 512 GB M.2 2242 | AMPLIACION RAM&amp;SSD CONFIRMAR EN PSREF* | CHIPSET INTEL SOC | PANTALLA 14" WUXGA (1920 X 1200) IPS 300 NITS, ANTI GLARE, 16:10 | TECLADO 6 FILAS, RESISTENTE A SALPICADURAS, TECLAS FN MULTIMEDIA, TECLA COPILOT | MOUSE DISPOSITIVO SEÑALADOR TRACKPOINT, PANEL TÁCTIL MULTITÁCTIL DE SUPERFICIE MYLAR | GRAFICOS INTEL GRAPHICS | CAMARA HD 720P, THINKSHUTTER SI | LECTOR DE HUELLA SI | CONEXIÓN INTEL WI-FI 6E AX211, 802.11AX 2X2 WI-FI + BLUETOOTH 5.3 | PUERTOS: 1X USB-A (USB 5GBPS / USB 3.2 GEN 1),1X USB-A (USB 10GBPS / USB 3.2 GEN 2), 1X USB-C (USB 20GBPS / USB 3.2 GEN 2X2), 1X USB-C (THUNDERBOLT 4 / USB4 40GBPS),1X HDMI 2.1,1X HEADPHONE / MICROPHONE COMBO JACK (3.5MM) | ETHERNET (RJ-45) SI | RANURA GUAYA SI | BATERÍA 3 CELL 47 WH INTERNAL | CARGADOR 65W USB-C (2-PIN) AC ADAPTER | COLOR BLACK | MATERIAL ALUMINIUM (TOP), PC- ABS (BOTTOM) | PESO 1.42 KG | CERTIFICACIONES: MIL- STD-810H,ENERGY STAR 8.0, EPEAT GOLD REGISTERED, ERP LOT 6, ERP LOT 26, ROHS COMPLIANT, TCO CERTIFIED 9.0,TÜV RHEINLAND LOW BLUE LIGHT | SISTEMA OPERATIVO WINDOWS 11 PRO | SOFTWARE: ABSOLUTE CONTROL 1 AÑO | GARANTÍA 3 AÑOS PREMIER SUPPORT INCLUYE BASE REFRIGERANTE BUSINESS PRO Y GUAYA SEGUR. LAPTOP 4-DIGITOS 2.0MT/4.0MM SLOT NANO XUE® (CLAVE)</t>
  </si>
  <si>
    <t>U15280502585</t>
  </si>
  <si>
    <t>U15280502586</t>
  </si>
  <si>
    <t>U15280502587</t>
  </si>
  <si>
    <t>U15280502588</t>
  </si>
  <si>
    <t>U15280502596</t>
  </si>
  <si>
    <t>EQUIPO DE COMPUTO PORTATIL MARCA HP MODELO PROBOOK 440 G5</t>
  </si>
  <si>
    <t>CONSULTORIO PSICOLOGIA</t>
  </si>
  <si>
    <t>U15280502608</t>
  </si>
  <si>
    <t>EQUIPO DE COMPUTO - COMPUTADOR DE ESCRITORIO DELL PRO QCS1250, U5-235, 16GB, 512GB, W11P, W3 AÑOS REF: TR1TJ + MONITOR DELL PRO 24" FHD, DP-HDMI-VGA, W3 AÑOS REF: E2425HSM + GUAYA SEGURIDAD XUE LAPTOP 4-DIG SLOT STD 2 MTS X 6MM REF: ACC-GXU-0150</t>
  </si>
  <si>
    <t>U15280502609</t>
  </si>
  <si>
    <t>U15280502610</t>
  </si>
  <si>
    <t>U15280502611</t>
  </si>
  <si>
    <t>U15280502612</t>
  </si>
  <si>
    <t>U15280502613</t>
  </si>
  <si>
    <t>U15280502614</t>
  </si>
  <si>
    <t>U15280502615</t>
  </si>
  <si>
    <t>U15280502616</t>
  </si>
  <si>
    <t>U15280502617</t>
  </si>
  <si>
    <t>U15280502618</t>
  </si>
  <si>
    <t>U15280502619</t>
  </si>
  <si>
    <t>U15280502620</t>
  </si>
  <si>
    <t>U15280502621</t>
  </si>
  <si>
    <t>U15280502622</t>
  </si>
  <si>
    <t>U15280502623</t>
  </si>
  <si>
    <t>U15280502624</t>
  </si>
  <si>
    <t>U15280502625</t>
  </si>
  <si>
    <t>U15280502626</t>
  </si>
  <si>
    <t>U15280502627</t>
  </si>
  <si>
    <t>U15280502628</t>
  </si>
  <si>
    <t>U15280502629</t>
  </si>
  <si>
    <t>U15280502630</t>
  </si>
  <si>
    <t>U15280502631</t>
  </si>
  <si>
    <t>U15280502632</t>
  </si>
  <si>
    <t>U15280502633</t>
  </si>
  <si>
    <t>U15280502634</t>
  </si>
  <si>
    <t>U15280502635</t>
  </si>
  <si>
    <t>U15280502636</t>
  </si>
  <si>
    <t>U15280502637</t>
  </si>
  <si>
    <t>U15280502638</t>
  </si>
  <si>
    <t>U15280502645</t>
  </si>
  <si>
    <t>U15280502644</t>
  </si>
  <si>
    <t>U15280502643</t>
  </si>
  <si>
    <t>U15280502642</t>
  </si>
  <si>
    <t>U15280502641</t>
  </si>
  <si>
    <t>U15280502640</t>
  </si>
  <si>
    <t>U15280502639</t>
  </si>
  <si>
    <t>U15280502662</t>
  </si>
  <si>
    <t>U15280502661</t>
  </si>
  <si>
    <t>U15280502660</t>
  </si>
  <si>
    <t>U15280502659</t>
  </si>
  <si>
    <t>U15280502658</t>
  </si>
  <si>
    <t>U15280502657</t>
  </si>
  <si>
    <t>U15280502656</t>
  </si>
  <si>
    <t>U15280502655</t>
  </si>
  <si>
    <t>U15280502646</t>
  </si>
  <si>
    <t>U15280502647</t>
  </si>
  <si>
    <t>U15280502648</t>
  </si>
  <si>
    <t>U15280502649</t>
  </si>
  <si>
    <t>U15280502650</t>
  </si>
  <si>
    <t>U15280502651</t>
  </si>
  <si>
    <t>U15280502652</t>
  </si>
  <si>
    <t>U15280502653</t>
  </si>
  <si>
    <t>U15280502663</t>
  </si>
  <si>
    <t>U15280502664</t>
  </si>
  <si>
    <t>U15280502665</t>
  </si>
  <si>
    <t>U15280502666</t>
  </si>
  <si>
    <t>U15280502667</t>
  </si>
  <si>
    <t>U15280502668</t>
  </si>
  <si>
    <t>U15280502669</t>
  </si>
  <si>
    <t>U15280502670</t>
  </si>
  <si>
    <t>U15280502700</t>
  </si>
  <si>
    <t>U15280502699</t>
  </si>
  <si>
    <t>U15280502698</t>
  </si>
  <si>
    <t>U15280502697</t>
  </si>
  <si>
    <t>U15280502696</t>
  </si>
  <si>
    <t>U15280502695</t>
  </si>
  <si>
    <t>U15280502694</t>
  </si>
  <si>
    <t>U15280502701</t>
  </si>
  <si>
    <t>U15280502702</t>
  </si>
  <si>
    <t>U15280502703</t>
  </si>
  <si>
    <t>U15280502704</t>
  </si>
  <si>
    <t>U15280502705</t>
  </si>
  <si>
    <t>U15280502706</t>
  </si>
  <si>
    <t>U15280502707</t>
  </si>
  <si>
    <t>U15280502708</t>
  </si>
  <si>
    <t>U15280502709</t>
  </si>
  <si>
    <t>U15280502710</t>
  </si>
  <si>
    <t>U15280502711</t>
  </si>
  <si>
    <t>U15280502712</t>
  </si>
  <si>
    <t>U15280502713</t>
  </si>
  <si>
    <t>U15280502714</t>
  </si>
  <si>
    <t>U15280502715</t>
  </si>
  <si>
    <t>U15280502716</t>
  </si>
  <si>
    <t>U15280502717</t>
  </si>
  <si>
    <t>U15280502718</t>
  </si>
  <si>
    <t>U15280502719</t>
  </si>
  <si>
    <t>U15280502720</t>
  </si>
  <si>
    <t>U15280502721</t>
  </si>
  <si>
    <t>U15280502722</t>
  </si>
  <si>
    <t>U15280502723</t>
  </si>
  <si>
    <t>U15280502724</t>
  </si>
  <si>
    <t>U15280502725</t>
  </si>
  <si>
    <t>U15280502726</t>
  </si>
  <si>
    <t>U15280502727</t>
  </si>
  <si>
    <t>U15280502728</t>
  </si>
  <si>
    <t>U15280502729</t>
  </si>
  <si>
    <t>U15280502730</t>
  </si>
  <si>
    <t>U15280502731</t>
  </si>
  <si>
    <t>U15280502732</t>
  </si>
  <si>
    <t>U15280502733</t>
  </si>
  <si>
    <t>U15280502734</t>
  </si>
  <si>
    <t>U15280502735</t>
  </si>
  <si>
    <t>U15280502736</t>
  </si>
  <si>
    <t>U15280502737</t>
  </si>
  <si>
    <t>U15280502738</t>
  </si>
  <si>
    <t>U15280502739</t>
  </si>
  <si>
    <t>U15280502740</t>
  </si>
  <si>
    <t>U15280502741</t>
  </si>
  <si>
    <t>U15280502742</t>
  </si>
  <si>
    <t>U15280502743</t>
  </si>
  <si>
    <t>U15280502744</t>
  </si>
  <si>
    <t>U15280502745</t>
  </si>
  <si>
    <t>U15280502746</t>
  </si>
  <si>
    <t>U15280502747</t>
  </si>
  <si>
    <t>U15280502748</t>
  </si>
  <si>
    <t>U15280502749</t>
  </si>
  <si>
    <t>U15280502750</t>
  </si>
  <si>
    <t>U15280502751</t>
  </si>
  <si>
    <t>U15280502752</t>
  </si>
  <si>
    <t>U15280502753</t>
  </si>
  <si>
    <t>U15280502754</t>
  </si>
  <si>
    <t>U15280502755</t>
  </si>
  <si>
    <t>U15280502756</t>
  </si>
  <si>
    <t>U15280502757</t>
  </si>
  <si>
    <t>U15280502758</t>
  </si>
  <si>
    <t>U15280502759</t>
  </si>
  <si>
    <t>U15280502760</t>
  </si>
  <si>
    <t>U15280502761</t>
  </si>
  <si>
    <t>U15280502762</t>
  </si>
  <si>
    <t>U15280502763</t>
  </si>
  <si>
    <t>U15280502764</t>
  </si>
  <si>
    <t>U15280502765</t>
  </si>
  <si>
    <t>U15280502766</t>
  </si>
  <si>
    <t>U15280502767</t>
  </si>
  <si>
    <t>U15280502768</t>
  </si>
  <si>
    <t>U15280502769</t>
  </si>
  <si>
    <t>U15280502770</t>
  </si>
  <si>
    <t>U15280502597</t>
  </si>
  <si>
    <t>EQUIPO PORTATIL - DELL PRO 14 PC14250, INTEL CORE ULTRA 5 225U, RAM 16GB, SSD 512GB, WIN 11 PRO GARANTIA 3Y 600108-063-DELL</t>
  </si>
  <si>
    <t>U15280502672</t>
  </si>
  <si>
    <t>U15280502683</t>
  </si>
  <si>
    <t>U15280502681</t>
  </si>
  <si>
    <t>U15280502682</t>
  </si>
  <si>
    <t>U15280502690</t>
  </si>
  <si>
    <t>U15280502691</t>
  </si>
  <si>
    <t>U15280502692</t>
  </si>
  <si>
    <t>U15280502693</t>
  </si>
  <si>
    <t>U15280502679</t>
  </si>
  <si>
    <t>U15280502680</t>
  </si>
  <si>
    <t>U15280502671</t>
  </si>
  <si>
    <t>COSTOS Y PRESUPUESTO</t>
  </si>
  <si>
    <t>U15280502673</t>
  </si>
  <si>
    <t>U15280502676</t>
  </si>
  <si>
    <t>U15280502686</t>
  </si>
  <si>
    <t>U15280502684</t>
  </si>
  <si>
    <t>U15280502685</t>
  </si>
  <si>
    <t>U15280502688</t>
  </si>
  <si>
    <t>U15280502787</t>
  </si>
  <si>
    <t>U15280502786</t>
  </si>
  <si>
    <t>U15280502791</t>
  </si>
  <si>
    <t>U15280502793</t>
  </si>
  <si>
    <t>U15280502794</t>
  </si>
  <si>
    <t>U15280502789</t>
  </si>
  <si>
    <t>U15280502792</t>
  </si>
  <si>
    <t>U15280502814</t>
  </si>
  <si>
    <t>U15280502790</t>
  </si>
  <si>
    <t>U15280502795</t>
  </si>
  <si>
    <t>U15280502819</t>
  </si>
  <si>
    <t>OFICINA DE GRADUADOS</t>
  </si>
  <si>
    <t>U15280502674</t>
  </si>
  <si>
    <t>U15280502677</t>
  </si>
  <si>
    <t>U15280502675</t>
  </si>
  <si>
    <t>U15280502687</t>
  </si>
  <si>
    <t>U15280502689</t>
  </si>
  <si>
    <t>U15280502783</t>
  </si>
  <si>
    <t>U15280502678</t>
  </si>
  <si>
    <t>U15280502776</t>
  </si>
  <si>
    <t>U15280502784</t>
  </si>
  <si>
    <t>PLATA FISICA</t>
  </si>
  <si>
    <t>U15280502777</t>
  </si>
  <si>
    <t>U15280502785</t>
  </si>
  <si>
    <t>U15280502771</t>
  </si>
  <si>
    <t>U15280502773</t>
  </si>
  <si>
    <t>U15280502774</t>
  </si>
  <si>
    <t>U15280502775</t>
  </si>
  <si>
    <t>U15280502778</t>
  </si>
  <si>
    <t>U15280502779</t>
  </si>
  <si>
    <t>U15280502780</t>
  </si>
  <si>
    <t>U15280502820</t>
  </si>
  <si>
    <t>U15280502821</t>
  </si>
  <si>
    <t>U15280502823</t>
  </si>
  <si>
    <t>U15280502824</t>
  </si>
  <si>
    <t>U15280502825</t>
  </si>
  <si>
    <t>U15280502828</t>
  </si>
  <si>
    <t>U15280502830</t>
  </si>
  <si>
    <t>U15280502832</t>
  </si>
  <si>
    <t>U15280502833</t>
  </si>
  <si>
    <t>U15280502834</t>
  </si>
  <si>
    <t>U15280502782</t>
  </si>
  <si>
    <t>U15280502781</t>
  </si>
  <si>
    <t>FACULTAD DE DERECHO</t>
  </si>
  <si>
    <t>U15280502831</t>
  </si>
  <si>
    <t>U15280502772</t>
  </si>
  <si>
    <t>U15280502829</t>
  </si>
  <si>
    <t>U15280502822</t>
  </si>
  <si>
    <t>U15280502788</t>
  </si>
  <si>
    <t>U15280502826</t>
  </si>
  <si>
    <t>LABORATORIO DE MULTIMEDIA</t>
  </si>
  <si>
    <t>U15280502827</t>
  </si>
  <si>
    <t>PROGRAMA INGENIERIA INDUSTRIAL</t>
  </si>
  <si>
    <t>U15280502852</t>
  </si>
  <si>
    <t>PROGRAMA ADMINISTRACION FINANCIERA</t>
  </si>
  <si>
    <t>U15280502851</t>
  </si>
  <si>
    <t>U15280502846</t>
  </si>
  <si>
    <t>U15280502849</t>
  </si>
  <si>
    <t>U15280502848</t>
  </si>
  <si>
    <t>U15280502850</t>
  </si>
  <si>
    <t>DIRECCION DE RESPONSABILIDAD SOCIAL INTEGRAL</t>
  </si>
  <si>
    <t>U15280502845</t>
  </si>
  <si>
    <t>U15280502844</t>
  </si>
  <si>
    <t>U15280502818</t>
  </si>
  <si>
    <t>U15280502843</t>
  </si>
  <si>
    <t>U15280502841</t>
  </si>
  <si>
    <t>U15280502847</t>
  </si>
  <si>
    <t>Orden</t>
  </si>
  <si>
    <t>Tecnología</t>
  </si>
  <si>
    <t>Servicios Generales</t>
  </si>
  <si>
    <t>Financiera</t>
  </si>
  <si>
    <t>Bienestar Universitario</t>
  </si>
  <si>
    <t>Investigación</t>
  </si>
  <si>
    <t>Extensión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</si>
</sst>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yyyy\-mm\-dd"/>
    <numFmt numFmtId="166" formatCode="m/d/yyyy"/>
  </numFmts>
  <fonts count="8">
    <font>
      <sz val="11"/>
      <color theme="1"/>
      <name val="Calibri"/>
      <family val="2"/>
      <charset val="1"/>
    </font>
    <font>
      <b/>
      <sz val="16"/>
      <color rgb="FFFFFFFF"/>
      <name val="Calibri"/>
      <charset val="1"/>
    </font>
    <font>
      <i/>
      <sz val="11"/>
      <color rgb="FF666666"/>
      <name val="Calibri"/>
      <charset val="1"/>
    </font>
    <font>
      <b/>
      <sz val="11"/>
      <color rgb="FFFFFFFF"/>
      <name val="Calibri"/>
      <charset val="1"/>
    </font>
    <font>
      <sz val="11"/>
      <color rgb="FF0000FF"/>
      <name val="Calibri"/>
      <charset val="1"/>
    </font>
    <font>
      <sz val="11"/>
      <color rgb="FF000000"/>
      <name val="Calibri"/>
      <charset val="1"/>
    </font>
    <font>
      <sz val="10"/>
      <name val="Arial"/>
      <family val="2"/>
    </font>
    <font>
      <sz val="10"/>
      <name val="Dialog"/>
    </font>
  </fonts>
  <fills count="4">
    <fill>
      <patternFill patternType="none"/>
    </fill>
    <fill>
      <patternFill patternType="gray125"/>
    </fill>
    <fill>
      <patternFill patternType="solid">
        <fgColor rgb="FF0B2E59"/>
        <bgColor rgb="FF333333"/>
      </patternFill>
    </fill>
    <fill>
      <patternFill patternType="solid">
        <fgColor rgb="FFD6A829"/>
        <bgColor rgb="FFFFCC00"/>
      </patternFill>
    </fill>
  </fills>
  <borders count="2">
    <border>
      <left/>
      <right/>
      <top/>
      <bottom/>
      <diagonal/>
    </border>
    <border>
      <left/>
      <right/>
      <top/>
      <bottom style="thin">
        <color rgb="FFD9D9D9"/>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center"/>
    </xf>
    <xf numFmtId="0" fontId="1" fillId="2" borderId="0"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vertical="top" wrapText="1"/>
    </xf>
    <xf numFmtId="164" fontId="4" fillId="0" borderId="1" xfId="0" applyNumberFormat="1"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wrapText="1"/>
    </xf>
    <xf numFmtId="1" fontId="0" fillId="0" borderId="0" xfId="0" applyNumberFormat="1"/>
    <xf numFmtId="165" fontId="0" fillId="0" borderId="0" xfId="0" applyNumberFormat="1"/>
    <xf numFmtId="165" fontId="4" fillId="0" borderId="1" xfId="0" applyNumberFormat="1" applyFont="1" applyBorder="1" applyAlignment="1">
      <alignment vertical="center" wrapText="1"/>
    </xf>
    <xf numFmtId="0" fontId="3" fillId="2" borderId="1" xfId="0" applyFont="1" applyFill="1" applyBorder="1" applyAlignment="1">
      <alignment horizontal="center" vertical="center"/>
    </xf>
    <xf numFmtId="0" fontId="0" fillId="0" borderId="1" xfId="0" applyFont="1" applyBorder="1" applyAlignment="1">
      <alignment vertical="center"/>
    </xf>
    <xf numFmtId="0" fontId="7" fillId="0" borderId="0" xfId="0" applyFont="1" applyAlignment="1">
      <alignment horizontal="right"/>
    </xf>
    <xf numFmtId="166" fontId="0" fillId="0" borderId="0" xfId="0" applyNumberFormat="1"/>
  </cellXfs>
  <cellStyles count="1">
    <cellStyle name="Normal" xfId="0" builtinId="0"/>
  </cellStyles>
  <dxfs count="3">
    <dxf>
      <fill>
        <patternFill>
          <bgColor rgb="FFD9EAD3"/>
        </patternFill>
      </fill>
    </dxf>
    <dxf>
      <fill>
        <patternFill>
          <bgColor rgb="FFFFF3CC"/>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D6A829"/>
      <rgbColor rgb="FFFF6600"/>
      <rgbColor rgb="FF666666"/>
      <rgbColor rgb="FF969696"/>
      <rgbColor rgb="FF0B2E59"/>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53"/>
  <sheetViews>
    <sheetView showGridLines="0" tabSelected="1" topLeftCell="B1" zoomScale="90" zoomScaleNormal="90" workbookViewId="0">
      <pane ySplit="4" topLeftCell="A899" activePane="bottomLeft" state="frozen"/>
      <selection pane="bottomLeft" activeCell="M1858" sqref="M1858"/>
    </sheetView>
  </sheetViews>
  <sheetFormatPr baseColWidth="10" defaultColWidth="8.7109375" defaultRowHeight="15"/>
  <cols>
    <col min="1" max="1" width="17" customWidth="1"/>
    <col min="2" max="2" width="34" customWidth="1"/>
    <col min="3" max="3" width="56" customWidth="1"/>
    <col min="4" max="4" width="18" customWidth="1"/>
    <col min="5" max="5" width="38" customWidth="1"/>
    <col min="6" max="6" width="25" customWidth="1"/>
    <col min="7" max="7" width="12" hidden="1" customWidth="1"/>
    <col min="8" max="8" width="22" customWidth="1"/>
    <col min="9" max="9" width="27" customWidth="1"/>
    <col min="10" max="10" width="26" customWidth="1"/>
    <col min="11" max="11" width="32" customWidth="1"/>
    <col min="12" max="12" width="28" customWidth="1"/>
    <col min="13" max="13" width="14" customWidth="1"/>
  </cols>
  <sheetData>
    <row r="1" spans="1:13" ht="27.75" customHeight="1">
      <c r="A1" s="2" t="s">
        <v>0</v>
      </c>
      <c r="B1" s="2"/>
      <c r="C1" s="2"/>
      <c r="D1" s="2"/>
      <c r="E1" s="2"/>
      <c r="F1" s="2"/>
      <c r="G1" s="2"/>
      <c r="H1" s="2"/>
      <c r="I1" s="2"/>
      <c r="J1" s="2"/>
      <c r="K1" s="2"/>
      <c r="L1" s="2"/>
      <c r="M1" s="2"/>
    </row>
    <row r="3" spans="1:13">
      <c r="A3" s="1" t="s">
        <v>1</v>
      </c>
      <c r="B3" s="1"/>
      <c r="C3" s="1"/>
      <c r="D3" s="1"/>
      <c r="E3" s="1"/>
      <c r="F3" s="1"/>
      <c r="G3" s="1"/>
      <c r="H3" s="1"/>
      <c r="I3" s="1"/>
      <c r="J3" s="1"/>
      <c r="K3" s="1"/>
      <c r="L3" s="1"/>
      <c r="M3" s="1"/>
    </row>
    <row r="4" spans="1:13" ht="33.75" customHeight="1">
      <c r="A4" s="3" t="s">
        <v>2</v>
      </c>
      <c r="B4" s="3" t="s">
        <v>3</v>
      </c>
      <c r="C4" s="3" t="s">
        <v>4</v>
      </c>
      <c r="D4" s="3" t="s">
        <v>5</v>
      </c>
      <c r="E4" s="3" t="s">
        <v>6</v>
      </c>
      <c r="F4" s="3" t="s">
        <v>7</v>
      </c>
      <c r="G4" s="4" t="s">
        <v>8</v>
      </c>
      <c r="H4" s="4" t="s">
        <v>9</v>
      </c>
      <c r="I4" s="5" t="s">
        <v>10</v>
      </c>
      <c r="J4" s="5" t="s">
        <v>11</v>
      </c>
      <c r="K4" s="5" t="s">
        <v>12</v>
      </c>
      <c r="L4" s="5" t="s">
        <v>13</v>
      </c>
      <c r="M4" s="5" t="s">
        <v>14</v>
      </c>
    </row>
    <row r="5" spans="1:13" ht="30" customHeight="1">
      <c r="A5" s="6" t="s">
        <v>15</v>
      </c>
      <c r="B5" s="7" t="s">
        <v>16</v>
      </c>
      <c r="C5" s="7" t="s">
        <v>17</v>
      </c>
      <c r="D5" s="6" t="s">
        <v>18</v>
      </c>
      <c r="E5" s="7" t="s">
        <v>19</v>
      </c>
      <c r="F5" s="8"/>
      <c r="G5" s="9">
        <f>IFERROR(VLOOKUP(D5,Listas!$A$2:$B$20,2,FALSE()),999)</f>
        <v>1</v>
      </c>
      <c r="H5" s="10" t="str">
        <f t="shared" ref="H5:H68" ca="1" si="0">IF(F5="","Sin fecha",IF(TODAY()-F5&gt;180,"Revisar",IF(TODAY()-F5&gt;90,"Próximo","Vigente")))</f>
        <v>Sin fecha</v>
      </c>
      <c r="J5" s="11">
        <v>120</v>
      </c>
      <c r="K5" s="11">
        <v>8</v>
      </c>
      <c r="L5" s="12">
        <v>46023</v>
      </c>
      <c r="M5" t="s">
        <v>20</v>
      </c>
    </row>
    <row r="6" spans="1:13" ht="30" customHeight="1">
      <c r="A6" s="6" t="s">
        <v>21</v>
      </c>
      <c r="B6" s="7" t="s">
        <v>22</v>
      </c>
      <c r="C6" s="7" t="s">
        <v>23</v>
      </c>
      <c r="D6" s="6" t="s">
        <v>18</v>
      </c>
      <c r="E6" s="7" t="s">
        <v>19</v>
      </c>
      <c r="F6" s="8"/>
      <c r="G6" s="9">
        <f>IFERROR(VLOOKUP(D6,Listas!$A$2:$B$20,2,FALSE()),999)</f>
        <v>1</v>
      </c>
      <c r="H6" s="10" t="str">
        <f t="shared" ca="1" si="0"/>
        <v>Sin fecha</v>
      </c>
      <c r="J6" s="11">
        <v>120</v>
      </c>
      <c r="K6" s="11">
        <v>8</v>
      </c>
      <c r="L6" s="12">
        <v>46023</v>
      </c>
      <c r="M6" t="s">
        <v>20</v>
      </c>
    </row>
    <row r="7" spans="1:13" ht="30" customHeight="1">
      <c r="A7" s="6" t="s">
        <v>24</v>
      </c>
      <c r="B7" s="7" t="s">
        <v>25</v>
      </c>
      <c r="C7" s="7" t="s">
        <v>26</v>
      </c>
      <c r="D7" s="6" t="s">
        <v>18</v>
      </c>
      <c r="E7" s="7" t="s">
        <v>19</v>
      </c>
      <c r="F7" s="8"/>
      <c r="G7" s="9">
        <f>IFERROR(VLOOKUP(D7,Listas!$A$2:$B$20,2,FALSE()),999)</f>
        <v>1</v>
      </c>
      <c r="H7" s="10" t="str">
        <f t="shared" ca="1" si="0"/>
        <v>Sin fecha</v>
      </c>
      <c r="J7" s="11">
        <v>120</v>
      </c>
      <c r="K7" s="11">
        <v>8</v>
      </c>
      <c r="L7" s="12">
        <v>46023</v>
      </c>
      <c r="M7" t="s">
        <v>20</v>
      </c>
    </row>
    <row r="8" spans="1:13" ht="30" customHeight="1">
      <c r="A8" s="6" t="s">
        <v>27</v>
      </c>
      <c r="B8" s="7" t="s">
        <v>28</v>
      </c>
      <c r="C8" s="7" t="s">
        <v>29</v>
      </c>
      <c r="D8" s="6" t="s">
        <v>18</v>
      </c>
      <c r="E8" s="7" t="s">
        <v>19</v>
      </c>
      <c r="F8" s="8"/>
      <c r="G8" s="9">
        <f>IFERROR(VLOOKUP(D8,Listas!$A$2:$B$20,2,FALSE()),999)</f>
        <v>1</v>
      </c>
      <c r="H8" s="10" t="str">
        <f t="shared" ca="1" si="0"/>
        <v>Sin fecha</v>
      </c>
      <c r="J8" s="11">
        <v>120</v>
      </c>
      <c r="K8" s="11">
        <v>8</v>
      </c>
      <c r="L8" s="12">
        <v>46023</v>
      </c>
      <c r="M8" t="s">
        <v>20</v>
      </c>
    </row>
    <row r="9" spans="1:13" ht="30" customHeight="1">
      <c r="A9" s="6" t="s">
        <v>30</v>
      </c>
      <c r="B9" s="7" t="s">
        <v>31</v>
      </c>
      <c r="C9" s="7" t="s">
        <v>32</v>
      </c>
      <c r="D9" s="6" t="s">
        <v>18</v>
      </c>
      <c r="E9" s="7" t="s">
        <v>19</v>
      </c>
      <c r="F9" s="8"/>
      <c r="G9" s="9">
        <f>IFERROR(VLOOKUP(D9,Listas!$A$2:$B$20,2,FALSE()),999)</f>
        <v>1</v>
      </c>
      <c r="H9" s="10" t="str">
        <f t="shared" ca="1" si="0"/>
        <v>Sin fecha</v>
      </c>
      <c r="J9" s="11">
        <v>120</v>
      </c>
      <c r="K9" s="11">
        <v>8</v>
      </c>
      <c r="L9" s="12">
        <v>46023</v>
      </c>
      <c r="M9" t="s">
        <v>20</v>
      </c>
    </row>
    <row r="10" spans="1:13" ht="30" customHeight="1">
      <c r="A10" s="6" t="s">
        <v>33</v>
      </c>
      <c r="B10" s="7" t="s">
        <v>34</v>
      </c>
      <c r="C10" s="7" t="s">
        <v>35</v>
      </c>
      <c r="D10" s="6" t="s">
        <v>18</v>
      </c>
      <c r="E10" s="7" t="s">
        <v>19</v>
      </c>
      <c r="F10" s="8"/>
      <c r="G10" s="9">
        <f>IFERROR(VLOOKUP(D10,Listas!$A$2:$B$20,2,FALSE()),999)</f>
        <v>1</v>
      </c>
      <c r="H10" s="10" t="str">
        <f t="shared" ca="1" si="0"/>
        <v>Sin fecha</v>
      </c>
      <c r="J10" s="11">
        <v>120</v>
      </c>
      <c r="K10" s="11">
        <v>120</v>
      </c>
      <c r="L10" s="12">
        <v>41090</v>
      </c>
      <c r="M10" t="s">
        <v>36</v>
      </c>
    </row>
    <row r="11" spans="1:13" ht="30" customHeight="1">
      <c r="A11" s="6" t="s">
        <v>37</v>
      </c>
      <c r="B11" s="7" t="s">
        <v>38</v>
      </c>
      <c r="C11" s="7" t="s">
        <v>39</v>
      </c>
      <c r="D11" s="6" t="s">
        <v>18</v>
      </c>
      <c r="E11" s="7" t="s">
        <v>40</v>
      </c>
      <c r="F11" s="8"/>
      <c r="G11" s="9">
        <f>IFERROR(VLOOKUP(D11,Listas!$A$2:$B$20,2,FALSE()),999)</f>
        <v>1</v>
      </c>
      <c r="H11" s="10" t="str">
        <f t="shared" ca="1" si="0"/>
        <v>Sin fecha</v>
      </c>
      <c r="J11" s="11">
        <v>1</v>
      </c>
      <c r="K11" s="11">
        <v>1</v>
      </c>
      <c r="L11" s="12">
        <v>42886</v>
      </c>
      <c r="M11" t="s">
        <v>36</v>
      </c>
    </row>
    <row r="12" spans="1:13" ht="30" customHeight="1">
      <c r="A12" s="6" t="s">
        <v>41</v>
      </c>
      <c r="B12" s="7" t="s">
        <v>38</v>
      </c>
      <c r="C12" s="7" t="s">
        <v>42</v>
      </c>
      <c r="D12" s="6" t="s">
        <v>18</v>
      </c>
      <c r="E12" s="7" t="s">
        <v>40</v>
      </c>
      <c r="F12" s="8"/>
      <c r="G12" s="9">
        <f>IFERROR(VLOOKUP(D12,Listas!$A$2:$B$20,2,FALSE()),999)</f>
        <v>1</v>
      </c>
      <c r="H12" s="10" t="str">
        <f t="shared" ca="1" si="0"/>
        <v>Sin fecha</v>
      </c>
      <c r="J12" s="11">
        <v>1</v>
      </c>
      <c r="K12" s="11">
        <v>1</v>
      </c>
      <c r="L12" s="12">
        <v>42886</v>
      </c>
      <c r="M12" t="s">
        <v>36</v>
      </c>
    </row>
    <row r="13" spans="1:13" ht="30" customHeight="1">
      <c r="A13" s="6" t="s">
        <v>43</v>
      </c>
      <c r="B13" s="7" t="s">
        <v>38</v>
      </c>
      <c r="C13" s="7" t="s">
        <v>42</v>
      </c>
      <c r="D13" s="6" t="s">
        <v>18</v>
      </c>
      <c r="E13" s="7" t="s">
        <v>40</v>
      </c>
      <c r="F13" s="8"/>
      <c r="G13" s="9">
        <f>IFERROR(VLOOKUP(D13,Listas!$A$2:$B$20,2,FALSE()),999)</f>
        <v>1</v>
      </c>
      <c r="H13" s="10" t="str">
        <f t="shared" ca="1" si="0"/>
        <v>Sin fecha</v>
      </c>
      <c r="J13" s="11">
        <v>1</v>
      </c>
      <c r="K13" s="11">
        <v>1</v>
      </c>
      <c r="L13" s="12">
        <v>42886</v>
      </c>
      <c r="M13" t="s">
        <v>36</v>
      </c>
    </row>
    <row r="14" spans="1:13" ht="30" customHeight="1">
      <c r="A14" s="6" t="s">
        <v>44</v>
      </c>
      <c r="B14" s="7" t="s">
        <v>38</v>
      </c>
      <c r="C14" s="7" t="s">
        <v>45</v>
      </c>
      <c r="D14" s="6" t="s">
        <v>18</v>
      </c>
      <c r="E14" s="7" t="s">
        <v>40</v>
      </c>
      <c r="F14" s="8"/>
      <c r="G14" s="9">
        <f>IFERROR(VLOOKUP(D14,Listas!$A$2:$B$20,2,FALSE()),999)</f>
        <v>1</v>
      </c>
      <c r="H14" s="10" t="str">
        <f t="shared" ca="1" si="0"/>
        <v>Sin fecha</v>
      </c>
      <c r="J14" s="11">
        <v>1</v>
      </c>
      <c r="K14" s="11">
        <v>1</v>
      </c>
      <c r="L14" s="12">
        <v>42886</v>
      </c>
      <c r="M14" t="s">
        <v>36</v>
      </c>
    </row>
    <row r="15" spans="1:13" ht="30" customHeight="1">
      <c r="A15" s="6" t="s">
        <v>46</v>
      </c>
      <c r="B15" s="7" t="s">
        <v>38</v>
      </c>
      <c r="C15" s="7" t="s">
        <v>42</v>
      </c>
      <c r="D15" s="6" t="s">
        <v>18</v>
      </c>
      <c r="E15" s="7" t="s">
        <v>40</v>
      </c>
      <c r="F15" s="8"/>
      <c r="G15" s="9">
        <f>IFERROR(VLOOKUP(D15,Listas!$A$2:$B$20,2,FALSE()),999)</f>
        <v>1</v>
      </c>
      <c r="H15" s="10" t="str">
        <f t="shared" ca="1" si="0"/>
        <v>Sin fecha</v>
      </c>
      <c r="J15" s="11">
        <v>1</v>
      </c>
      <c r="K15" s="11">
        <v>1</v>
      </c>
      <c r="L15" s="12">
        <v>42886</v>
      </c>
      <c r="M15" t="s">
        <v>36</v>
      </c>
    </row>
    <row r="16" spans="1:13" ht="30" customHeight="1">
      <c r="A16" s="6" t="s">
        <v>47</v>
      </c>
      <c r="B16" s="7" t="s">
        <v>38</v>
      </c>
      <c r="C16" s="7" t="s">
        <v>42</v>
      </c>
      <c r="D16" s="6" t="s">
        <v>18</v>
      </c>
      <c r="E16" s="7" t="s">
        <v>40</v>
      </c>
      <c r="F16" s="8"/>
      <c r="G16" s="9">
        <f>IFERROR(VLOOKUP(D16,Listas!$A$2:$B$20,2,FALSE()),999)</f>
        <v>1</v>
      </c>
      <c r="H16" s="10" t="str">
        <f t="shared" ca="1" si="0"/>
        <v>Sin fecha</v>
      </c>
      <c r="J16" s="11">
        <v>1</v>
      </c>
      <c r="K16" s="11">
        <v>1</v>
      </c>
      <c r="L16" s="12">
        <v>42886</v>
      </c>
      <c r="M16" t="s">
        <v>36</v>
      </c>
    </row>
    <row r="17" spans="1:13" ht="30" customHeight="1">
      <c r="A17" s="6" t="s">
        <v>48</v>
      </c>
      <c r="B17" s="7" t="s">
        <v>38</v>
      </c>
      <c r="C17" s="7" t="s">
        <v>42</v>
      </c>
      <c r="D17" s="6" t="s">
        <v>18</v>
      </c>
      <c r="E17" s="7" t="s">
        <v>40</v>
      </c>
      <c r="F17" s="8"/>
      <c r="G17" s="9">
        <f>IFERROR(VLOOKUP(D17,Listas!$A$2:$B$20,2,FALSE()),999)</f>
        <v>1</v>
      </c>
      <c r="H17" s="10" t="str">
        <f t="shared" ca="1" si="0"/>
        <v>Sin fecha</v>
      </c>
      <c r="J17" s="11">
        <v>1</v>
      </c>
      <c r="K17" s="11">
        <v>1</v>
      </c>
      <c r="L17" s="12">
        <v>42886</v>
      </c>
      <c r="M17" t="s">
        <v>36</v>
      </c>
    </row>
    <row r="18" spans="1:13" ht="30" customHeight="1">
      <c r="A18" s="6" t="s">
        <v>49</v>
      </c>
      <c r="B18" s="7" t="s">
        <v>38</v>
      </c>
      <c r="C18" s="7" t="s">
        <v>42</v>
      </c>
      <c r="D18" s="6" t="s">
        <v>18</v>
      </c>
      <c r="E18" s="7" t="s">
        <v>40</v>
      </c>
      <c r="F18" s="8"/>
      <c r="G18" s="9">
        <f>IFERROR(VLOOKUP(D18,Listas!$A$2:$B$20,2,FALSE()),999)</f>
        <v>1</v>
      </c>
      <c r="H18" s="10" t="str">
        <f t="shared" ca="1" si="0"/>
        <v>Sin fecha</v>
      </c>
      <c r="J18" s="11">
        <v>1</v>
      </c>
      <c r="K18" s="11">
        <v>1</v>
      </c>
      <c r="L18" s="12">
        <v>42886</v>
      </c>
      <c r="M18" t="s">
        <v>36</v>
      </c>
    </row>
    <row r="19" spans="1:13" ht="30" customHeight="1">
      <c r="A19" s="6" t="s">
        <v>50</v>
      </c>
      <c r="B19" s="7" t="s">
        <v>38</v>
      </c>
      <c r="C19" s="7" t="s">
        <v>42</v>
      </c>
      <c r="D19" s="6" t="s">
        <v>18</v>
      </c>
      <c r="E19" s="7" t="s">
        <v>40</v>
      </c>
      <c r="F19" s="8"/>
      <c r="G19" s="9">
        <f>IFERROR(VLOOKUP(D19,Listas!$A$2:$B$20,2,FALSE()),999)</f>
        <v>1</v>
      </c>
      <c r="H19" s="10" t="str">
        <f t="shared" ca="1" si="0"/>
        <v>Sin fecha</v>
      </c>
      <c r="J19" s="11">
        <v>1</v>
      </c>
      <c r="K19" s="11">
        <v>1</v>
      </c>
      <c r="L19" s="12">
        <v>42886</v>
      </c>
      <c r="M19" t="s">
        <v>36</v>
      </c>
    </row>
    <row r="20" spans="1:13" ht="30" customHeight="1">
      <c r="A20" s="6" t="s">
        <v>51</v>
      </c>
      <c r="B20" s="7" t="s">
        <v>38</v>
      </c>
      <c r="C20" s="7" t="s">
        <v>42</v>
      </c>
      <c r="D20" s="6" t="s">
        <v>18</v>
      </c>
      <c r="E20" s="7" t="s">
        <v>40</v>
      </c>
      <c r="F20" s="8"/>
      <c r="G20" s="9">
        <f>IFERROR(VLOOKUP(D20,Listas!$A$2:$B$20,2,FALSE()),999)</f>
        <v>1</v>
      </c>
      <c r="H20" s="10" t="str">
        <f t="shared" ca="1" si="0"/>
        <v>Sin fecha</v>
      </c>
      <c r="J20" s="11">
        <v>1</v>
      </c>
      <c r="K20" s="11">
        <v>1</v>
      </c>
      <c r="L20" s="12">
        <v>42886</v>
      </c>
      <c r="M20" t="s">
        <v>36</v>
      </c>
    </row>
    <row r="21" spans="1:13" ht="30" customHeight="1">
      <c r="A21" s="6" t="s">
        <v>52</v>
      </c>
      <c r="B21" s="7" t="s">
        <v>53</v>
      </c>
      <c r="C21" s="7" t="s">
        <v>54</v>
      </c>
      <c r="D21" s="6" t="s">
        <v>18</v>
      </c>
      <c r="E21" s="7" t="s">
        <v>40</v>
      </c>
      <c r="F21" s="8"/>
      <c r="G21" s="9">
        <f>IFERROR(VLOOKUP(D21,Listas!$A$2:$B$20,2,FALSE()),999)</f>
        <v>1</v>
      </c>
      <c r="H21" s="10" t="str">
        <f t="shared" ca="1" si="0"/>
        <v>Sin fecha</v>
      </c>
      <c r="J21" s="11">
        <v>120</v>
      </c>
      <c r="K21" s="11">
        <v>120</v>
      </c>
      <c r="L21" s="12">
        <v>39263</v>
      </c>
      <c r="M21" t="s">
        <v>36</v>
      </c>
    </row>
    <row r="22" spans="1:13" ht="30" customHeight="1">
      <c r="A22" s="6" t="s">
        <v>55</v>
      </c>
      <c r="B22" s="7" t="s">
        <v>56</v>
      </c>
      <c r="C22" s="7" t="s">
        <v>57</v>
      </c>
      <c r="D22" s="6" t="s">
        <v>18</v>
      </c>
      <c r="E22" s="7" t="s">
        <v>40</v>
      </c>
      <c r="F22" s="8"/>
      <c r="G22" s="9">
        <f>IFERROR(VLOOKUP(D22,Listas!$A$2:$B$20,2,FALSE()),999)</f>
        <v>1</v>
      </c>
      <c r="H22" s="10" t="str">
        <f t="shared" ca="1" si="0"/>
        <v>Sin fecha</v>
      </c>
      <c r="J22" s="11">
        <v>120</v>
      </c>
      <c r="K22" s="11">
        <v>120</v>
      </c>
      <c r="L22" s="12">
        <v>39844</v>
      </c>
      <c r="M22" t="s">
        <v>36</v>
      </c>
    </row>
    <row r="23" spans="1:13" ht="30" customHeight="1">
      <c r="A23" s="6" t="s">
        <v>58</v>
      </c>
      <c r="B23" s="7" t="s">
        <v>59</v>
      </c>
      <c r="C23" s="7" t="s">
        <v>60</v>
      </c>
      <c r="D23" s="6" t="s">
        <v>18</v>
      </c>
      <c r="E23" s="7" t="s">
        <v>40</v>
      </c>
      <c r="F23" s="8"/>
      <c r="G23" s="9">
        <f>IFERROR(VLOOKUP(D23,Listas!$A$2:$B$20,2,FALSE()),999)</f>
        <v>1</v>
      </c>
      <c r="H23" s="10" t="str">
        <f t="shared" ca="1" si="0"/>
        <v>Sin fecha</v>
      </c>
      <c r="J23" s="11">
        <v>120</v>
      </c>
      <c r="K23" s="11">
        <v>120</v>
      </c>
      <c r="L23" s="12">
        <v>41090</v>
      </c>
      <c r="M23" t="s">
        <v>36</v>
      </c>
    </row>
    <row r="24" spans="1:13" ht="30" customHeight="1">
      <c r="A24" s="6" t="s">
        <v>61</v>
      </c>
      <c r="B24" s="7" t="s">
        <v>62</v>
      </c>
      <c r="C24" s="7" t="s">
        <v>63</v>
      </c>
      <c r="D24" s="6" t="s">
        <v>18</v>
      </c>
      <c r="E24" s="7" t="s">
        <v>40</v>
      </c>
      <c r="F24" s="8"/>
      <c r="G24" s="9">
        <f>IFERROR(VLOOKUP(D24,Listas!$A$2:$B$20,2,FALSE()),999)</f>
        <v>1</v>
      </c>
      <c r="H24" s="10" t="str">
        <f t="shared" ca="1" si="0"/>
        <v>Sin fecha</v>
      </c>
      <c r="J24" s="11">
        <v>120</v>
      </c>
      <c r="K24" s="11">
        <v>120</v>
      </c>
      <c r="L24" s="12">
        <v>41090</v>
      </c>
      <c r="M24" t="s">
        <v>36</v>
      </c>
    </row>
    <row r="25" spans="1:13" ht="30" customHeight="1">
      <c r="A25" s="6" t="s">
        <v>64</v>
      </c>
      <c r="B25" s="7" t="s">
        <v>65</v>
      </c>
      <c r="C25" s="7" t="s">
        <v>66</v>
      </c>
      <c r="D25" s="6" t="s">
        <v>18</v>
      </c>
      <c r="E25" s="7" t="s">
        <v>40</v>
      </c>
      <c r="F25" s="8"/>
      <c r="G25" s="9">
        <f>IFERROR(VLOOKUP(D25,Listas!$A$2:$B$20,2,FALSE()),999)</f>
        <v>1</v>
      </c>
      <c r="H25" s="10" t="str">
        <f t="shared" ca="1" si="0"/>
        <v>Sin fecha</v>
      </c>
      <c r="J25" s="11">
        <v>120</v>
      </c>
      <c r="K25" s="11">
        <v>120</v>
      </c>
      <c r="L25" s="12">
        <v>39263</v>
      </c>
      <c r="M25" t="s">
        <v>36</v>
      </c>
    </row>
    <row r="26" spans="1:13" ht="30" customHeight="1">
      <c r="A26" s="6" t="s">
        <v>67</v>
      </c>
      <c r="B26" s="7" t="s">
        <v>65</v>
      </c>
      <c r="C26" s="7" t="s">
        <v>66</v>
      </c>
      <c r="D26" s="6" t="s">
        <v>18</v>
      </c>
      <c r="E26" s="7" t="s">
        <v>40</v>
      </c>
      <c r="F26" s="8"/>
      <c r="G26" s="9">
        <f>IFERROR(VLOOKUP(D26,Listas!$A$2:$B$20,2,FALSE()),999)</f>
        <v>1</v>
      </c>
      <c r="H26" s="10" t="str">
        <f t="shared" ca="1" si="0"/>
        <v>Sin fecha</v>
      </c>
      <c r="J26" s="11">
        <v>120</v>
      </c>
      <c r="K26" s="11">
        <v>120</v>
      </c>
      <c r="L26" s="12">
        <v>41090</v>
      </c>
      <c r="M26" t="s">
        <v>36</v>
      </c>
    </row>
    <row r="27" spans="1:13" ht="30" customHeight="1">
      <c r="A27" s="6" t="s">
        <v>68</v>
      </c>
      <c r="B27" s="7" t="s">
        <v>65</v>
      </c>
      <c r="C27" s="7" t="s">
        <v>66</v>
      </c>
      <c r="D27" s="6" t="s">
        <v>18</v>
      </c>
      <c r="E27" s="7" t="s">
        <v>40</v>
      </c>
      <c r="F27" s="8"/>
      <c r="G27" s="9">
        <f>IFERROR(VLOOKUP(D27,Listas!$A$2:$B$20,2,FALSE()),999)</f>
        <v>1</v>
      </c>
      <c r="H27" s="10" t="str">
        <f t="shared" ca="1" si="0"/>
        <v>Sin fecha</v>
      </c>
      <c r="J27" s="11">
        <v>120</v>
      </c>
      <c r="K27" s="11">
        <v>120</v>
      </c>
      <c r="L27" s="12">
        <v>41090</v>
      </c>
      <c r="M27" t="s">
        <v>36</v>
      </c>
    </row>
    <row r="28" spans="1:13" ht="30" customHeight="1">
      <c r="A28" s="6" t="s">
        <v>69</v>
      </c>
      <c r="B28" s="7" t="s">
        <v>70</v>
      </c>
      <c r="C28" s="7" t="s">
        <v>71</v>
      </c>
      <c r="D28" s="6" t="s">
        <v>18</v>
      </c>
      <c r="E28" s="7" t="s">
        <v>40</v>
      </c>
      <c r="F28" s="8"/>
      <c r="G28" s="9">
        <f>IFERROR(VLOOKUP(D28,Listas!$A$2:$B$20,2,FALSE()),999)</f>
        <v>1</v>
      </c>
      <c r="H28" s="10" t="str">
        <f t="shared" ca="1" si="0"/>
        <v>Sin fecha</v>
      </c>
      <c r="J28" s="11">
        <v>120</v>
      </c>
      <c r="K28" s="11">
        <v>120</v>
      </c>
      <c r="L28" s="12">
        <v>41090</v>
      </c>
      <c r="M28" t="s">
        <v>36</v>
      </c>
    </row>
    <row r="29" spans="1:13" ht="30" customHeight="1">
      <c r="A29" s="6" t="s">
        <v>72</v>
      </c>
      <c r="B29" s="7" t="s">
        <v>73</v>
      </c>
      <c r="C29" s="7" t="s">
        <v>74</v>
      </c>
      <c r="D29" s="6" t="s">
        <v>18</v>
      </c>
      <c r="E29" s="7" t="s">
        <v>40</v>
      </c>
      <c r="F29" s="8"/>
      <c r="G29" s="9">
        <f>IFERROR(VLOOKUP(D29,Listas!$A$2:$B$20,2,FALSE()),999)</f>
        <v>1</v>
      </c>
      <c r="H29" s="10" t="str">
        <f t="shared" ca="1" si="0"/>
        <v>Sin fecha</v>
      </c>
      <c r="J29" s="11">
        <v>120</v>
      </c>
      <c r="K29" s="11">
        <v>120</v>
      </c>
      <c r="L29" s="12">
        <v>41090</v>
      </c>
      <c r="M29" t="s">
        <v>36</v>
      </c>
    </row>
    <row r="30" spans="1:13" ht="30" customHeight="1">
      <c r="A30" s="6" t="s">
        <v>75</v>
      </c>
      <c r="B30" s="7" t="s">
        <v>76</v>
      </c>
      <c r="C30" s="7" t="s">
        <v>77</v>
      </c>
      <c r="D30" s="6" t="s">
        <v>18</v>
      </c>
      <c r="E30" s="7" t="s">
        <v>40</v>
      </c>
      <c r="F30" s="8"/>
      <c r="G30" s="9">
        <f>IFERROR(VLOOKUP(D30,Listas!$A$2:$B$20,2,FALSE()),999)</f>
        <v>1</v>
      </c>
      <c r="H30" s="10" t="str">
        <f t="shared" ca="1" si="0"/>
        <v>Sin fecha</v>
      </c>
      <c r="J30" s="11">
        <v>120</v>
      </c>
      <c r="K30" s="11">
        <v>120</v>
      </c>
      <c r="L30" s="12">
        <v>39263</v>
      </c>
      <c r="M30" t="s">
        <v>36</v>
      </c>
    </row>
    <row r="31" spans="1:13" ht="30" customHeight="1">
      <c r="A31" s="6" t="s">
        <v>78</v>
      </c>
      <c r="B31" s="7" t="s">
        <v>79</v>
      </c>
      <c r="C31" s="7" t="s">
        <v>80</v>
      </c>
      <c r="D31" s="6" t="s">
        <v>18</v>
      </c>
      <c r="E31" s="7" t="s">
        <v>40</v>
      </c>
      <c r="F31" s="8"/>
      <c r="G31" s="9">
        <f>IFERROR(VLOOKUP(D31,Listas!$A$2:$B$20,2,FALSE()),999)</f>
        <v>1</v>
      </c>
      <c r="H31" s="10" t="str">
        <f t="shared" ca="1" si="0"/>
        <v>Sin fecha</v>
      </c>
      <c r="J31" s="11">
        <v>120</v>
      </c>
      <c r="K31" s="11">
        <v>120</v>
      </c>
      <c r="L31" s="12">
        <v>40999</v>
      </c>
      <c r="M31" t="s">
        <v>36</v>
      </c>
    </row>
    <row r="32" spans="1:13" ht="30" customHeight="1">
      <c r="A32" s="6" t="s">
        <v>81</v>
      </c>
      <c r="B32" s="7" t="s">
        <v>82</v>
      </c>
      <c r="C32" s="7" t="s">
        <v>83</v>
      </c>
      <c r="D32" s="6" t="s">
        <v>18</v>
      </c>
      <c r="E32" s="7" t="s">
        <v>40</v>
      </c>
      <c r="F32" s="8"/>
      <c r="G32" s="9">
        <f>IFERROR(VLOOKUP(D32,Listas!$A$2:$B$20,2,FALSE()),999)</f>
        <v>1</v>
      </c>
      <c r="H32" s="10" t="str">
        <f t="shared" ca="1" si="0"/>
        <v>Sin fecha</v>
      </c>
      <c r="J32" s="11">
        <v>120</v>
      </c>
      <c r="K32" s="11">
        <v>120</v>
      </c>
      <c r="L32" s="12">
        <v>41090</v>
      </c>
      <c r="M32" t="s">
        <v>36</v>
      </c>
    </row>
    <row r="33" spans="1:13" ht="30" customHeight="1">
      <c r="A33" s="6" t="s">
        <v>84</v>
      </c>
      <c r="B33" s="7" t="s">
        <v>85</v>
      </c>
      <c r="C33" s="7" t="s">
        <v>86</v>
      </c>
      <c r="D33" s="6" t="s">
        <v>18</v>
      </c>
      <c r="E33" s="7" t="s">
        <v>40</v>
      </c>
      <c r="F33" s="8"/>
      <c r="G33" s="9">
        <f>IFERROR(VLOOKUP(D33,Listas!$A$2:$B$20,2,FALSE()),999)</f>
        <v>1</v>
      </c>
      <c r="H33" s="10" t="str">
        <f t="shared" ca="1" si="0"/>
        <v>Sin fecha</v>
      </c>
      <c r="J33" s="11">
        <v>1</v>
      </c>
      <c r="K33" s="11">
        <v>1</v>
      </c>
      <c r="L33" s="12">
        <v>42886</v>
      </c>
      <c r="M33" t="s">
        <v>36</v>
      </c>
    </row>
    <row r="34" spans="1:13" ht="30" customHeight="1">
      <c r="A34" s="6" t="s">
        <v>87</v>
      </c>
      <c r="B34" s="7" t="s">
        <v>85</v>
      </c>
      <c r="C34" s="7" t="s">
        <v>86</v>
      </c>
      <c r="D34" s="6" t="s">
        <v>18</v>
      </c>
      <c r="E34" s="7" t="s">
        <v>40</v>
      </c>
      <c r="F34" s="8"/>
      <c r="G34" s="9">
        <f>IFERROR(VLOOKUP(D34,Listas!$A$2:$B$20,2,FALSE()),999)</f>
        <v>1</v>
      </c>
      <c r="H34" s="10" t="str">
        <f t="shared" ca="1" si="0"/>
        <v>Sin fecha</v>
      </c>
      <c r="J34" s="11">
        <v>1</v>
      </c>
      <c r="K34" s="11">
        <v>1</v>
      </c>
      <c r="L34" s="12">
        <v>42886</v>
      </c>
      <c r="M34" t="s">
        <v>36</v>
      </c>
    </row>
    <row r="35" spans="1:13" ht="30" customHeight="1">
      <c r="A35" s="6" t="s">
        <v>88</v>
      </c>
      <c r="B35" s="7" t="s">
        <v>89</v>
      </c>
      <c r="C35" s="7" t="s">
        <v>90</v>
      </c>
      <c r="D35" s="6" t="s">
        <v>18</v>
      </c>
      <c r="E35" s="7" t="s">
        <v>40</v>
      </c>
      <c r="F35" s="8"/>
      <c r="G35" s="9">
        <f>IFERROR(VLOOKUP(D35,Listas!$A$2:$B$20,2,FALSE()),999)</f>
        <v>1</v>
      </c>
      <c r="H35" s="10" t="str">
        <f t="shared" ca="1" si="0"/>
        <v>Sin fecha</v>
      </c>
      <c r="J35" s="11">
        <v>120</v>
      </c>
      <c r="K35" s="11">
        <v>120</v>
      </c>
      <c r="L35" s="12">
        <v>39752</v>
      </c>
      <c r="M35" t="s">
        <v>36</v>
      </c>
    </row>
    <row r="36" spans="1:13" ht="30" customHeight="1">
      <c r="A36" s="6" t="s">
        <v>91</v>
      </c>
      <c r="B36" s="7" t="s">
        <v>92</v>
      </c>
      <c r="C36" s="7" t="s">
        <v>93</v>
      </c>
      <c r="D36" s="6" t="s">
        <v>18</v>
      </c>
      <c r="E36" s="7" t="s">
        <v>40</v>
      </c>
      <c r="F36" s="8"/>
      <c r="G36" s="9">
        <f>IFERROR(VLOOKUP(D36,Listas!$A$2:$B$20,2,FALSE()),999)</f>
        <v>1</v>
      </c>
      <c r="H36" s="10" t="str">
        <f t="shared" ca="1" si="0"/>
        <v>Sin fecha</v>
      </c>
      <c r="J36" s="11">
        <v>120</v>
      </c>
      <c r="K36" s="11">
        <v>120</v>
      </c>
      <c r="L36" s="12">
        <v>40178</v>
      </c>
      <c r="M36" t="s">
        <v>36</v>
      </c>
    </row>
    <row r="37" spans="1:13" ht="30" customHeight="1">
      <c r="A37" s="6" t="s">
        <v>94</v>
      </c>
      <c r="B37" s="7" t="s">
        <v>95</v>
      </c>
      <c r="C37" s="7" t="s">
        <v>96</v>
      </c>
      <c r="D37" s="6" t="s">
        <v>18</v>
      </c>
      <c r="E37" s="7" t="s">
        <v>40</v>
      </c>
      <c r="F37" s="8"/>
      <c r="G37" s="9">
        <f>IFERROR(VLOOKUP(D37,Listas!$A$2:$B$20,2,FALSE()),999)</f>
        <v>1</v>
      </c>
      <c r="H37" s="10" t="str">
        <f t="shared" ca="1" si="0"/>
        <v>Sin fecha</v>
      </c>
      <c r="J37" s="11">
        <v>120</v>
      </c>
      <c r="K37" s="11">
        <v>120</v>
      </c>
      <c r="L37" s="12">
        <v>39752</v>
      </c>
      <c r="M37" t="s">
        <v>36</v>
      </c>
    </row>
    <row r="38" spans="1:13" ht="30" customHeight="1">
      <c r="A38" s="6" t="s">
        <v>97</v>
      </c>
      <c r="B38" s="7" t="s">
        <v>98</v>
      </c>
      <c r="C38" s="7" t="s">
        <v>99</v>
      </c>
      <c r="D38" s="6" t="s">
        <v>18</v>
      </c>
      <c r="E38" s="7" t="s">
        <v>40</v>
      </c>
      <c r="F38" s="8"/>
      <c r="G38" s="9">
        <f>IFERROR(VLOOKUP(D38,Listas!$A$2:$B$20,2,FALSE()),999)</f>
        <v>1</v>
      </c>
      <c r="H38" s="10" t="str">
        <f t="shared" ca="1" si="0"/>
        <v>Sin fecha</v>
      </c>
      <c r="J38" s="11">
        <v>120</v>
      </c>
      <c r="K38" s="11">
        <v>120</v>
      </c>
      <c r="L38" s="12">
        <v>42308</v>
      </c>
      <c r="M38" t="s">
        <v>36</v>
      </c>
    </row>
    <row r="39" spans="1:13" ht="30" customHeight="1">
      <c r="A39" s="6" t="s">
        <v>100</v>
      </c>
      <c r="B39" s="7" t="s">
        <v>98</v>
      </c>
      <c r="C39" s="7" t="s">
        <v>101</v>
      </c>
      <c r="D39" s="6" t="s">
        <v>18</v>
      </c>
      <c r="E39" s="7" t="s">
        <v>40</v>
      </c>
      <c r="F39" s="8"/>
      <c r="G39" s="9">
        <f>IFERROR(VLOOKUP(D39,Listas!$A$2:$B$20,2,FALSE()),999)</f>
        <v>1</v>
      </c>
      <c r="H39" s="10" t="str">
        <f t="shared" ca="1" si="0"/>
        <v>Sin fecha</v>
      </c>
      <c r="J39" s="11">
        <v>120</v>
      </c>
      <c r="K39" s="11">
        <v>120</v>
      </c>
      <c r="L39" s="12">
        <v>41973</v>
      </c>
      <c r="M39" t="s">
        <v>36</v>
      </c>
    </row>
    <row r="40" spans="1:13" ht="30" customHeight="1">
      <c r="A40" s="6" t="s">
        <v>102</v>
      </c>
      <c r="B40" s="7" t="s">
        <v>103</v>
      </c>
      <c r="C40" s="7" t="s">
        <v>104</v>
      </c>
      <c r="D40" s="6" t="s">
        <v>18</v>
      </c>
      <c r="E40" s="7" t="s">
        <v>40</v>
      </c>
      <c r="F40" s="8"/>
      <c r="G40" s="9">
        <f>IFERROR(VLOOKUP(D40,Listas!$A$2:$B$20,2,FALSE()),999)</f>
        <v>1</v>
      </c>
      <c r="H40" s="10" t="str">
        <f t="shared" ca="1" si="0"/>
        <v>Sin fecha</v>
      </c>
      <c r="J40" s="11">
        <v>120</v>
      </c>
      <c r="K40" s="11">
        <v>120</v>
      </c>
      <c r="L40" s="12">
        <v>41090</v>
      </c>
      <c r="M40" t="s">
        <v>36</v>
      </c>
    </row>
    <row r="41" spans="1:13" ht="30" customHeight="1">
      <c r="A41" s="6" t="s">
        <v>105</v>
      </c>
      <c r="B41" s="7" t="s">
        <v>106</v>
      </c>
      <c r="C41" s="7" t="s">
        <v>107</v>
      </c>
      <c r="D41" s="6" t="s">
        <v>18</v>
      </c>
      <c r="E41" s="7" t="s">
        <v>40</v>
      </c>
      <c r="F41" s="8"/>
      <c r="G41" s="9">
        <f>IFERROR(VLOOKUP(D41,Listas!$A$2:$B$20,2,FALSE()),999)</f>
        <v>1</v>
      </c>
      <c r="H41" s="10" t="str">
        <f t="shared" ca="1" si="0"/>
        <v>Sin fecha</v>
      </c>
      <c r="J41" s="11">
        <v>120</v>
      </c>
      <c r="K41" s="11">
        <v>120</v>
      </c>
      <c r="L41" s="12">
        <v>41090</v>
      </c>
      <c r="M41" t="s">
        <v>36</v>
      </c>
    </row>
    <row r="42" spans="1:13" ht="30" customHeight="1">
      <c r="A42" s="6" t="s">
        <v>108</v>
      </c>
      <c r="B42" s="7" t="s">
        <v>109</v>
      </c>
      <c r="C42" s="7" t="s">
        <v>110</v>
      </c>
      <c r="D42" s="6" t="s">
        <v>18</v>
      </c>
      <c r="E42" s="7" t="s">
        <v>111</v>
      </c>
      <c r="F42" s="8"/>
      <c r="G42" s="9">
        <f>IFERROR(VLOOKUP(D42,Listas!$A$2:$B$20,2,FALSE()),999)</f>
        <v>1</v>
      </c>
      <c r="H42" s="10" t="str">
        <f t="shared" ca="1" si="0"/>
        <v>Sin fecha</v>
      </c>
      <c r="J42" s="11">
        <v>120</v>
      </c>
      <c r="K42" s="11">
        <v>56</v>
      </c>
      <c r="L42" s="12">
        <v>44562</v>
      </c>
      <c r="M42" t="s">
        <v>20</v>
      </c>
    </row>
    <row r="43" spans="1:13" ht="30" customHeight="1">
      <c r="A43" s="6" t="s">
        <v>112</v>
      </c>
      <c r="B43" s="7" t="s">
        <v>113</v>
      </c>
      <c r="C43" s="7" t="s">
        <v>114</v>
      </c>
      <c r="D43" s="6" t="s">
        <v>18</v>
      </c>
      <c r="E43" s="7" t="s">
        <v>115</v>
      </c>
      <c r="F43" s="8"/>
      <c r="G43" s="9">
        <f>IFERROR(VLOOKUP(D43,Listas!$A$2:$B$20,2,FALSE()),999)</f>
        <v>1</v>
      </c>
      <c r="H43" s="10" t="str">
        <f t="shared" ca="1" si="0"/>
        <v>Sin fecha</v>
      </c>
      <c r="J43" s="11">
        <v>120</v>
      </c>
      <c r="K43" s="11">
        <v>60</v>
      </c>
      <c r="L43" s="12">
        <v>44440</v>
      </c>
      <c r="M43" t="s">
        <v>20</v>
      </c>
    </row>
    <row r="44" spans="1:13" ht="30" customHeight="1">
      <c r="A44" s="6" t="s">
        <v>116</v>
      </c>
      <c r="B44" s="7" t="s">
        <v>117</v>
      </c>
      <c r="C44" s="7" t="s">
        <v>118</v>
      </c>
      <c r="D44" s="6" t="s">
        <v>18</v>
      </c>
      <c r="E44" s="7" t="s">
        <v>115</v>
      </c>
      <c r="F44" s="13">
        <v>46244</v>
      </c>
      <c r="G44" s="9">
        <f>IFERROR(VLOOKUP(D44,Listas!$A$2:$B$20,2,FALSE()),999)</f>
        <v>1</v>
      </c>
      <c r="H44" s="10" t="str">
        <f t="shared" ca="1" si="0"/>
        <v>Vigente</v>
      </c>
      <c r="J44" s="11">
        <v>120</v>
      </c>
      <c r="K44" s="11">
        <v>120</v>
      </c>
      <c r="L44" s="12">
        <v>41090</v>
      </c>
      <c r="M44" t="s">
        <v>36</v>
      </c>
    </row>
    <row r="45" spans="1:13" ht="30" customHeight="1">
      <c r="A45" s="6" t="s">
        <v>119</v>
      </c>
      <c r="B45" s="7" t="s">
        <v>120</v>
      </c>
      <c r="C45" s="7" t="s">
        <v>121</v>
      </c>
      <c r="D45" s="6" t="s">
        <v>18</v>
      </c>
      <c r="E45" s="7" t="s">
        <v>115</v>
      </c>
      <c r="F45" s="8"/>
      <c r="G45" s="9">
        <f>IFERROR(VLOOKUP(D45,Listas!$A$2:$B$20,2,FALSE()),999)</f>
        <v>1</v>
      </c>
      <c r="H45" s="10" t="str">
        <f t="shared" ca="1" si="0"/>
        <v>Sin fecha</v>
      </c>
      <c r="J45" s="11">
        <v>120</v>
      </c>
      <c r="K45" s="11">
        <v>120</v>
      </c>
      <c r="L45" s="12">
        <v>41090</v>
      </c>
      <c r="M45" t="s">
        <v>36</v>
      </c>
    </row>
    <row r="46" spans="1:13" ht="30" customHeight="1">
      <c r="A46" s="6" t="s">
        <v>122</v>
      </c>
      <c r="B46" s="7" t="s">
        <v>123</v>
      </c>
      <c r="C46" s="7" t="s">
        <v>124</v>
      </c>
      <c r="D46" s="6" t="s">
        <v>18</v>
      </c>
      <c r="E46" s="7" t="s">
        <v>115</v>
      </c>
      <c r="F46" s="8"/>
      <c r="G46" s="9">
        <f>IFERROR(VLOOKUP(D46,Listas!$A$2:$B$20,2,FALSE()),999)</f>
        <v>1</v>
      </c>
      <c r="H46" s="10" t="str">
        <f t="shared" ca="1" si="0"/>
        <v>Sin fecha</v>
      </c>
      <c r="J46" s="11">
        <v>120</v>
      </c>
      <c r="K46" s="11">
        <v>120</v>
      </c>
      <c r="L46" s="12">
        <v>41090</v>
      </c>
      <c r="M46" t="s">
        <v>36</v>
      </c>
    </row>
    <row r="47" spans="1:13" ht="30" customHeight="1">
      <c r="A47" s="6" t="s">
        <v>125</v>
      </c>
      <c r="B47" s="7" t="s">
        <v>126</v>
      </c>
      <c r="C47" s="7" t="s">
        <v>127</v>
      </c>
      <c r="D47" s="6" t="s">
        <v>18</v>
      </c>
      <c r="E47" s="7" t="s">
        <v>115</v>
      </c>
      <c r="F47" s="8"/>
      <c r="G47" s="9">
        <f>IFERROR(VLOOKUP(D47,Listas!$A$2:$B$20,2,FALSE()),999)</f>
        <v>1</v>
      </c>
      <c r="H47" s="10" t="str">
        <f t="shared" ca="1" si="0"/>
        <v>Sin fecha</v>
      </c>
      <c r="J47" s="11">
        <v>120</v>
      </c>
      <c r="K47" s="11">
        <v>85</v>
      </c>
      <c r="L47" s="12">
        <v>43706</v>
      </c>
      <c r="M47" t="s">
        <v>20</v>
      </c>
    </row>
    <row r="48" spans="1:13" ht="30" customHeight="1">
      <c r="A48" s="6" t="s">
        <v>128</v>
      </c>
      <c r="B48" s="7" t="s">
        <v>129</v>
      </c>
      <c r="C48" s="7" t="s">
        <v>130</v>
      </c>
      <c r="D48" s="6" t="s">
        <v>18</v>
      </c>
      <c r="E48" s="7" t="s">
        <v>115</v>
      </c>
      <c r="F48" s="8"/>
      <c r="G48" s="9">
        <f>IFERROR(VLOOKUP(D48,Listas!$A$2:$B$20,2,FALSE()),999)</f>
        <v>1</v>
      </c>
      <c r="H48" s="10" t="str">
        <f t="shared" ca="1" si="0"/>
        <v>Sin fecha</v>
      </c>
      <c r="J48" s="11">
        <v>120</v>
      </c>
      <c r="K48" s="11">
        <v>20</v>
      </c>
      <c r="L48" s="12">
        <v>45658</v>
      </c>
      <c r="M48" t="s">
        <v>20</v>
      </c>
    </row>
    <row r="49" spans="1:13" ht="30" customHeight="1">
      <c r="A49" s="6" t="s">
        <v>131</v>
      </c>
      <c r="B49" s="7" t="s">
        <v>132</v>
      </c>
      <c r="C49" s="7" t="s">
        <v>133</v>
      </c>
      <c r="D49" s="6" t="s">
        <v>18</v>
      </c>
      <c r="E49" s="7" t="s">
        <v>115</v>
      </c>
      <c r="F49" s="8"/>
      <c r="G49" s="9">
        <f>IFERROR(VLOOKUP(D49,Listas!$A$2:$B$20,2,FALSE()),999)</f>
        <v>1</v>
      </c>
      <c r="H49" s="10" t="str">
        <f t="shared" ca="1" si="0"/>
        <v>Sin fecha</v>
      </c>
      <c r="J49" s="11">
        <v>1</v>
      </c>
      <c r="K49" s="11">
        <v>1</v>
      </c>
      <c r="L49" s="12">
        <v>44986</v>
      </c>
      <c r="M49" t="s">
        <v>36</v>
      </c>
    </row>
    <row r="50" spans="1:13" ht="30" customHeight="1">
      <c r="A50" s="6" t="s">
        <v>134</v>
      </c>
      <c r="B50" s="7" t="s">
        <v>135</v>
      </c>
      <c r="C50" s="7" t="s">
        <v>136</v>
      </c>
      <c r="D50" s="6" t="s">
        <v>18</v>
      </c>
      <c r="E50" s="7" t="s">
        <v>115</v>
      </c>
      <c r="F50" s="8"/>
      <c r="G50" s="9">
        <f>IFERROR(VLOOKUP(D50,Listas!$A$2:$B$20,2,FALSE()),999)</f>
        <v>1</v>
      </c>
      <c r="H50" s="10" t="str">
        <f t="shared" ca="1" si="0"/>
        <v>Sin fecha</v>
      </c>
      <c r="J50" s="11">
        <v>120</v>
      </c>
      <c r="K50" s="11">
        <v>120</v>
      </c>
      <c r="L50" s="12">
        <v>41090</v>
      </c>
      <c r="M50" t="s">
        <v>36</v>
      </c>
    </row>
    <row r="51" spans="1:13" ht="30" customHeight="1">
      <c r="A51" s="6" t="s">
        <v>137</v>
      </c>
      <c r="B51" s="7" t="s">
        <v>138</v>
      </c>
      <c r="C51" s="7" t="s">
        <v>139</v>
      </c>
      <c r="D51" s="6" t="s">
        <v>18</v>
      </c>
      <c r="E51" s="7" t="s">
        <v>115</v>
      </c>
      <c r="F51" s="8"/>
      <c r="G51" s="9">
        <f>IFERROR(VLOOKUP(D51,Listas!$A$2:$B$20,2,FALSE()),999)</f>
        <v>1</v>
      </c>
      <c r="H51" s="10" t="str">
        <f t="shared" ca="1" si="0"/>
        <v>Sin fecha</v>
      </c>
      <c r="J51" s="11">
        <v>120</v>
      </c>
      <c r="K51" s="11">
        <v>120</v>
      </c>
      <c r="L51" s="12">
        <v>41090</v>
      </c>
      <c r="M51" t="s">
        <v>36</v>
      </c>
    </row>
    <row r="52" spans="1:13" ht="30" customHeight="1">
      <c r="A52" s="6" t="s">
        <v>140</v>
      </c>
      <c r="B52" s="7" t="s">
        <v>141</v>
      </c>
      <c r="C52" s="7" t="s">
        <v>142</v>
      </c>
      <c r="D52" s="6" t="s">
        <v>18</v>
      </c>
      <c r="E52" s="7" t="s">
        <v>115</v>
      </c>
      <c r="F52" s="8"/>
      <c r="G52" s="9">
        <f>IFERROR(VLOOKUP(D52,Listas!$A$2:$B$20,2,FALSE()),999)</f>
        <v>1</v>
      </c>
      <c r="H52" s="10" t="str">
        <f t="shared" ca="1" si="0"/>
        <v>Sin fecha</v>
      </c>
      <c r="J52" s="11">
        <v>60</v>
      </c>
      <c r="K52" s="11">
        <v>60</v>
      </c>
      <c r="L52" s="12">
        <v>43425</v>
      </c>
      <c r="M52" t="s">
        <v>36</v>
      </c>
    </row>
    <row r="53" spans="1:13" ht="30" customHeight="1">
      <c r="A53" s="6" t="s">
        <v>143</v>
      </c>
      <c r="B53" s="7" t="s">
        <v>144</v>
      </c>
      <c r="C53" s="7" t="s">
        <v>145</v>
      </c>
      <c r="D53" s="6" t="s">
        <v>18</v>
      </c>
      <c r="E53" s="7" t="s">
        <v>115</v>
      </c>
      <c r="F53" s="8"/>
      <c r="G53" s="9">
        <f>IFERROR(VLOOKUP(D53,Listas!$A$2:$B$20,2,FALSE()),999)</f>
        <v>1</v>
      </c>
      <c r="H53" s="10" t="str">
        <f t="shared" ca="1" si="0"/>
        <v>Sin fecha</v>
      </c>
      <c r="J53" s="11">
        <v>120</v>
      </c>
      <c r="K53" s="11">
        <v>120</v>
      </c>
      <c r="L53" s="12">
        <v>41090</v>
      </c>
      <c r="M53" t="s">
        <v>36</v>
      </c>
    </row>
    <row r="54" spans="1:13" ht="30" customHeight="1">
      <c r="A54" s="6" t="s">
        <v>146</v>
      </c>
      <c r="B54" s="7" t="s">
        <v>144</v>
      </c>
      <c r="C54" s="7" t="s">
        <v>145</v>
      </c>
      <c r="D54" s="6" t="s">
        <v>18</v>
      </c>
      <c r="E54" s="7" t="s">
        <v>115</v>
      </c>
      <c r="F54" s="8"/>
      <c r="G54" s="9">
        <f>IFERROR(VLOOKUP(D54,Listas!$A$2:$B$20,2,FALSE()),999)</f>
        <v>1</v>
      </c>
      <c r="H54" s="10" t="str">
        <f t="shared" ca="1" si="0"/>
        <v>Sin fecha</v>
      </c>
      <c r="J54" s="11">
        <v>120</v>
      </c>
      <c r="K54" s="11">
        <v>120</v>
      </c>
      <c r="L54" s="12">
        <v>41090</v>
      </c>
      <c r="M54" t="s">
        <v>36</v>
      </c>
    </row>
    <row r="55" spans="1:13" ht="30" customHeight="1">
      <c r="A55" s="6" t="s">
        <v>147</v>
      </c>
      <c r="B55" s="7" t="s">
        <v>148</v>
      </c>
      <c r="C55" s="7" t="s">
        <v>149</v>
      </c>
      <c r="D55" s="6" t="s">
        <v>18</v>
      </c>
      <c r="E55" s="7" t="s">
        <v>115</v>
      </c>
      <c r="F55" s="8"/>
      <c r="G55" s="9">
        <f>IFERROR(VLOOKUP(D55,Listas!$A$2:$B$20,2,FALSE()),999)</f>
        <v>1</v>
      </c>
      <c r="H55" s="10" t="str">
        <f t="shared" ca="1" si="0"/>
        <v>Sin fecha</v>
      </c>
      <c r="J55" s="11">
        <v>120</v>
      </c>
      <c r="K55" s="11">
        <v>120</v>
      </c>
      <c r="L55" s="12">
        <v>41090</v>
      </c>
      <c r="M55" t="s">
        <v>36</v>
      </c>
    </row>
    <row r="56" spans="1:13" ht="30" customHeight="1">
      <c r="A56" s="6" t="s">
        <v>150</v>
      </c>
      <c r="B56" s="7" t="s">
        <v>151</v>
      </c>
      <c r="C56" s="7" t="s">
        <v>152</v>
      </c>
      <c r="D56" s="6" t="s">
        <v>18</v>
      </c>
      <c r="E56" s="7" t="s">
        <v>115</v>
      </c>
      <c r="F56" s="8"/>
      <c r="G56" s="9">
        <f>IFERROR(VLOOKUP(D56,Listas!$A$2:$B$20,2,FALSE()),999)</f>
        <v>1</v>
      </c>
      <c r="H56" s="10" t="str">
        <f t="shared" ca="1" si="0"/>
        <v>Sin fecha</v>
      </c>
      <c r="J56" s="11">
        <v>120</v>
      </c>
      <c r="K56" s="11">
        <v>93</v>
      </c>
      <c r="L56" s="12">
        <v>43457</v>
      </c>
      <c r="M56" t="s">
        <v>20</v>
      </c>
    </row>
    <row r="57" spans="1:13" ht="30" customHeight="1">
      <c r="A57" s="6" t="s">
        <v>153</v>
      </c>
      <c r="B57" s="7" t="s">
        <v>154</v>
      </c>
      <c r="C57" s="7" t="s">
        <v>155</v>
      </c>
      <c r="D57" s="6" t="s">
        <v>18</v>
      </c>
      <c r="E57" s="7" t="s">
        <v>115</v>
      </c>
      <c r="F57" s="8"/>
      <c r="G57" s="9">
        <f>IFERROR(VLOOKUP(D57,Listas!$A$2:$B$20,2,FALSE()),999)</f>
        <v>1</v>
      </c>
      <c r="H57" s="10" t="str">
        <f t="shared" ca="1" si="0"/>
        <v>Sin fecha</v>
      </c>
      <c r="J57" s="11">
        <v>120</v>
      </c>
      <c r="K57" s="11">
        <v>120</v>
      </c>
      <c r="L57" s="12">
        <v>41090</v>
      </c>
      <c r="M57" t="s">
        <v>36</v>
      </c>
    </row>
    <row r="58" spans="1:13" ht="30" customHeight="1">
      <c r="A58" s="6" t="s">
        <v>156</v>
      </c>
      <c r="B58" s="7" t="s">
        <v>157</v>
      </c>
      <c r="C58" s="7" t="s">
        <v>158</v>
      </c>
      <c r="D58" s="6" t="s">
        <v>18</v>
      </c>
      <c r="E58" s="7" t="s">
        <v>115</v>
      </c>
      <c r="F58" s="8"/>
      <c r="G58" s="9">
        <f>IFERROR(VLOOKUP(D58,Listas!$A$2:$B$20,2,FALSE()),999)</f>
        <v>1</v>
      </c>
      <c r="H58" s="10" t="str">
        <f t="shared" ca="1" si="0"/>
        <v>Sin fecha</v>
      </c>
      <c r="J58" s="11">
        <v>120</v>
      </c>
      <c r="K58" s="11">
        <v>120</v>
      </c>
      <c r="L58" s="12">
        <v>41090</v>
      </c>
      <c r="M58" t="s">
        <v>36</v>
      </c>
    </row>
    <row r="59" spans="1:13" ht="30" customHeight="1">
      <c r="A59" s="6" t="s">
        <v>159</v>
      </c>
      <c r="B59" s="7" t="s">
        <v>157</v>
      </c>
      <c r="C59" s="7" t="s">
        <v>158</v>
      </c>
      <c r="D59" s="6" t="s">
        <v>18</v>
      </c>
      <c r="E59" s="7" t="s">
        <v>115</v>
      </c>
      <c r="F59" s="8"/>
      <c r="G59" s="9">
        <f>IFERROR(VLOOKUP(D59,Listas!$A$2:$B$20,2,FALSE()),999)</f>
        <v>1</v>
      </c>
      <c r="H59" s="10" t="str">
        <f t="shared" ca="1" si="0"/>
        <v>Sin fecha</v>
      </c>
      <c r="J59" s="11">
        <v>120</v>
      </c>
      <c r="K59" s="11">
        <v>120</v>
      </c>
      <c r="L59" s="12">
        <v>41090</v>
      </c>
      <c r="M59" t="s">
        <v>36</v>
      </c>
    </row>
    <row r="60" spans="1:13" ht="30" customHeight="1">
      <c r="A60" s="6" t="s">
        <v>160</v>
      </c>
      <c r="B60" s="7" t="s">
        <v>157</v>
      </c>
      <c r="C60" s="7" t="s">
        <v>158</v>
      </c>
      <c r="D60" s="6" t="s">
        <v>18</v>
      </c>
      <c r="E60" s="7" t="s">
        <v>115</v>
      </c>
      <c r="F60" s="8"/>
      <c r="G60" s="9">
        <f>IFERROR(VLOOKUP(D60,Listas!$A$2:$B$20,2,FALSE()),999)</f>
        <v>1</v>
      </c>
      <c r="H60" s="10" t="str">
        <f t="shared" ca="1" si="0"/>
        <v>Sin fecha</v>
      </c>
      <c r="J60" s="11">
        <v>120</v>
      </c>
      <c r="K60" s="11">
        <v>120</v>
      </c>
      <c r="L60" s="12">
        <v>41090</v>
      </c>
      <c r="M60" t="s">
        <v>36</v>
      </c>
    </row>
    <row r="61" spans="1:13" ht="30" customHeight="1">
      <c r="A61" s="6" t="s">
        <v>161</v>
      </c>
      <c r="B61" s="7" t="s">
        <v>157</v>
      </c>
      <c r="C61" s="7" t="s">
        <v>162</v>
      </c>
      <c r="D61" s="6" t="s">
        <v>18</v>
      </c>
      <c r="E61" s="7" t="s">
        <v>115</v>
      </c>
      <c r="F61" s="8"/>
      <c r="G61" s="9">
        <f>IFERROR(VLOOKUP(D61,Listas!$A$2:$B$20,2,FALSE()),999)</f>
        <v>1</v>
      </c>
      <c r="H61" s="10" t="str">
        <f t="shared" ca="1" si="0"/>
        <v>Sin fecha</v>
      </c>
      <c r="J61" s="11">
        <v>60</v>
      </c>
      <c r="K61" s="11">
        <v>60</v>
      </c>
      <c r="L61" s="12">
        <v>43335</v>
      </c>
      <c r="M61" t="s">
        <v>36</v>
      </c>
    </row>
    <row r="62" spans="1:13" ht="30" customHeight="1">
      <c r="A62" s="6" t="s">
        <v>163</v>
      </c>
      <c r="B62" s="7" t="s">
        <v>157</v>
      </c>
      <c r="C62" s="7" t="s">
        <v>164</v>
      </c>
      <c r="D62" s="6" t="s">
        <v>18</v>
      </c>
      <c r="E62" s="7" t="s">
        <v>115</v>
      </c>
      <c r="F62" s="8"/>
      <c r="G62" s="9">
        <f>IFERROR(VLOOKUP(D62,Listas!$A$2:$B$20,2,FALSE()),999)</f>
        <v>1</v>
      </c>
      <c r="H62" s="10" t="str">
        <f t="shared" ca="1" si="0"/>
        <v>Sin fecha</v>
      </c>
      <c r="J62" s="11">
        <v>60</v>
      </c>
      <c r="K62" s="11">
        <v>60</v>
      </c>
      <c r="L62" s="12">
        <v>43483</v>
      </c>
      <c r="M62" t="s">
        <v>36</v>
      </c>
    </row>
    <row r="63" spans="1:13" ht="30" customHeight="1">
      <c r="A63" s="6" t="s">
        <v>165</v>
      </c>
      <c r="B63" s="7" t="s">
        <v>166</v>
      </c>
      <c r="C63" s="7" t="s">
        <v>167</v>
      </c>
      <c r="D63" s="6" t="s">
        <v>18</v>
      </c>
      <c r="E63" s="7" t="s">
        <v>115</v>
      </c>
      <c r="F63" s="8"/>
      <c r="G63" s="9">
        <f>IFERROR(VLOOKUP(D63,Listas!$A$2:$B$20,2,FALSE()),999)</f>
        <v>1</v>
      </c>
      <c r="H63" s="10" t="str">
        <f t="shared" ca="1" si="0"/>
        <v>Sin fecha</v>
      </c>
      <c r="J63" s="11">
        <v>1</v>
      </c>
      <c r="K63" s="11">
        <v>1</v>
      </c>
      <c r="L63" s="12">
        <v>44986</v>
      </c>
      <c r="M63" t="s">
        <v>36</v>
      </c>
    </row>
    <row r="64" spans="1:13" ht="30" customHeight="1">
      <c r="A64" s="6" t="s">
        <v>168</v>
      </c>
      <c r="B64" s="7" t="s">
        <v>169</v>
      </c>
      <c r="C64" s="7" t="s">
        <v>170</v>
      </c>
      <c r="D64" s="6" t="s">
        <v>18</v>
      </c>
      <c r="E64" s="7" t="s">
        <v>171</v>
      </c>
      <c r="F64" s="8"/>
      <c r="G64" s="9">
        <f>IFERROR(VLOOKUP(D64,Listas!$A$2:$B$20,2,FALSE()),999)</f>
        <v>1</v>
      </c>
      <c r="H64" s="10" t="str">
        <f t="shared" ca="1" si="0"/>
        <v>Sin fecha</v>
      </c>
      <c r="J64" s="11">
        <v>120</v>
      </c>
      <c r="K64" s="11">
        <v>104</v>
      </c>
      <c r="L64" s="12">
        <v>43111</v>
      </c>
      <c r="M64" t="s">
        <v>20</v>
      </c>
    </row>
    <row r="65" spans="1:13" ht="30" customHeight="1">
      <c r="A65" s="6" t="s">
        <v>172</v>
      </c>
      <c r="B65" s="7" t="s">
        <v>129</v>
      </c>
      <c r="C65" s="7" t="s">
        <v>173</v>
      </c>
      <c r="D65" s="6" t="s">
        <v>18</v>
      </c>
      <c r="E65" s="7" t="s">
        <v>171</v>
      </c>
      <c r="F65" s="8"/>
      <c r="G65" s="9">
        <f>IFERROR(VLOOKUP(D65,Listas!$A$2:$B$20,2,FALSE()),999)</f>
        <v>1</v>
      </c>
      <c r="H65" s="10" t="str">
        <f t="shared" ca="1" si="0"/>
        <v>Sin fecha</v>
      </c>
      <c r="J65" s="11">
        <v>120</v>
      </c>
      <c r="K65" s="11">
        <v>20</v>
      </c>
      <c r="L65" s="12">
        <v>45658</v>
      </c>
      <c r="M65" t="s">
        <v>20</v>
      </c>
    </row>
    <row r="66" spans="1:13" ht="30" customHeight="1">
      <c r="A66" s="6" t="s">
        <v>174</v>
      </c>
      <c r="B66" s="7" t="s">
        <v>175</v>
      </c>
      <c r="C66" s="7" t="s">
        <v>176</v>
      </c>
      <c r="D66" s="6" t="s">
        <v>18</v>
      </c>
      <c r="E66" s="7" t="s">
        <v>171</v>
      </c>
      <c r="F66" s="8"/>
      <c r="G66" s="9">
        <f>IFERROR(VLOOKUP(D66,Listas!$A$2:$B$20,2,FALSE()),999)</f>
        <v>1</v>
      </c>
      <c r="H66" s="10" t="str">
        <f t="shared" ca="1" si="0"/>
        <v>Sin fecha</v>
      </c>
      <c r="J66" s="11">
        <v>120</v>
      </c>
      <c r="K66" s="11">
        <v>105</v>
      </c>
      <c r="L66" s="12">
        <v>43090</v>
      </c>
      <c r="M66" t="s">
        <v>20</v>
      </c>
    </row>
    <row r="67" spans="1:13" ht="30" customHeight="1">
      <c r="A67" s="6" t="s">
        <v>177</v>
      </c>
      <c r="B67" s="7" t="s">
        <v>175</v>
      </c>
      <c r="C67" s="7" t="s">
        <v>176</v>
      </c>
      <c r="D67" s="6" t="s">
        <v>18</v>
      </c>
      <c r="E67" s="7" t="s">
        <v>171</v>
      </c>
      <c r="F67" s="8"/>
      <c r="G67" s="9">
        <f>IFERROR(VLOOKUP(D67,Listas!$A$2:$B$20,2,FALSE()),999)</f>
        <v>1</v>
      </c>
      <c r="H67" s="10" t="str">
        <f t="shared" ca="1" si="0"/>
        <v>Sin fecha</v>
      </c>
      <c r="J67" s="11">
        <v>120</v>
      </c>
      <c r="K67" s="11">
        <v>105</v>
      </c>
      <c r="L67" s="12">
        <v>43090</v>
      </c>
      <c r="M67" t="s">
        <v>20</v>
      </c>
    </row>
    <row r="68" spans="1:13" ht="30" customHeight="1">
      <c r="A68" s="6" t="s">
        <v>178</v>
      </c>
      <c r="B68" s="7" t="s">
        <v>179</v>
      </c>
      <c r="C68" s="7" t="s">
        <v>180</v>
      </c>
      <c r="D68" s="6" t="s">
        <v>18</v>
      </c>
      <c r="E68" s="7" t="s">
        <v>171</v>
      </c>
      <c r="F68" s="8"/>
      <c r="G68" s="9">
        <f>IFERROR(VLOOKUP(D68,Listas!$A$2:$B$20,2,FALSE()),999)</f>
        <v>1</v>
      </c>
      <c r="H68" s="10" t="str">
        <f t="shared" ca="1" si="0"/>
        <v>Sin fecha</v>
      </c>
      <c r="J68" s="11">
        <v>120</v>
      </c>
      <c r="K68" s="11">
        <v>104</v>
      </c>
      <c r="L68" s="12">
        <v>43111</v>
      </c>
      <c r="M68" t="s">
        <v>20</v>
      </c>
    </row>
    <row r="69" spans="1:13" ht="30" customHeight="1">
      <c r="A69" s="6" t="s">
        <v>181</v>
      </c>
      <c r="B69" s="7" t="s">
        <v>182</v>
      </c>
      <c r="C69" s="7" t="s">
        <v>183</v>
      </c>
      <c r="D69" s="6" t="s">
        <v>18</v>
      </c>
      <c r="E69" s="7" t="s">
        <v>171</v>
      </c>
      <c r="F69" s="8"/>
      <c r="G69" s="9">
        <f>IFERROR(VLOOKUP(D69,Listas!$A$2:$B$20,2,FALSE()),999)</f>
        <v>1</v>
      </c>
      <c r="H69" s="10" t="str">
        <f t="shared" ref="H69:H132" ca="1" si="1">IF(F69="","Sin fecha",IF(TODAY()-F69&gt;180,"Revisar",IF(TODAY()-F69&gt;90,"Próximo","Vigente")))</f>
        <v>Sin fecha</v>
      </c>
      <c r="J69" s="11">
        <v>1</v>
      </c>
      <c r="K69" s="11">
        <v>1</v>
      </c>
      <c r="L69" s="12">
        <v>43360</v>
      </c>
      <c r="M69" t="s">
        <v>36</v>
      </c>
    </row>
    <row r="70" spans="1:13" ht="30" customHeight="1">
      <c r="A70" s="6" t="s">
        <v>184</v>
      </c>
      <c r="B70" s="7" t="s">
        <v>182</v>
      </c>
      <c r="C70" s="7" t="s">
        <v>183</v>
      </c>
      <c r="D70" s="6" t="s">
        <v>18</v>
      </c>
      <c r="E70" s="7" t="s">
        <v>171</v>
      </c>
      <c r="F70" s="8"/>
      <c r="G70" s="9">
        <f>IFERROR(VLOOKUP(D70,Listas!$A$2:$B$20,2,FALSE()),999)</f>
        <v>1</v>
      </c>
      <c r="H70" s="10" t="str">
        <f t="shared" ca="1" si="1"/>
        <v>Sin fecha</v>
      </c>
      <c r="J70" s="11">
        <v>1</v>
      </c>
      <c r="K70" s="11">
        <v>1</v>
      </c>
      <c r="L70" s="12">
        <v>44986</v>
      </c>
      <c r="M70" t="s">
        <v>36</v>
      </c>
    </row>
    <row r="71" spans="1:13" ht="30" customHeight="1">
      <c r="A71" s="6" t="s">
        <v>185</v>
      </c>
      <c r="B71" s="7" t="s">
        <v>186</v>
      </c>
      <c r="C71" s="7" t="s">
        <v>187</v>
      </c>
      <c r="D71" s="6" t="s">
        <v>18</v>
      </c>
      <c r="E71" s="7" t="s">
        <v>171</v>
      </c>
      <c r="F71" s="8"/>
      <c r="G71" s="9">
        <f>IFERROR(VLOOKUP(D71,Listas!$A$2:$B$20,2,FALSE()),999)</f>
        <v>1</v>
      </c>
      <c r="H71" s="10" t="str">
        <f t="shared" ca="1" si="1"/>
        <v>Sin fecha</v>
      </c>
      <c r="J71" s="11">
        <v>120</v>
      </c>
      <c r="K71" s="11">
        <v>120</v>
      </c>
      <c r="L71" s="12">
        <v>42308</v>
      </c>
      <c r="M71" t="s">
        <v>36</v>
      </c>
    </row>
    <row r="72" spans="1:13" ht="30" customHeight="1">
      <c r="A72" s="6" t="s">
        <v>188</v>
      </c>
      <c r="B72" s="7" t="s">
        <v>189</v>
      </c>
      <c r="C72" s="7" t="s">
        <v>190</v>
      </c>
      <c r="D72" s="6" t="s">
        <v>18</v>
      </c>
      <c r="E72" s="7" t="s">
        <v>171</v>
      </c>
      <c r="F72" s="8"/>
      <c r="G72" s="9">
        <f>IFERROR(VLOOKUP(D72,Listas!$A$2:$B$20,2,FALSE()),999)</f>
        <v>1</v>
      </c>
      <c r="H72" s="10" t="str">
        <f t="shared" ca="1" si="1"/>
        <v>Sin fecha</v>
      </c>
      <c r="J72" s="11">
        <v>120</v>
      </c>
      <c r="K72" s="11">
        <v>105</v>
      </c>
      <c r="L72" s="12">
        <v>43090</v>
      </c>
      <c r="M72" t="s">
        <v>20</v>
      </c>
    </row>
    <row r="73" spans="1:13" ht="30" customHeight="1">
      <c r="A73" s="6" t="s">
        <v>191</v>
      </c>
      <c r="B73" s="7" t="s">
        <v>189</v>
      </c>
      <c r="C73" s="7" t="s">
        <v>190</v>
      </c>
      <c r="D73" s="6" t="s">
        <v>18</v>
      </c>
      <c r="E73" s="7" t="s">
        <v>171</v>
      </c>
      <c r="F73" s="8"/>
      <c r="G73" s="9">
        <f>IFERROR(VLOOKUP(D73,Listas!$A$2:$B$20,2,FALSE()),999)</f>
        <v>1</v>
      </c>
      <c r="H73" s="10" t="str">
        <f t="shared" ca="1" si="1"/>
        <v>Sin fecha</v>
      </c>
      <c r="J73" s="11">
        <v>120</v>
      </c>
      <c r="K73" s="11">
        <v>105</v>
      </c>
      <c r="L73" s="12">
        <v>43090</v>
      </c>
      <c r="M73" t="s">
        <v>20</v>
      </c>
    </row>
    <row r="74" spans="1:13" ht="30" customHeight="1">
      <c r="A74" s="6" t="s">
        <v>192</v>
      </c>
      <c r="B74" s="7" t="s">
        <v>144</v>
      </c>
      <c r="C74" s="7" t="s">
        <v>193</v>
      </c>
      <c r="D74" s="6" t="s">
        <v>18</v>
      </c>
      <c r="E74" s="7" t="s">
        <v>171</v>
      </c>
      <c r="F74" s="8"/>
      <c r="G74" s="9">
        <f>IFERROR(VLOOKUP(D74,Listas!$A$2:$B$20,2,FALSE()),999)</f>
        <v>1</v>
      </c>
      <c r="H74" s="10" t="str">
        <f t="shared" ca="1" si="1"/>
        <v>Sin fecha</v>
      </c>
      <c r="J74" s="11">
        <v>120</v>
      </c>
      <c r="K74" s="11">
        <v>105</v>
      </c>
      <c r="L74" s="12">
        <v>43075</v>
      </c>
      <c r="M74" t="s">
        <v>20</v>
      </c>
    </row>
    <row r="75" spans="1:13" ht="30" customHeight="1">
      <c r="A75" s="6" t="s">
        <v>194</v>
      </c>
      <c r="B75" s="7" t="s">
        <v>144</v>
      </c>
      <c r="C75" s="7" t="s">
        <v>193</v>
      </c>
      <c r="D75" s="6" t="s">
        <v>18</v>
      </c>
      <c r="E75" s="7" t="s">
        <v>171</v>
      </c>
      <c r="F75" s="8"/>
      <c r="G75" s="9">
        <f>IFERROR(VLOOKUP(D75,Listas!$A$2:$B$20,2,FALSE()),999)</f>
        <v>1</v>
      </c>
      <c r="H75" s="10" t="str">
        <f t="shared" ca="1" si="1"/>
        <v>Sin fecha</v>
      </c>
      <c r="J75" s="11">
        <v>120</v>
      </c>
      <c r="K75" s="11">
        <v>105</v>
      </c>
      <c r="L75" s="12">
        <v>43075</v>
      </c>
      <c r="M75" t="s">
        <v>20</v>
      </c>
    </row>
    <row r="76" spans="1:13" ht="30" customHeight="1">
      <c r="A76" s="6" t="s">
        <v>195</v>
      </c>
      <c r="B76" s="7" t="s">
        <v>144</v>
      </c>
      <c r="C76" s="7" t="s">
        <v>193</v>
      </c>
      <c r="D76" s="6" t="s">
        <v>18</v>
      </c>
      <c r="E76" s="7" t="s">
        <v>171</v>
      </c>
      <c r="F76" s="8"/>
      <c r="G76" s="9">
        <f>IFERROR(VLOOKUP(D76,Listas!$A$2:$B$20,2,FALSE()),999)</f>
        <v>1</v>
      </c>
      <c r="H76" s="10" t="str">
        <f t="shared" ca="1" si="1"/>
        <v>Sin fecha</v>
      </c>
      <c r="J76" s="11">
        <v>120</v>
      </c>
      <c r="K76" s="11">
        <v>105</v>
      </c>
      <c r="L76" s="12">
        <v>43075</v>
      </c>
      <c r="M76" t="s">
        <v>20</v>
      </c>
    </row>
    <row r="77" spans="1:13" ht="30" customHeight="1">
      <c r="A77" s="6" t="s">
        <v>196</v>
      </c>
      <c r="B77" s="7" t="s">
        <v>144</v>
      </c>
      <c r="C77" s="7" t="s">
        <v>193</v>
      </c>
      <c r="D77" s="6" t="s">
        <v>18</v>
      </c>
      <c r="E77" s="7" t="s">
        <v>171</v>
      </c>
      <c r="F77" s="8"/>
      <c r="G77" s="9">
        <f>IFERROR(VLOOKUP(D77,Listas!$A$2:$B$20,2,FALSE()),999)</f>
        <v>1</v>
      </c>
      <c r="H77" s="10" t="str">
        <f t="shared" ca="1" si="1"/>
        <v>Sin fecha</v>
      </c>
      <c r="J77" s="11">
        <v>120</v>
      </c>
      <c r="K77" s="11">
        <v>105</v>
      </c>
      <c r="L77" s="12">
        <v>43075</v>
      </c>
      <c r="M77" t="s">
        <v>20</v>
      </c>
    </row>
    <row r="78" spans="1:13" ht="30" customHeight="1">
      <c r="A78" s="6" t="s">
        <v>197</v>
      </c>
      <c r="B78" s="7" t="s">
        <v>198</v>
      </c>
      <c r="C78" s="7" t="s">
        <v>199</v>
      </c>
      <c r="D78" s="6" t="s">
        <v>18</v>
      </c>
      <c r="E78" s="7" t="s">
        <v>171</v>
      </c>
      <c r="F78" s="8"/>
      <c r="G78" s="9">
        <f>IFERROR(VLOOKUP(D78,Listas!$A$2:$B$20,2,FALSE()),999)</f>
        <v>1</v>
      </c>
      <c r="H78" s="10" t="str">
        <f t="shared" ca="1" si="1"/>
        <v>Sin fecha</v>
      </c>
      <c r="J78" s="11">
        <v>120</v>
      </c>
      <c r="K78" s="11">
        <v>120</v>
      </c>
      <c r="L78" s="12">
        <v>41090</v>
      </c>
      <c r="M78" t="s">
        <v>36</v>
      </c>
    </row>
    <row r="79" spans="1:13" ht="30" customHeight="1">
      <c r="A79" s="6" t="s">
        <v>200</v>
      </c>
      <c r="B79" s="7" t="s">
        <v>201</v>
      </c>
      <c r="C79" s="7" t="s">
        <v>202</v>
      </c>
      <c r="D79" s="6" t="s">
        <v>18</v>
      </c>
      <c r="E79" s="7" t="s">
        <v>171</v>
      </c>
      <c r="F79" s="8"/>
      <c r="G79" s="9">
        <f>IFERROR(VLOOKUP(D79,Listas!$A$2:$B$20,2,FALSE()),999)</f>
        <v>1</v>
      </c>
      <c r="H79" s="10" t="str">
        <f t="shared" ca="1" si="1"/>
        <v>Sin fecha</v>
      </c>
      <c r="J79" s="11">
        <v>120</v>
      </c>
      <c r="K79" s="11">
        <v>27</v>
      </c>
      <c r="L79" s="12">
        <v>45444</v>
      </c>
      <c r="M79" t="s">
        <v>20</v>
      </c>
    </row>
    <row r="80" spans="1:13" ht="30" customHeight="1">
      <c r="A80" s="6" t="s">
        <v>203</v>
      </c>
      <c r="B80" s="7" t="s">
        <v>204</v>
      </c>
      <c r="C80" s="7" t="s">
        <v>205</v>
      </c>
      <c r="D80" s="6" t="s">
        <v>18</v>
      </c>
      <c r="E80" s="7" t="s">
        <v>206</v>
      </c>
      <c r="F80" s="13">
        <v>45992</v>
      </c>
      <c r="G80" s="9">
        <f>IFERROR(VLOOKUP(D80,Listas!$A$2:$B$20,2,FALSE()),999)</f>
        <v>1</v>
      </c>
      <c r="H80" s="10" t="str">
        <f t="shared" ca="1" si="1"/>
        <v>Revisar</v>
      </c>
      <c r="J80" s="11">
        <v>120</v>
      </c>
      <c r="K80" s="11">
        <v>120</v>
      </c>
      <c r="L80" s="12">
        <v>41090</v>
      </c>
      <c r="M80" t="s">
        <v>36</v>
      </c>
    </row>
    <row r="81" spans="1:13" ht="30" customHeight="1">
      <c r="A81" s="6" t="s">
        <v>207</v>
      </c>
      <c r="B81" s="7" t="s">
        <v>204</v>
      </c>
      <c r="C81" s="7" t="s">
        <v>205</v>
      </c>
      <c r="D81" s="6" t="s">
        <v>18</v>
      </c>
      <c r="E81" s="7" t="s">
        <v>206</v>
      </c>
      <c r="F81" s="13">
        <v>45992</v>
      </c>
      <c r="G81" s="9">
        <f>IFERROR(VLOOKUP(D81,Listas!$A$2:$B$20,2,FALSE()),999)</f>
        <v>1</v>
      </c>
      <c r="H81" s="10" t="str">
        <f t="shared" ca="1" si="1"/>
        <v>Revisar</v>
      </c>
      <c r="J81" s="11">
        <v>120</v>
      </c>
      <c r="K81" s="11">
        <v>120</v>
      </c>
      <c r="L81" s="12">
        <v>41090</v>
      </c>
      <c r="M81" t="s">
        <v>36</v>
      </c>
    </row>
    <row r="82" spans="1:13" ht="30" customHeight="1">
      <c r="A82" s="6" t="s">
        <v>208</v>
      </c>
      <c r="B82" s="7" t="s">
        <v>204</v>
      </c>
      <c r="C82" s="7" t="s">
        <v>205</v>
      </c>
      <c r="D82" s="6" t="s">
        <v>18</v>
      </c>
      <c r="E82" s="7" t="s">
        <v>206</v>
      </c>
      <c r="F82" s="13">
        <v>45992</v>
      </c>
      <c r="G82" s="9">
        <f>IFERROR(VLOOKUP(D82,Listas!$A$2:$B$20,2,FALSE()),999)</f>
        <v>1</v>
      </c>
      <c r="H82" s="10" t="str">
        <f t="shared" ca="1" si="1"/>
        <v>Revisar</v>
      </c>
      <c r="J82" s="11">
        <v>120</v>
      </c>
      <c r="K82" s="11">
        <v>120</v>
      </c>
      <c r="L82" s="12">
        <v>41090</v>
      </c>
      <c r="M82" t="s">
        <v>36</v>
      </c>
    </row>
    <row r="83" spans="1:13" ht="30" customHeight="1">
      <c r="A83" s="6" t="s">
        <v>209</v>
      </c>
      <c r="B83" s="7" t="s">
        <v>204</v>
      </c>
      <c r="C83" s="7" t="s">
        <v>205</v>
      </c>
      <c r="D83" s="6" t="s">
        <v>18</v>
      </c>
      <c r="E83" s="7" t="s">
        <v>206</v>
      </c>
      <c r="F83" s="13">
        <v>45992</v>
      </c>
      <c r="G83" s="9">
        <f>IFERROR(VLOOKUP(D83,Listas!$A$2:$B$20,2,FALSE()),999)</f>
        <v>1</v>
      </c>
      <c r="H83" s="10" t="str">
        <f t="shared" ca="1" si="1"/>
        <v>Revisar</v>
      </c>
      <c r="J83" s="11">
        <v>120</v>
      </c>
      <c r="K83" s="11">
        <v>120</v>
      </c>
      <c r="L83" s="12">
        <v>41090</v>
      </c>
      <c r="M83" t="s">
        <v>36</v>
      </c>
    </row>
    <row r="84" spans="1:13" ht="30" customHeight="1">
      <c r="A84" s="6" t="s">
        <v>210</v>
      </c>
      <c r="B84" s="7" t="s">
        <v>204</v>
      </c>
      <c r="C84" s="7" t="s">
        <v>205</v>
      </c>
      <c r="D84" s="6" t="s">
        <v>18</v>
      </c>
      <c r="E84" s="7" t="s">
        <v>206</v>
      </c>
      <c r="F84" s="13">
        <v>45992</v>
      </c>
      <c r="G84" s="9">
        <f>IFERROR(VLOOKUP(D84,Listas!$A$2:$B$20,2,FALSE()),999)</f>
        <v>1</v>
      </c>
      <c r="H84" s="10" t="str">
        <f t="shared" ca="1" si="1"/>
        <v>Revisar</v>
      </c>
      <c r="J84" s="11">
        <v>120</v>
      </c>
      <c r="K84" s="11">
        <v>120</v>
      </c>
      <c r="L84" s="12">
        <v>41090</v>
      </c>
      <c r="M84" t="s">
        <v>36</v>
      </c>
    </row>
    <row r="85" spans="1:13" ht="30" customHeight="1">
      <c r="A85" s="6" t="s">
        <v>211</v>
      </c>
      <c r="B85" s="7" t="s">
        <v>212</v>
      </c>
      <c r="C85" s="7" t="s">
        <v>213</v>
      </c>
      <c r="D85" s="6" t="s">
        <v>18</v>
      </c>
      <c r="E85" s="7" t="s">
        <v>206</v>
      </c>
      <c r="F85" s="13">
        <v>45809</v>
      </c>
      <c r="G85" s="9">
        <f>IFERROR(VLOOKUP(D85,Listas!$A$2:$B$20,2,FALSE()),999)</f>
        <v>1</v>
      </c>
      <c r="H85" s="10" t="str">
        <f t="shared" ca="1" si="1"/>
        <v>Revisar</v>
      </c>
      <c r="J85" s="11">
        <v>120</v>
      </c>
      <c r="K85" s="11">
        <v>120</v>
      </c>
      <c r="L85" s="12">
        <v>41090</v>
      </c>
      <c r="M85" t="s">
        <v>36</v>
      </c>
    </row>
    <row r="86" spans="1:13" ht="30" customHeight="1">
      <c r="A86" s="6" t="s">
        <v>214</v>
      </c>
      <c r="B86" s="7" t="s">
        <v>215</v>
      </c>
      <c r="C86" s="7" t="s">
        <v>216</v>
      </c>
      <c r="D86" s="6" t="s">
        <v>18</v>
      </c>
      <c r="E86" s="7" t="s">
        <v>206</v>
      </c>
      <c r="F86" s="13">
        <v>45809</v>
      </c>
      <c r="G86" s="9">
        <f>IFERROR(VLOOKUP(D86,Listas!$A$2:$B$20,2,FALSE()),999)</f>
        <v>1</v>
      </c>
      <c r="H86" s="10" t="str">
        <f t="shared" ca="1" si="1"/>
        <v>Revisar</v>
      </c>
      <c r="J86" s="11">
        <v>120</v>
      </c>
      <c r="K86" s="11">
        <v>120</v>
      </c>
      <c r="L86" s="12">
        <v>41090</v>
      </c>
      <c r="M86" t="s">
        <v>36</v>
      </c>
    </row>
    <row r="87" spans="1:13" ht="30" customHeight="1">
      <c r="A87" s="6" t="s">
        <v>217</v>
      </c>
      <c r="B87" s="7" t="s">
        <v>215</v>
      </c>
      <c r="C87" s="7" t="s">
        <v>218</v>
      </c>
      <c r="D87" s="6" t="s">
        <v>18</v>
      </c>
      <c r="E87" s="7" t="s">
        <v>206</v>
      </c>
      <c r="F87" s="13">
        <v>45809</v>
      </c>
      <c r="G87" s="9">
        <f>IFERROR(VLOOKUP(D87,Listas!$A$2:$B$20,2,FALSE()),999)</f>
        <v>1</v>
      </c>
      <c r="H87" s="10" t="str">
        <f t="shared" ca="1" si="1"/>
        <v>Revisar</v>
      </c>
      <c r="J87" s="11">
        <v>120</v>
      </c>
      <c r="K87" s="11">
        <v>120</v>
      </c>
      <c r="L87" s="12">
        <v>41090</v>
      </c>
      <c r="M87" t="s">
        <v>36</v>
      </c>
    </row>
    <row r="88" spans="1:13" ht="30" customHeight="1">
      <c r="A88" s="6" t="s">
        <v>219</v>
      </c>
      <c r="B88" s="7" t="s">
        <v>215</v>
      </c>
      <c r="C88" s="7" t="s">
        <v>220</v>
      </c>
      <c r="D88" s="6" t="s">
        <v>18</v>
      </c>
      <c r="E88" s="7" t="s">
        <v>206</v>
      </c>
      <c r="F88" s="13">
        <v>45809</v>
      </c>
      <c r="G88" s="9">
        <f>IFERROR(VLOOKUP(D88,Listas!$A$2:$B$20,2,FALSE()),999)</f>
        <v>1</v>
      </c>
      <c r="H88" s="10" t="str">
        <f t="shared" ca="1" si="1"/>
        <v>Revisar</v>
      </c>
      <c r="J88" s="11">
        <v>120</v>
      </c>
      <c r="K88" s="11">
        <v>105</v>
      </c>
      <c r="L88" s="12">
        <v>43075</v>
      </c>
      <c r="M88" t="s">
        <v>20</v>
      </c>
    </row>
    <row r="89" spans="1:13" ht="30" customHeight="1">
      <c r="A89" s="6" t="s">
        <v>221</v>
      </c>
      <c r="B89" s="7" t="s">
        <v>222</v>
      </c>
      <c r="C89" s="7" t="s">
        <v>223</v>
      </c>
      <c r="D89" s="6" t="s">
        <v>18</v>
      </c>
      <c r="E89" s="7" t="s">
        <v>224</v>
      </c>
      <c r="F89" s="13">
        <v>45809</v>
      </c>
      <c r="G89" s="9">
        <f>IFERROR(VLOOKUP(D89,Listas!$A$2:$B$20,2,FALSE()),999)</f>
        <v>1</v>
      </c>
      <c r="H89" s="10" t="str">
        <f t="shared" ca="1" si="1"/>
        <v>Revisar</v>
      </c>
      <c r="J89" s="11">
        <v>120</v>
      </c>
      <c r="K89" s="11">
        <v>106</v>
      </c>
      <c r="L89" s="12">
        <v>43050</v>
      </c>
      <c r="M89" t="s">
        <v>20</v>
      </c>
    </row>
    <row r="90" spans="1:13" ht="30" customHeight="1">
      <c r="A90" s="6" t="s">
        <v>225</v>
      </c>
      <c r="B90" s="7" t="s">
        <v>222</v>
      </c>
      <c r="C90" s="7" t="s">
        <v>223</v>
      </c>
      <c r="D90" s="6" t="s">
        <v>18</v>
      </c>
      <c r="E90" s="7" t="s">
        <v>224</v>
      </c>
      <c r="F90" s="13">
        <v>45809</v>
      </c>
      <c r="G90" s="9">
        <f>IFERROR(VLOOKUP(D90,Listas!$A$2:$B$20,2,FALSE()),999)</f>
        <v>1</v>
      </c>
      <c r="H90" s="10" t="str">
        <f t="shared" ca="1" si="1"/>
        <v>Revisar</v>
      </c>
      <c r="J90" s="11">
        <v>120</v>
      </c>
      <c r="K90" s="11">
        <v>106</v>
      </c>
      <c r="L90" s="12">
        <v>43050</v>
      </c>
      <c r="M90" t="s">
        <v>20</v>
      </c>
    </row>
    <row r="91" spans="1:13" ht="30" customHeight="1">
      <c r="A91" s="6" t="s">
        <v>226</v>
      </c>
      <c r="B91" s="7" t="s">
        <v>227</v>
      </c>
      <c r="C91" s="7" t="s">
        <v>228</v>
      </c>
      <c r="D91" s="6" t="s">
        <v>18</v>
      </c>
      <c r="E91" s="7" t="s">
        <v>224</v>
      </c>
      <c r="F91" s="13">
        <v>46023</v>
      </c>
      <c r="G91" s="9">
        <f>IFERROR(VLOOKUP(D91,Listas!$A$2:$B$20,2,FALSE()),999)</f>
        <v>1</v>
      </c>
      <c r="H91" s="10" t="str">
        <f t="shared" ca="1" si="1"/>
        <v>Revisar</v>
      </c>
      <c r="J91" s="11">
        <v>60</v>
      </c>
      <c r="K91" s="11">
        <v>60</v>
      </c>
      <c r="L91" s="12">
        <v>41455</v>
      </c>
      <c r="M91" t="s">
        <v>36</v>
      </c>
    </row>
    <row r="92" spans="1:13" ht="30" customHeight="1">
      <c r="A92" s="6" t="s">
        <v>229</v>
      </c>
      <c r="B92" s="7" t="s">
        <v>227</v>
      </c>
      <c r="C92" s="7" t="s">
        <v>230</v>
      </c>
      <c r="D92" s="6" t="s">
        <v>18</v>
      </c>
      <c r="E92" s="7" t="s">
        <v>224</v>
      </c>
      <c r="F92" s="8"/>
      <c r="G92" s="9">
        <f>IFERROR(VLOOKUP(D92,Listas!$A$2:$B$20,2,FALSE()),999)</f>
        <v>1</v>
      </c>
      <c r="H92" s="10" t="str">
        <f t="shared" ca="1" si="1"/>
        <v>Sin fecha</v>
      </c>
      <c r="J92" s="11">
        <v>60</v>
      </c>
      <c r="K92" s="11">
        <v>60</v>
      </c>
      <c r="L92" s="12">
        <v>43464</v>
      </c>
      <c r="M92" t="s">
        <v>36</v>
      </c>
    </row>
    <row r="93" spans="1:13" ht="30" customHeight="1">
      <c r="A93" s="6" t="s">
        <v>231</v>
      </c>
      <c r="B93" s="7" t="s">
        <v>175</v>
      </c>
      <c r="C93" s="7" t="s">
        <v>232</v>
      </c>
      <c r="D93" s="6" t="s">
        <v>18</v>
      </c>
      <c r="E93" s="7" t="s">
        <v>224</v>
      </c>
      <c r="F93" s="13">
        <v>45992</v>
      </c>
      <c r="G93" s="9">
        <f>IFERROR(VLOOKUP(D93,Listas!$A$2:$B$20,2,FALSE()),999)</f>
        <v>1</v>
      </c>
      <c r="H93" s="10" t="str">
        <f t="shared" ca="1" si="1"/>
        <v>Revisar</v>
      </c>
      <c r="J93" s="11">
        <v>120</v>
      </c>
      <c r="K93" s="11">
        <v>85</v>
      </c>
      <c r="L93" s="12">
        <v>43695</v>
      </c>
      <c r="M93" t="s">
        <v>20</v>
      </c>
    </row>
    <row r="94" spans="1:13" ht="30" customHeight="1">
      <c r="A94" s="6" t="s">
        <v>233</v>
      </c>
      <c r="B94" s="7" t="s">
        <v>234</v>
      </c>
      <c r="C94" s="7" t="s">
        <v>235</v>
      </c>
      <c r="D94" s="6" t="s">
        <v>18</v>
      </c>
      <c r="E94" s="7" t="s">
        <v>224</v>
      </c>
      <c r="F94" s="13">
        <v>46023</v>
      </c>
      <c r="G94" s="9">
        <f>IFERROR(VLOOKUP(D94,Listas!$A$2:$B$20,2,FALSE()),999)</f>
        <v>1</v>
      </c>
      <c r="H94" s="10" t="str">
        <f t="shared" ca="1" si="1"/>
        <v>Revisar</v>
      </c>
      <c r="J94" s="11">
        <v>120</v>
      </c>
      <c r="K94" s="11">
        <v>120</v>
      </c>
      <c r="L94" s="12">
        <v>39263</v>
      </c>
      <c r="M94" t="s">
        <v>36</v>
      </c>
    </row>
    <row r="95" spans="1:13" ht="30" customHeight="1">
      <c r="A95" s="6" t="s">
        <v>236</v>
      </c>
      <c r="B95" s="7" t="s">
        <v>234</v>
      </c>
      <c r="C95" s="7" t="s">
        <v>235</v>
      </c>
      <c r="D95" s="6" t="s">
        <v>18</v>
      </c>
      <c r="E95" s="7" t="s">
        <v>224</v>
      </c>
      <c r="F95" s="13">
        <v>46023</v>
      </c>
      <c r="G95" s="9">
        <f>IFERROR(VLOOKUP(D95,Listas!$A$2:$B$20,2,FALSE()),999)</f>
        <v>1</v>
      </c>
      <c r="H95" s="10" t="str">
        <f t="shared" ca="1" si="1"/>
        <v>Revisar</v>
      </c>
      <c r="J95" s="11">
        <v>120</v>
      </c>
      <c r="K95" s="11">
        <v>120</v>
      </c>
      <c r="L95" s="12">
        <v>39263</v>
      </c>
      <c r="M95" t="s">
        <v>36</v>
      </c>
    </row>
    <row r="96" spans="1:13" ht="30" customHeight="1">
      <c r="A96" s="6" t="s">
        <v>237</v>
      </c>
      <c r="B96" s="7" t="s">
        <v>234</v>
      </c>
      <c r="C96" s="7" t="s">
        <v>235</v>
      </c>
      <c r="D96" s="6" t="s">
        <v>18</v>
      </c>
      <c r="E96" s="7" t="s">
        <v>224</v>
      </c>
      <c r="F96" s="13">
        <v>46023</v>
      </c>
      <c r="G96" s="9">
        <f>IFERROR(VLOOKUP(D96,Listas!$A$2:$B$20,2,FALSE()),999)</f>
        <v>1</v>
      </c>
      <c r="H96" s="10" t="str">
        <f t="shared" ca="1" si="1"/>
        <v>Revisar</v>
      </c>
      <c r="J96" s="11">
        <v>120</v>
      </c>
      <c r="K96" s="11">
        <v>120</v>
      </c>
      <c r="L96" s="12">
        <v>39263</v>
      </c>
      <c r="M96" t="s">
        <v>36</v>
      </c>
    </row>
    <row r="97" spans="1:13" ht="30" customHeight="1">
      <c r="A97" s="6" t="s">
        <v>238</v>
      </c>
      <c r="B97" s="7" t="s">
        <v>204</v>
      </c>
      <c r="C97" s="7" t="s">
        <v>239</v>
      </c>
      <c r="D97" s="6" t="s">
        <v>18</v>
      </c>
      <c r="E97" s="7" t="s">
        <v>224</v>
      </c>
      <c r="F97" s="13">
        <v>45809</v>
      </c>
      <c r="G97" s="9">
        <f>IFERROR(VLOOKUP(D97,Listas!$A$2:$B$20,2,FALSE()),999)</f>
        <v>1</v>
      </c>
      <c r="H97" s="10" t="str">
        <f t="shared" ca="1" si="1"/>
        <v>Revisar</v>
      </c>
      <c r="J97" s="11">
        <v>120</v>
      </c>
      <c r="K97" s="11">
        <v>120</v>
      </c>
      <c r="L97" s="12">
        <v>41090</v>
      </c>
      <c r="M97" t="s">
        <v>36</v>
      </c>
    </row>
    <row r="98" spans="1:13" ht="30" customHeight="1">
      <c r="A98" s="6" t="s">
        <v>240</v>
      </c>
      <c r="B98" s="7" t="s">
        <v>204</v>
      </c>
      <c r="C98" s="7" t="s">
        <v>241</v>
      </c>
      <c r="D98" s="6" t="s">
        <v>18</v>
      </c>
      <c r="E98" s="7" t="s">
        <v>224</v>
      </c>
      <c r="F98" s="13">
        <v>45809</v>
      </c>
      <c r="G98" s="9">
        <f>IFERROR(VLOOKUP(D98,Listas!$A$2:$B$20,2,FALSE()),999)</f>
        <v>1</v>
      </c>
      <c r="H98" s="10" t="str">
        <f t="shared" ca="1" si="1"/>
        <v>Revisar</v>
      </c>
      <c r="J98" s="11">
        <v>120</v>
      </c>
      <c r="K98" s="11">
        <v>120</v>
      </c>
      <c r="L98" s="12">
        <v>41090</v>
      </c>
      <c r="M98" t="s">
        <v>36</v>
      </c>
    </row>
    <row r="99" spans="1:13" ht="30" customHeight="1">
      <c r="A99" s="6" t="s">
        <v>242</v>
      </c>
      <c r="B99" s="7" t="s">
        <v>204</v>
      </c>
      <c r="C99" s="7" t="s">
        <v>241</v>
      </c>
      <c r="D99" s="6" t="s">
        <v>18</v>
      </c>
      <c r="E99" s="7" t="s">
        <v>224</v>
      </c>
      <c r="F99" s="13">
        <v>45809</v>
      </c>
      <c r="G99" s="9">
        <f>IFERROR(VLOOKUP(D99,Listas!$A$2:$B$20,2,FALSE()),999)</f>
        <v>1</v>
      </c>
      <c r="H99" s="10" t="str">
        <f t="shared" ca="1" si="1"/>
        <v>Revisar</v>
      </c>
      <c r="J99" s="11">
        <v>120</v>
      </c>
      <c r="K99" s="11">
        <v>120</v>
      </c>
      <c r="L99" s="12">
        <v>41090</v>
      </c>
      <c r="M99" t="s">
        <v>36</v>
      </c>
    </row>
    <row r="100" spans="1:13" ht="30" customHeight="1">
      <c r="A100" s="6" t="s">
        <v>243</v>
      </c>
      <c r="B100" s="7" t="s">
        <v>204</v>
      </c>
      <c r="C100" s="7" t="s">
        <v>244</v>
      </c>
      <c r="D100" s="6" t="s">
        <v>18</v>
      </c>
      <c r="E100" s="7" t="s">
        <v>224</v>
      </c>
      <c r="F100" s="13">
        <v>45809</v>
      </c>
      <c r="G100" s="9">
        <f>IFERROR(VLOOKUP(D100,Listas!$A$2:$B$20,2,FALSE()),999)</f>
        <v>1</v>
      </c>
      <c r="H100" s="10" t="str">
        <f t="shared" ca="1" si="1"/>
        <v>Revisar</v>
      </c>
      <c r="J100" s="11">
        <v>120</v>
      </c>
      <c r="K100" s="11">
        <v>120</v>
      </c>
      <c r="L100" s="12">
        <v>40663</v>
      </c>
      <c r="M100" t="s">
        <v>36</v>
      </c>
    </row>
    <row r="101" spans="1:13" ht="30" customHeight="1">
      <c r="A101" s="6" t="s">
        <v>245</v>
      </c>
      <c r="B101" s="7" t="s">
        <v>204</v>
      </c>
      <c r="C101" s="7" t="s">
        <v>246</v>
      </c>
      <c r="D101" s="6" t="s">
        <v>18</v>
      </c>
      <c r="E101" s="7" t="s">
        <v>224</v>
      </c>
      <c r="F101" s="13">
        <v>45809</v>
      </c>
      <c r="G101" s="9">
        <f>IFERROR(VLOOKUP(D101,Listas!$A$2:$B$20,2,FALSE()),999)</f>
        <v>1</v>
      </c>
      <c r="H101" s="10" t="str">
        <f t="shared" ca="1" si="1"/>
        <v>Revisar</v>
      </c>
      <c r="J101" s="11">
        <v>120</v>
      </c>
      <c r="K101" s="11">
        <v>117</v>
      </c>
      <c r="L101" s="12">
        <v>42735</v>
      </c>
      <c r="M101" t="s">
        <v>20</v>
      </c>
    </row>
    <row r="102" spans="1:13" ht="30" customHeight="1">
      <c r="A102" s="6" t="s">
        <v>247</v>
      </c>
      <c r="B102" s="7" t="s">
        <v>204</v>
      </c>
      <c r="C102" s="7" t="s">
        <v>246</v>
      </c>
      <c r="D102" s="6" t="s">
        <v>18</v>
      </c>
      <c r="E102" s="7" t="s">
        <v>224</v>
      </c>
      <c r="F102" s="13">
        <v>45809</v>
      </c>
      <c r="G102" s="9">
        <f>IFERROR(VLOOKUP(D102,Listas!$A$2:$B$20,2,FALSE()),999)</f>
        <v>1</v>
      </c>
      <c r="H102" s="10" t="str">
        <f t="shared" ca="1" si="1"/>
        <v>Revisar</v>
      </c>
      <c r="J102" s="11">
        <v>120</v>
      </c>
      <c r="K102" s="11">
        <v>117</v>
      </c>
      <c r="L102" s="12">
        <v>42735</v>
      </c>
      <c r="M102" t="s">
        <v>20</v>
      </c>
    </row>
    <row r="103" spans="1:13" ht="30" customHeight="1">
      <c r="A103" s="6" t="s">
        <v>248</v>
      </c>
      <c r="B103" s="7" t="s">
        <v>204</v>
      </c>
      <c r="C103" s="7" t="s">
        <v>246</v>
      </c>
      <c r="D103" s="6" t="s">
        <v>18</v>
      </c>
      <c r="E103" s="7" t="s">
        <v>224</v>
      </c>
      <c r="F103" s="13">
        <v>45809</v>
      </c>
      <c r="G103" s="9">
        <f>IFERROR(VLOOKUP(D103,Listas!$A$2:$B$20,2,FALSE()),999)</f>
        <v>1</v>
      </c>
      <c r="H103" s="10" t="str">
        <f t="shared" ca="1" si="1"/>
        <v>Revisar</v>
      </c>
      <c r="J103" s="11">
        <v>120</v>
      </c>
      <c r="K103" s="11">
        <v>117</v>
      </c>
      <c r="L103" s="12">
        <v>42735</v>
      </c>
      <c r="M103" t="s">
        <v>20</v>
      </c>
    </row>
    <row r="104" spans="1:13" ht="30" customHeight="1">
      <c r="A104" s="6" t="s">
        <v>249</v>
      </c>
      <c r="B104" s="7" t="s">
        <v>204</v>
      </c>
      <c r="C104" s="7" t="s">
        <v>250</v>
      </c>
      <c r="D104" s="6" t="s">
        <v>18</v>
      </c>
      <c r="E104" s="7" t="s">
        <v>224</v>
      </c>
      <c r="F104" s="13">
        <v>45809</v>
      </c>
      <c r="G104" s="9">
        <f>IFERROR(VLOOKUP(D104,Listas!$A$2:$B$20,2,FALSE()),999)</f>
        <v>1</v>
      </c>
      <c r="H104" s="10" t="str">
        <f t="shared" ca="1" si="1"/>
        <v>Revisar</v>
      </c>
      <c r="J104" s="11">
        <v>1</v>
      </c>
      <c r="K104" s="11">
        <v>1</v>
      </c>
      <c r="L104" s="12">
        <v>42886</v>
      </c>
      <c r="M104" t="s">
        <v>36</v>
      </c>
    </row>
    <row r="105" spans="1:13" ht="30" customHeight="1">
      <c r="A105" s="6" t="s">
        <v>251</v>
      </c>
      <c r="B105" s="7" t="s">
        <v>204</v>
      </c>
      <c r="C105" s="7" t="s">
        <v>252</v>
      </c>
      <c r="D105" s="6" t="s">
        <v>18</v>
      </c>
      <c r="E105" s="7" t="s">
        <v>224</v>
      </c>
      <c r="F105" s="13">
        <v>45809</v>
      </c>
      <c r="G105" s="9">
        <f>IFERROR(VLOOKUP(D105,Listas!$A$2:$B$20,2,FALSE()),999)</f>
        <v>1</v>
      </c>
      <c r="H105" s="9" t="str">
        <f t="shared" ca="1" si="1"/>
        <v>Revisar</v>
      </c>
      <c r="J105" s="11">
        <v>1</v>
      </c>
      <c r="K105" s="11">
        <v>1</v>
      </c>
      <c r="L105" s="12">
        <v>42886</v>
      </c>
      <c r="M105" t="s">
        <v>36</v>
      </c>
    </row>
    <row r="106" spans="1:13" ht="30" customHeight="1">
      <c r="A106" s="6" t="s">
        <v>253</v>
      </c>
      <c r="B106" s="7" t="s">
        <v>204</v>
      </c>
      <c r="C106" s="7" t="s">
        <v>254</v>
      </c>
      <c r="D106" s="6" t="s">
        <v>18</v>
      </c>
      <c r="E106" s="7" t="s">
        <v>224</v>
      </c>
      <c r="F106" s="13">
        <v>45809</v>
      </c>
      <c r="G106" s="9">
        <f>IFERROR(VLOOKUP(D106,Listas!$A$2:$B$20,2,FALSE()),999)</f>
        <v>1</v>
      </c>
      <c r="H106" s="9" t="str">
        <f t="shared" ca="1" si="1"/>
        <v>Revisar</v>
      </c>
      <c r="J106" s="11">
        <v>120</v>
      </c>
      <c r="K106" s="11">
        <v>120</v>
      </c>
      <c r="L106" s="12">
        <v>41090</v>
      </c>
      <c r="M106" t="s">
        <v>36</v>
      </c>
    </row>
    <row r="107" spans="1:13" ht="30" customHeight="1">
      <c r="A107" s="6" t="s">
        <v>255</v>
      </c>
      <c r="B107" s="7" t="s">
        <v>204</v>
      </c>
      <c r="C107" s="7" t="s">
        <v>254</v>
      </c>
      <c r="D107" s="6" t="s">
        <v>18</v>
      </c>
      <c r="E107" s="7" t="s">
        <v>224</v>
      </c>
      <c r="F107" s="13">
        <v>45809</v>
      </c>
      <c r="G107" s="9">
        <f>IFERROR(VLOOKUP(D107,Listas!$A$2:$B$20,2,FALSE()),999)</f>
        <v>1</v>
      </c>
      <c r="H107" s="9" t="str">
        <f t="shared" ca="1" si="1"/>
        <v>Revisar</v>
      </c>
      <c r="J107" s="11">
        <v>120</v>
      </c>
      <c r="K107" s="11">
        <v>120</v>
      </c>
      <c r="L107" s="12">
        <v>41090</v>
      </c>
      <c r="M107" t="s">
        <v>36</v>
      </c>
    </row>
    <row r="108" spans="1:13" ht="30" customHeight="1">
      <c r="A108" s="6" t="s">
        <v>256</v>
      </c>
      <c r="B108" s="7" t="s">
        <v>204</v>
      </c>
      <c r="C108" s="7" t="s">
        <v>254</v>
      </c>
      <c r="D108" s="6" t="s">
        <v>18</v>
      </c>
      <c r="E108" s="7" t="s">
        <v>224</v>
      </c>
      <c r="F108" s="13">
        <v>45809</v>
      </c>
      <c r="G108" s="9">
        <f>IFERROR(VLOOKUP(D108,Listas!$A$2:$B$20,2,FALSE()),999)</f>
        <v>1</v>
      </c>
      <c r="H108" s="9" t="str">
        <f t="shared" ca="1" si="1"/>
        <v>Revisar</v>
      </c>
      <c r="J108" s="11">
        <v>120</v>
      </c>
      <c r="K108" s="11">
        <v>120</v>
      </c>
      <c r="L108" s="12">
        <v>41090</v>
      </c>
      <c r="M108" t="s">
        <v>36</v>
      </c>
    </row>
    <row r="109" spans="1:13" ht="30" customHeight="1">
      <c r="A109" s="6" t="s">
        <v>257</v>
      </c>
      <c r="B109" s="7" t="s">
        <v>204</v>
      </c>
      <c r="C109" s="7" t="s">
        <v>258</v>
      </c>
      <c r="D109" s="6" t="s">
        <v>18</v>
      </c>
      <c r="E109" s="7" t="s">
        <v>224</v>
      </c>
      <c r="F109" s="13">
        <v>45809</v>
      </c>
      <c r="G109" s="9">
        <f>IFERROR(VLOOKUP(D109,Listas!$A$2:$B$20,2,FALSE()),999)</f>
        <v>1</v>
      </c>
      <c r="H109" s="9" t="str">
        <f t="shared" ca="1" si="1"/>
        <v>Revisar</v>
      </c>
      <c r="J109" s="11">
        <v>120</v>
      </c>
      <c r="K109" s="11">
        <v>56</v>
      </c>
      <c r="L109" s="12">
        <v>44562</v>
      </c>
      <c r="M109" t="s">
        <v>20</v>
      </c>
    </row>
    <row r="110" spans="1:13" ht="30" customHeight="1">
      <c r="A110" s="6" t="s">
        <v>259</v>
      </c>
      <c r="B110" s="7" t="s">
        <v>204</v>
      </c>
      <c r="C110" s="7" t="s">
        <v>258</v>
      </c>
      <c r="D110" s="6" t="s">
        <v>18</v>
      </c>
      <c r="E110" s="7" t="s">
        <v>224</v>
      </c>
      <c r="F110" s="13">
        <v>45809</v>
      </c>
      <c r="G110" s="9">
        <f>IFERROR(VLOOKUP(D110,Listas!$A$2:$B$20,2,FALSE()),999)</f>
        <v>1</v>
      </c>
      <c r="H110" s="9" t="str">
        <f t="shared" ca="1" si="1"/>
        <v>Revisar</v>
      </c>
      <c r="J110" s="11">
        <v>120</v>
      </c>
      <c r="K110" s="11">
        <v>56</v>
      </c>
      <c r="L110" s="12">
        <v>44562</v>
      </c>
      <c r="M110" t="s">
        <v>20</v>
      </c>
    </row>
    <row r="111" spans="1:13" ht="30" customHeight="1">
      <c r="A111" s="6" t="s">
        <v>260</v>
      </c>
      <c r="B111" s="7" t="s">
        <v>204</v>
      </c>
      <c r="C111" s="7" t="s">
        <v>258</v>
      </c>
      <c r="D111" s="6" t="s">
        <v>18</v>
      </c>
      <c r="E111" s="7" t="s">
        <v>224</v>
      </c>
      <c r="F111" s="13">
        <v>45809</v>
      </c>
      <c r="G111" s="9">
        <f>IFERROR(VLOOKUP(D111,Listas!$A$2:$B$20,2,FALSE()),999)</f>
        <v>1</v>
      </c>
      <c r="H111" s="9" t="str">
        <f t="shared" ca="1" si="1"/>
        <v>Revisar</v>
      </c>
      <c r="J111" s="11">
        <v>120</v>
      </c>
      <c r="K111" s="11">
        <v>56</v>
      </c>
      <c r="L111" s="12">
        <v>44562</v>
      </c>
      <c r="M111" t="s">
        <v>20</v>
      </c>
    </row>
    <row r="112" spans="1:13" ht="30" customHeight="1">
      <c r="A112" s="6" t="s">
        <v>261</v>
      </c>
      <c r="B112" s="7" t="s">
        <v>204</v>
      </c>
      <c r="C112" s="7" t="s">
        <v>262</v>
      </c>
      <c r="D112" s="6" t="s">
        <v>18</v>
      </c>
      <c r="E112" s="7" t="s">
        <v>224</v>
      </c>
      <c r="F112" s="13">
        <v>45809</v>
      </c>
      <c r="G112" s="9">
        <f>IFERROR(VLOOKUP(D112,Listas!$A$2:$B$20,2,FALSE()),999)</f>
        <v>1</v>
      </c>
      <c r="H112" s="9" t="str">
        <f t="shared" ca="1" si="1"/>
        <v>Revisar</v>
      </c>
      <c r="J112" s="11">
        <v>120</v>
      </c>
      <c r="K112" s="11">
        <v>103</v>
      </c>
      <c r="L112" s="12">
        <v>43115</v>
      </c>
      <c r="M112" t="s">
        <v>20</v>
      </c>
    </row>
    <row r="113" spans="1:13" ht="30" customHeight="1">
      <c r="A113" s="6" t="s">
        <v>263</v>
      </c>
      <c r="B113" s="7" t="s">
        <v>204</v>
      </c>
      <c r="C113" s="7" t="s">
        <v>262</v>
      </c>
      <c r="D113" s="6" t="s">
        <v>18</v>
      </c>
      <c r="E113" s="7" t="s">
        <v>224</v>
      </c>
      <c r="F113" s="13">
        <v>45809</v>
      </c>
      <c r="G113" s="9">
        <f>IFERROR(VLOOKUP(D113,Listas!$A$2:$B$20,2,FALSE()),999)</f>
        <v>1</v>
      </c>
      <c r="H113" s="9" t="str">
        <f t="shared" ca="1" si="1"/>
        <v>Revisar</v>
      </c>
      <c r="J113" s="11">
        <v>120</v>
      </c>
      <c r="K113" s="11">
        <v>103</v>
      </c>
      <c r="L113" s="12">
        <v>43115</v>
      </c>
      <c r="M113" t="s">
        <v>20</v>
      </c>
    </row>
    <row r="114" spans="1:13" ht="30" customHeight="1">
      <c r="A114" s="6" t="s">
        <v>264</v>
      </c>
      <c r="B114" s="7" t="s">
        <v>204</v>
      </c>
      <c r="C114" s="7" t="s">
        <v>262</v>
      </c>
      <c r="D114" s="6" t="s">
        <v>18</v>
      </c>
      <c r="E114" s="7" t="s">
        <v>224</v>
      </c>
      <c r="F114" s="13">
        <v>45809</v>
      </c>
      <c r="G114" s="9">
        <f>IFERROR(VLOOKUP(D114,Listas!$A$2:$B$20,2,FALSE()),999)</f>
        <v>1</v>
      </c>
      <c r="H114" s="9" t="str">
        <f t="shared" ca="1" si="1"/>
        <v>Revisar</v>
      </c>
      <c r="J114" s="11">
        <v>120</v>
      </c>
      <c r="K114" s="11">
        <v>103</v>
      </c>
      <c r="L114" s="12">
        <v>43115</v>
      </c>
      <c r="M114" t="s">
        <v>20</v>
      </c>
    </row>
    <row r="115" spans="1:13" ht="30" customHeight="1">
      <c r="A115" s="6" t="s">
        <v>265</v>
      </c>
      <c r="B115" s="7" t="s">
        <v>204</v>
      </c>
      <c r="C115" s="7" t="s">
        <v>262</v>
      </c>
      <c r="D115" s="6" t="s">
        <v>18</v>
      </c>
      <c r="E115" s="7" t="s">
        <v>224</v>
      </c>
      <c r="F115" s="13">
        <v>45809</v>
      </c>
      <c r="G115" s="9">
        <f>IFERROR(VLOOKUP(D115,Listas!$A$2:$B$20,2,FALSE()),999)</f>
        <v>1</v>
      </c>
      <c r="H115" s="9" t="str">
        <f t="shared" ca="1" si="1"/>
        <v>Revisar</v>
      </c>
      <c r="J115" s="11">
        <v>120</v>
      </c>
      <c r="K115" s="11">
        <v>103</v>
      </c>
      <c r="L115" s="12">
        <v>43115</v>
      </c>
      <c r="M115" t="s">
        <v>20</v>
      </c>
    </row>
    <row r="116" spans="1:13" ht="30" customHeight="1">
      <c r="A116" s="6" t="s">
        <v>266</v>
      </c>
      <c r="B116" s="7" t="s">
        <v>204</v>
      </c>
      <c r="C116" s="7" t="s">
        <v>262</v>
      </c>
      <c r="D116" s="6" t="s">
        <v>18</v>
      </c>
      <c r="E116" s="7" t="s">
        <v>224</v>
      </c>
      <c r="F116" s="13">
        <v>45809</v>
      </c>
      <c r="G116" s="9">
        <f>IFERROR(VLOOKUP(D116,Listas!$A$2:$B$20,2,FALSE()),999)</f>
        <v>1</v>
      </c>
      <c r="H116" s="9" t="str">
        <f t="shared" ca="1" si="1"/>
        <v>Revisar</v>
      </c>
      <c r="J116" s="11">
        <v>120</v>
      </c>
      <c r="K116" s="11">
        <v>103</v>
      </c>
      <c r="L116" s="12">
        <v>43115</v>
      </c>
      <c r="M116" t="s">
        <v>20</v>
      </c>
    </row>
    <row r="117" spans="1:13" ht="30" customHeight="1">
      <c r="A117" s="6" t="s">
        <v>267</v>
      </c>
      <c r="B117" s="7" t="s">
        <v>204</v>
      </c>
      <c r="C117" s="7" t="s">
        <v>268</v>
      </c>
      <c r="D117" s="6" t="s">
        <v>18</v>
      </c>
      <c r="E117" s="7" t="s">
        <v>224</v>
      </c>
      <c r="F117" s="13">
        <v>45809</v>
      </c>
      <c r="G117" s="9">
        <f>IFERROR(VLOOKUP(D117,Listas!$A$2:$B$20,2,FALSE()),999)</f>
        <v>1</v>
      </c>
      <c r="H117" s="9" t="str">
        <f t="shared" ca="1" si="1"/>
        <v>Revisar</v>
      </c>
      <c r="J117" s="11">
        <v>120</v>
      </c>
      <c r="K117" s="11">
        <v>93</v>
      </c>
      <c r="L117" s="12">
        <v>43457</v>
      </c>
      <c r="M117" t="s">
        <v>20</v>
      </c>
    </row>
    <row r="118" spans="1:13" ht="30" customHeight="1">
      <c r="A118" s="6" t="s">
        <v>269</v>
      </c>
      <c r="B118" s="7" t="s">
        <v>204</v>
      </c>
      <c r="C118" s="7" t="s">
        <v>268</v>
      </c>
      <c r="D118" s="6" t="s">
        <v>18</v>
      </c>
      <c r="E118" s="7" t="s">
        <v>224</v>
      </c>
      <c r="F118" s="13">
        <v>45809</v>
      </c>
      <c r="G118" s="9">
        <f>IFERROR(VLOOKUP(D118,Listas!$A$2:$B$20,2,FALSE()),999)</f>
        <v>1</v>
      </c>
      <c r="H118" s="9" t="str">
        <f t="shared" ca="1" si="1"/>
        <v>Revisar</v>
      </c>
      <c r="J118" s="11">
        <v>120</v>
      </c>
      <c r="K118" s="11">
        <v>93</v>
      </c>
      <c r="L118" s="12">
        <v>43457</v>
      </c>
      <c r="M118" t="s">
        <v>20</v>
      </c>
    </row>
    <row r="119" spans="1:13" ht="30" customHeight="1">
      <c r="A119" s="6" t="s">
        <v>270</v>
      </c>
      <c r="B119" s="7" t="s">
        <v>204</v>
      </c>
      <c r="C119" s="7" t="s">
        <v>268</v>
      </c>
      <c r="D119" s="6" t="s">
        <v>18</v>
      </c>
      <c r="E119" s="7" t="s">
        <v>224</v>
      </c>
      <c r="F119" s="13">
        <v>45809</v>
      </c>
      <c r="G119" s="9">
        <f>IFERROR(VLOOKUP(D119,Listas!$A$2:$B$20,2,FALSE()),999)</f>
        <v>1</v>
      </c>
      <c r="H119" s="9" t="str">
        <f t="shared" ca="1" si="1"/>
        <v>Revisar</v>
      </c>
      <c r="J119" s="11">
        <v>120</v>
      </c>
      <c r="K119" s="11">
        <v>93</v>
      </c>
      <c r="L119" s="12">
        <v>43457</v>
      </c>
      <c r="M119" t="s">
        <v>20</v>
      </c>
    </row>
    <row r="120" spans="1:13" ht="30" customHeight="1">
      <c r="A120" s="6" t="s">
        <v>271</v>
      </c>
      <c r="B120" s="7" t="s">
        <v>204</v>
      </c>
      <c r="C120" s="7" t="s">
        <v>268</v>
      </c>
      <c r="D120" s="6" t="s">
        <v>18</v>
      </c>
      <c r="E120" s="7" t="s">
        <v>224</v>
      </c>
      <c r="F120" s="13">
        <v>45809</v>
      </c>
      <c r="G120" s="9">
        <f>IFERROR(VLOOKUP(D120,Listas!$A$2:$B$20,2,FALSE()),999)</f>
        <v>1</v>
      </c>
      <c r="H120" s="9" t="str">
        <f t="shared" ca="1" si="1"/>
        <v>Revisar</v>
      </c>
      <c r="J120" s="11">
        <v>120</v>
      </c>
      <c r="K120" s="11">
        <v>93</v>
      </c>
      <c r="L120" s="12">
        <v>43457</v>
      </c>
      <c r="M120" t="s">
        <v>20</v>
      </c>
    </row>
    <row r="121" spans="1:13" ht="30" customHeight="1">
      <c r="A121" s="6" t="s">
        <v>272</v>
      </c>
      <c r="B121" s="7" t="s">
        <v>204</v>
      </c>
      <c r="C121" s="7" t="s">
        <v>258</v>
      </c>
      <c r="D121" s="6" t="s">
        <v>18</v>
      </c>
      <c r="E121" s="7" t="s">
        <v>224</v>
      </c>
      <c r="F121" s="13">
        <v>45809</v>
      </c>
      <c r="G121" s="9">
        <f>IFERROR(VLOOKUP(D121,Listas!$A$2:$B$20,2,FALSE()),999)</f>
        <v>1</v>
      </c>
      <c r="H121" s="9" t="str">
        <f t="shared" ca="1" si="1"/>
        <v>Revisar</v>
      </c>
      <c r="J121" s="11">
        <v>120</v>
      </c>
      <c r="K121" s="11">
        <v>56</v>
      </c>
      <c r="L121" s="12">
        <v>44562</v>
      </c>
      <c r="M121" t="s">
        <v>20</v>
      </c>
    </row>
    <row r="122" spans="1:13" ht="30" customHeight="1">
      <c r="A122" s="6" t="s">
        <v>273</v>
      </c>
      <c r="B122" s="7" t="s">
        <v>204</v>
      </c>
      <c r="C122" s="7" t="s">
        <v>258</v>
      </c>
      <c r="D122" s="6" t="s">
        <v>18</v>
      </c>
      <c r="E122" s="7" t="s">
        <v>224</v>
      </c>
      <c r="F122" s="13">
        <v>45809</v>
      </c>
      <c r="G122" s="9">
        <f>IFERROR(VLOOKUP(D122,Listas!$A$2:$B$20,2,FALSE()),999)</f>
        <v>1</v>
      </c>
      <c r="H122" s="9" t="str">
        <f t="shared" ca="1" si="1"/>
        <v>Revisar</v>
      </c>
      <c r="J122" s="11">
        <v>120</v>
      </c>
      <c r="K122" s="11">
        <v>56</v>
      </c>
      <c r="L122" s="12">
        <v>44562</v>
      </c>
      <c r="M122" t="s">
        <v>20</v>
      </c>
    </row>
    <row r="123" spans="1:13" ht="30" customHeight="1">
      <c r="A123" s="6" t="s">
        <v>274</v>
      </c>
      <c r="B123" s="7" t="s">
        <v>204</v>
      </c>
      <c r="C123" s="7" t="s">
        <v>275</v>
      </c>
      <c r="D123" s="6" t="s">
        <v>18</v>
      </c>
      <c r="E123" s="7" t="s">
        <v>224</v>
      </c>
      <c r="F123" s="13">
        <v>45809</v>
      </c>
      <c r="G123" s="9">
        <f>IFERROR(VLOOKUP(D123,Listas!$A$2:$B$20,2,FALSE()),999)</f>
        <v>1</v>
      </c>
      <c r="H123" s="9" t="str">
        <f t="shared" ca="1" si="1"/>
        <v>Revisar</v>
      </c>
      <c r="J123" s="11">
        <v>120</v>
      </c>
      <c r="K123" s="11">
        <v>11</v>
      </c>
      <c r="L123" s="12">
        <v>45931</v>
      </c>
      <c r="M123" t="s">
        <v>20</v>
      </c>
    </row>
    <row r="124" spans="1:13" ht="30" customHeight="1">
      <c r="A124" s="6" t="s">
        <v>276</v>
      </c>
      <c r="B124" s="7" t="s">
        <v>204</v>
      </c>
      <c r="C124" s="7" t="s">
        <v>275</v>
      </c>
      <c r="D124" s="6" t="s">
        <v>18</v>
      </c>
      <c r="E124" s="7" t="s">
        <v>224</v>
      </c>
      <c r="F124" s="13">
        <v>45809</v>
      </c>
      <c r="G124" s="9">
        <f>IFERROR(VLOOKUP(D124,Listas!$A$2:$B$20,2,FALSE()),999)</f>
        <v>1</v>
      </c>
      <c r="H124" s="9" t="str">
        <f t="shared" ca="1" si="1"/>
        <v>Revisar</v>
      </c>
      <c r="J124" s="11">
        <v>120</v>
      </c>
      <c r="K124" s="11">
        <v>11</v>
      </c>
      <c r="L124" s="12">
        <v>45931</v>
      </c>
      <c r="M124" t="s">
        <v>20</v>
      </c>
    </row>
    <row r="125" spans="1:13" ht="30" customHeight="1">
      <c r="A125" s="6" t="s">
        <v>277</v>
      </c>
      <c r="B125" s="7" t="s">
        <v>204</v>
      </c>
      <c r="C125" s="7" t="s">
        <v>275</v>
      </c>
      <c r="D125" s="6" t="s">
        <v>18</v>
      </c>
      <c r="E125" s="7" t="s">
        <v>224</v>
      </c>
      <c r="F125" s="13">
        <v>45809</v>
      </c>
      <c r="G125" s="9">
        <f>IFERROR(VLOOKUP(D125,Listas!$A$2:$B$20,2,FALSE()),999)</f>
        <v>1</v>
      </c>
      <c r="H125" s="9" t="str">
        <f t="shared" ca="1" si="1"/>
        <v>Revisar</v>
      </c>
      <c r="J125" s="11">
        <v>120</v>
      </c>
      <c r="K125" s="11">
        <v>11</v>
      </c>
      <c r="L125" s="12">
        <v>45931</v>
      </c>
      <c r="M125" t="s">
        <v>20</v>
      </c>
    </row>
    <row r="126" spans="1:13" ht="30" customHeight="1">
      <c r="A126" s="6" t="s">
        <v>278</v>
      </c>
      <c r="B126" s="7" t="s">
        <v>279</v>
      </c>
      <c r="C126" s="7" t="s">
        <v>280</v>
      </c>
      <c r="D126" s="6" t="s">
        <v>18</v>
      </c>
      <c r="E126" s="7" t="s">
        <v>224</v>
      </c>
      <c r="F126" s="13">
        <v>45992</v>
      </c>
      <c r="G126" s="9">
        <f>IFERROR(VLOOKUP(D126,Listas!$A$2:$B$20,2,FALSE()),999)</f>
        <v>1</v>
      </c>
      <c r="H126" s="9" t="str">
        <f t="shared" ca="1" si="1"/>
        <v>Revisar</v>
      </c>
      <c r="J126" s="11">
        <v>1</v>
      </c>
      <c r="K126" s="11">
        <v>1</v>
      </c>
      <c r="L126" s="12">
        <v>42886</v>
      </c>
      <c r="M126" t="s">
        <v>36</v>
      </c>
    </row>
    <row r="127" spans="1:13" ht="30" customHeight="1">
      <c r="A127" s="6" t="s">
        <v>281</v>
      </c>
      <c r="B127" s="7" t="s">
        <v>279</v>
      </c>
      <c r="C127" s="7" t="s">
        <v>280</v>
      </c>
      <c r="D127" s="6" t="s">
        <v>18</v>
      </c>
      <c r="E127" s="7" t="s">
        <v>224</v>
      </c>
      <c r="F127" s="13">
        <v>45992</v>
      </c>
      <c r="G127" s="9">
        <f>IFERROR(VLOOKUP(D127,Listas!$A$2:$B$20,2,FALSE()),999)</f>
        <v>1</v>
      </c>
      <c r="H127" s="9" t="str">
        <f t="shared" ca="1" si="1"/>
        <v>Revisar</v>
      </c>
      <c r="J127" s="11">
        <v>1</v>
      </c>
      <c r="K127" s="11">
        <v>1</v>
      </c>
      <c r="L127" s="12">
        <v>42886</v>
      </c>
      <c r="M127" t="s">
        <v>36</v>
      </c>
    </row>
    <row r="128" spans="1:13" ht="30" customHeight="1">
      <c r="A128" s="6" t="s">
        <v>282</v>
      </c>
      <c r="B128" s="7" t="s">
        <v>279</v>
      </c>
      <c r="C128" s="7" t="s">
        <v>280</v>
      </c>
      <c r="D128" s="6" t="s">
        <v>18</v>
      </c>
      <c r="E128" s="7" t="s">
        <v>224</v>
      </c>
      <c r="F128" s="13">
        <v>45992</v>
      </c>
      <c r="G128" s="9">
        <f>IFERROR(VLOOKUP(D128,Listas!$A$2:$B$20,2,FALSE()),999)</f>
        <v>1</v>
      </c>
      <c r="H128" s="9" t="str">
        <f t="shared" ca="1" si="1"/>
        <v>Revisar</v>
      </c>
      <c r="J128" s="11">
        <v>1</v>
      </c>
      <c r="K128" s="11">
        <v>1</v>
      </c>
      <c r="L128" s="12">
        <v>42886</v>
      </c>
      <c r="M128" t="s">
        <v>36</v>
      </c>
    </row>
    <row r="129" spans="1:13" ht="30" customHeight="1">
      <c r="A129" s="6" t="s">
        <v>283</v>
      </c>
      <c r="B129" s="7" t="s">
        <v>279</v>
      </c>
      <c r="C129" s="7" t="s">
        <v>280</v>
      </c>
      <c r="D129" s="6" t="s">
        <v>18</v>
      </c>
      <c r="E129" s="7" t="s">
        <v>224</v>
      </c>
      <c r="F129" s="13">
        <v>45992</v>
      </c>
      <c r="G129" s="9">
        <f>IFERROR(VLOOKUP(D129,Listas!$A$2:$B$20,2,FALSE()),999)</f>
        <v>1</v>
      </c>
      <c r="H129" s="9" t="str">
        <f t="shared" ca="1" si="1"/>
        <v>Revisar</v>
      </c>
      <c r="J129" s="11">
        <v>1</v>
      </c>
      <c r="K129" s="11">
        <v>1</v>
      </c>
      <c r="L129" s="12">
        <v>42886</v>
      </c>
      <c r="M129" t="s">
        <v>36</v>
      </c>
    </row>
    <row r="130" spans="1:13" ht="30" customHeight="1">
      <c r="A130" s="6" t="s">
        <v>284</v>
      </c>
      <c r="B130" s="7" t="s">
        <v>279</v>
      </c>
      <c r="C130" s="7" t="s">
        <v>280</v>
      </c>
      <c r="D130" s="6" t="s">
        <v>18</v>
      </c>
      <c r="E130" s="7" t="s">
        <v>224</v>
      </c>
      <c r="F130" s="13">
        <v>45992</v>
      </c>
      <c r="G130" s="9">
        <f>IFERROR(VLOOKUP(D130,Listas!$A$2:$B$20,2,FALSE()),999)</f>
        <v>1</v>
      </c>
      <c r="H130" s="9" t="str">
        <f t="shared" ca="1" si="1"/>
        <v>Revisar</v>
      </c>
      <c r="J130" s="11">
        <v>1</v>
      </c>
      <c r="K130" s="11">
        <v>1</v>
      </c>
      <c r="L130" s="12">
        <v>42886</v>
      </c>
      <c r="M130" t="s">
        <v>36</v>
      </c>
    </row>
    <row r="131" spans="1:13" ht="30" customHeight="1">
      <c r="A131" s="6" t="s">
        <v>285</v>
      </c>
      <c r="B131" s="7" t="s">
        <v>279</v>
      </c>
      <c r="C131" s="7" t="s">
        <v>286</v>
      </c>
      <c r="D131" s="6" t="s">
        <v>18</v>
      </c>
      <c r="E131" s="7" t="s">
        <v>224</v>
      </c>
      <c r="F131" s="13">
        <v>45992</v>
      </c>
      <c r="G131" s="9">
        <f>IFERROR(VLOOKUP(D131,Listas!$A$2:$B$20,2,FALSE()),999)</f>
        <v>1</v>
      </c>
      <c r="H131" s="9" t="str">
        <f t="shared" ca="1" si="1"/>
        <v>Revisar</v>
      </c>
      <c r="J131" s="11">
        <v>120</v>
      </c>
      <c r="K131" s="11">
        <v>117</v>
      </c>
      <c r="L131" s="12">
        <v>42735</v>
      </c>
      <c r="M131" t="s">
        <v>20</v>
      </c>
    </row>
    <row r="132" spans="1:13" ht="30" customHeight="1">
      <c r="A132" s="6" t="s">
        <v>287</v>
      </c>
      <c r="B132" s="7" t="s">
        <v>279</v>
      </c>
      <c r="C132" s="7" t="s">
        <v>286</v>
      </c>
      <c r="D132" s="6" t="s">
        <v>18</v>
      </c>
      <c r="E132" s="7" t="s">
        <v>224</v>
      </c>
      <c r="F132" s="13">
        <v>45992</v>
      </c>
      <c r="G132" s="9">
        <f>IFERROR(VLOOKUP(D132,Listas!$A$2:$B$20,2,FALSE()),999)</f>
        <v>1</v>
      </c>
      <c r="H132" s="9" t="str">
        <f t="shared" ca="1" si="1"/>
        <v>Revisar</v>
      </c>
      <c r="J132" s="11">
        <v>120</v>
      </c>
      <c r="K132" s="11">
        <v>117</v>
      </c>
      <c r="L132" s="12">
        <v>42735</v>
      </c>
      <c r="M132" t="s">
        <v>20</v>
      </c>
    </row>
    <row r="133" spans="1:13" ht="30" customHeight="1">
      <c r="A133" s="6" t="s">
        <v>288</v>
      </c>
      <c r="B133" s="7" t="s">
        <v>279</v>
      </c>
      <c r="C133" s="7" t="s">
        <v>286</v>
      </c>
      <c r="D133" s="6" t="s">
        <v>18</v>
      </c>
      <c r="E133" s="7" t="s">
        <v>224</v>
      </c>
      <c r="F133" s="13">
        <v>45992</v>
      </c>
      <c r="G133" s="9">
        <f>IFERROR(VLOOKUP(D133,Listas!$A$2:$B$20,2,FALSE()),999)</f>
        <v>1</v>
      </c>
      <c r="H133" s="9" t="str">
        <f t="shared" ref="H133:H196" ca="1" si="2">IF(F133="","Sin fecha",IF(TODAY()-F133&gt;180,"Revisar",IF(TODAY()-F133&gt;90,"Próximo","Vigente")))</f>
        <v>Revisar</v>
      </c>
      <c r="J133" s="11">
        <v>120</v>
      </c>
      <c r="K133" s="11">
        <v>117</v>
      </c>
      <c r="L133" s="12">
        <v>42735</v>
      </c>
      <c r="M133" t="s">
        <v>20</v>
      </c>
    </row>
    <row r="134" spans="1:13" ht="30" customHeight="1">
      <c r="A134" s="6" t="s">
        <v>289</v>
      </c>
      <c r="B134" s="7" t="s">
        <v>279</v>
      </c>
      <c r="C134" s="7" t="s">
        <v>290</v>
      </c>
      <c r="D134" s="6" t="s">
        <v>18</v>
      </c>
      <c r="E134" s="7" t="s">
        <v>224</v>
      </c>
      <c r="F134" s="13">
        <v>45992</v>
      </c>
      <c r="G134" s="9">
        <f>IFERROR(VLOOKUP(D134,Listas!$A$2:$B$20,2,FALSE()),999)</f>
        <v>1</v>
      </c>
      <c r="H134" s="9" t="str">
        <f t="shared" ca="1" si="2"/>
        <v>Revisar</v>
      </c>
      <c r="J134" s="11">
        <v>120</v>
      </c>
      <c r="K134" s="11">
        <v>120</v>
      </c>
      <c r="L134" s="12">
        <v>39263</v>
      </c>
      <c r="M134" t="s">
        <v>36</v>
      </c>
    </row>
    <row r="135" spans="1:13" ht="30" customHeight="1">
      <c r="A135" s="6" t="s">
        <v>291</v>
      </c>
      <c r="B135" s="7" t="s">
        <v>279</v>
      </c>
      <c r="C135" s="7" t="s">
        <v>292</v>
      </c>
      <c r="D135" s="6" t="s">
        <v>18</v>
      </c>
      <c r="E135" s="7" t="s">
        <v>224</v>
      </c>
      <c r="F135" s="13">
        <v>45992</v>
      </c>
      <c r="G135" s="9">
        <f>IFERROR(VLOOKUP(D135,Listas!$A$2:$B$20,2,FALSE()),999)</f>
        <v>1</v>
      </c>
      <c r="H135" s="9" t="str">
        <f t="shared" ca="1" si="2"/>
        <v>Revisar</v>
      </c>
      <c r="J135" s="11">
        <v>120</v>
      </c>
      <c r="K135" s="11">
        <v>120</v>
      </c>
      <c r="L135" s="12">
        <v>41090</v>
      </c>
      <c r="M135" t="s">
        <v>36</v>
      </c>
    </row>
    <row r="136" spans="1:13" ht="30" customHeight="1">
      <c r="A136" s="6" t="s">
        <v>293</v>
      </c>
      <c r="B136" s="7" t="s">
        <v>279</v>
      </c>
      <c r="C136" s="7" t="s">
        <v>294</v>
      </c>
      <c r="D136" s="6" t="s">
        <v>18</v>
      </c>
      <c r="E136" s="7" t="s">
        <v>224</v>
      </c>
      <c r="F136" s="13">
        <v>45992</v>
      </c>
      <c r="G136" s="9">
        <f>IFERROR(VLOOKUP(D136,Listas!$A$2:$B$20,2,FALSE()),999)</f>
        <v>1</v>
      </c>
      <c r="H136" s="9" t="str">
        <f t="shared" ca="1" si="2"/>
        <v>Revisar</v>
      </c>
      <c r="J136" s="11">
        <v>1</v>
      </c>
      <c r="K136" s="11">
        <v>1</v>
      </c>
      <c r="L136" s="12">
        <v>42886</v>
      </c>
      <c r="M136" t="s">
        <v>36</v>
      </c>
    </row>
    <row r="137" spans="1:13" ht="30" customHeight="1">
      <c r="A137" s="6" t="s">
        <v>295</v>
      </c>
      <c r="B137" s="7" t="s">
        <v>279</v>
      </c>
      <c r="C137" s="7" t="s">
        <v>296</v>
      </c>
      <c r="D137" s="6" t="s">
        <v>18</v>
      </c>
      <c r="E137" s="7" t="s">
        <v>224</v>
      </c>
      <c r="F137" s="13">
        <v>45992</v>
      </c>
      <c r="G137" s="9">
        <f>IFERROR(VLOOKUP(D137,Listas!$A$2:$B$20,2,FALSE()),999)</f>
        <v>1</v>
      </c>
      <c r="H137" s="9" t="str">
        <f t="shared" ca="1" si="2"/>
        <v>Revisar</v>
      </c>
      <c r="J137" s="11">
        <v>1</v>
      </c>
      <c r="K137" s="11">
        <v>1</v>
      </c>
      <c r="L137" s="12">
        <v>44774</v>
      </c>
      <c r="M137" t="s">
        <v>36</v>
      </c>
    </row>
    <row r="138" spans="1:13" ht="30" customHeight="1">
      <c r="A138" s="6" t="s">
        <v>297</v>
      </c>
      <c r="B138" s="7" t="s">
        <v>279</v>
      </c>
      <c r="C138" s="7" t="s">
        <v>298</v>
      </c>
      <c r="D138" s="6" t="s">
        <v>18</v>
      </c>
      <c r="E138" s="7" t="s">
        <v>224</v>
      </c>
      <c r="F138" s="13">
        <v>45992</v>
      </c>
      <c r="G138" s="9">
        <f>IFERROR(VLOOKUP(D138,Listas!$A$2:$B$20,2,FALSE()),999)</f>
        <v>1</v>
      </c>
      <c r="H138" s="9" t="str">
        <f t="shared" ca="1" si="2"/>
        <v>Revisar</v>
      </c>
      <c r="J138" s="11">
        <v>120</v>
      </c>
      <c r="K138" s="11">
        <v>8</v>
      </c>
      <c r="L138" s="12">
        <v>46023</v>
      </c>
      <c r="M138" t="s">
        <v>20</v>
      </c>
    </row>
    <row r="139" spans="1:13" ht="30" customHeight="1">
      <c r="A139" s="6" t="s">
        <v>299</v>
      </c>
      <c r="B139" s="7" t="s">
        <v>279</v>
      </c>
      <c r="C139" s="7" t="s">
        <v>298</v>
      </c>
      <c r="D139" s="6" t="s">
        <v>18</v>
      </c>
      <c r="E139" s="7" t="s">
        <v>224</v>
      </c>
      <c r="F139" s="13">
        <v>45992</v>
      </c>
      <c r="G139" s="9">
        <f>IFERROR(VLOOKUP(D139,Listas!$A$2:$B$20,2,FALSE()),999)</f>
        <v>1</v>
      </c>
      <c r="H139" s="9" t="str">
        <f t="shared" ca="1" si="2"/>
        <v>Revisar</v>
      </c>
      <c r="J139" s="11">
        <v>120</v>
      </c>
      <c r="K139" s="11">
        <v>8</v>
      </c>
      <c r="L139" s="12">
        <v>46023</v>
      </c>
      <c r="M139" t="s">
        <v>20</v>
      </c>
    </row>
    <row r="140" spans="1:13" ht="30" customHeight="1">
      <c r="A140" s="6" t="s">
        <v>300</v>
      </c>
      <c r="B140" s="7" t="s">
        <v>279</v>
      </c>
      <c r="C140" s="7" t="s">
        <v>298</v>
      </c>
      <c r="D140" s="6" t="s">
        <v>18</v>
      </c>
      <c r="E140" s="7" t="s">
        <v>224</v>
      </c>
      <c r="F140" s="13">
        <v>45992</v>
      </c>
      <c r="G140" s="9">
        <f>IFERROR(VLOOKUP(D140,Listas!$A$2:$B$20,2,FALSE()),999)</f>
        <v>1</v>
      </c>
      <c r="H140" s="9" t="str">
        <f t="shared" ca="1" si="2"/>
        <v>Revisar</v>
      </c>
      <c r="J140" s="11">
        <v>120</v>
      </c>
      <c r="K140" s="11">
        <v>8</v>
      </c>
      <c r="L140" s="12">
        <v>46023</v>
      </c>
      <c r="M140" t="s">
        <v>20</v>
      </c>
    </row>
    <row r="141" spans="1:13" ht="30" customHeight="1">
      <c r="A141" s="6" t="s">
        <v>301</v>
      </c>
      <c r="B141" s="7" t="s">
        <v>279</v>
      </c>
      <c r="C141" s="7" t="s">
        <v>302</v>
      </c>
      <c r="D141" s="6" t="s">
        <v>18</v>
      </c>
      <c r="E141" s="7" t="s">
        <v>224</v>
      </c>
      <c r="F141" s="13">
        <v>45992</v>
      </c>
      <c r="G141" s="9">
        <f>IFERROR(VLOOKUP(D141,Listas!$A$2:$B$20,2,FALSE()),999)</f>
        <v>1</v>
      </c>
      <c r="H141" s="9" t="str">
        <f t="shared" ca="1" si="2"/>
        <v>Revisar</v>
      </c>
      <c r="J141" s="11">
        <v>120</v>
      </c>
      <c r="K141" s="11">
        <v>104</v>
      </c>
      <c r="L141" s="12">
        <v>43115</v>
      </c>
      <c r="M141" t="s">
        <v>20</v>
      </c>
    </row>
    <row r="142" spans="1:13" ht="30" customHeight="1">
      <c r="A142" s="6" t="s">
        <v>303</v>
      </c>
      <c r="B142" s="7" t="s">
        <v>279</v>
      </c>
      <c r="C142" s="7" t="s">
        <v>302</v>
      </c>
      <c r="D142" s="6" t="s">
        <v>18</v>
      </c>
      <c r="E142" s="7" t="s">
        <v>224</v>
      </c>
      <c r="F142" s="13">
        <v>45992</v>
      </c>
      <c r="G142" s="9">
        <f>IFERROR(VLOOKUP(D142,Listas!$A$2:$B$20,2,FALSE()),999)</f>
        <v>1</v>
      </c>
      <c r="H142" s="9" t="str">
        <f t="shared" ca="1" si="2"/>
        <v>Revisar</v>
      </c>
      <c r="J142" s="11">
        <v>120</v>
      </c>
      <c r="K142" s="11">
        <v>104</v>
      </c>
      <c r="L142" s="12">
        <v>43115</v>
      </c>
      <c r="M142" t="s">
        <v>20</v>
      </c>
    </row>
    <row r="143" spans="1:13" ht="30" customHeight="1">
      <c r="A143" s="6" t="s">
        <v>304</v>
      </c>
      <c r="B143" s="7" t="s">
        <v>279</v>
      </c>
      <c r="C143" s="7" t="s">
        <v>302</v>
      </c>
      <c r="D143" s="6" t="s">
        <v>18</v>
      </c>
      <c r="E143" s="7" t="s">
        <v>224</v>
      </c>
      <c r="F143" s="13">
        <v>45992</v>
      </c>
      <c r="G143" s="9">
        <f>IFERROR(VLOOKUP(D143,Listas!$A$2:$B$20,2,FALSE()),999)</f>
        <v>1</v>
      </c>
      <c r="H143" s="9" t="str">
        <f t="shared" ca="1" si="2"/>
        <v>Revisar</v>
      </c>
      <c r="J143" s="11">
        <v>120</v>
      </c>
      <c r="K143" s="11">
        <v>104</v>
      </c>
      <c r="L143" s="12">
        <v>43115</v>
      </c>
      <c r="M143" t="s">
        <v>20</v>
      </c>
    </row>
    <row r="144" spans="1:13" ht="30" customHeight="1">
      <c r="A144" s="6" t="s">
        <v>305</v>
      </c>
      <c r="B144" s="7" t="s">
        <v>279</v>
      </c>
      <c r="C144" s="7" t="s">
        <v>302</v>
      </c>
      <c r="D144" s="6" t="s">
        <v>18</v>
      </c>
      <c r="E144" s="7" t="s">
        <v>224</v>
      </c>
      <c r="F144" s="13">
        <v>45992</v>
      </c>
      <c r="G144" s="9">
        <f>IFERROR(VLOOKUP(D144,Listas!$A$2:$B$20,2,FALSE()),999)</f>
        <v>1</v>
      </c>
      <c r="H144" s="9" t="str">
        <f t="shared" ca="1" si="2"/>
        <v>Revisar</v>
      </c>
      <c r="J144" s="11">
        <v>120</v>
      </c>
      <c r="K144" s="11">
        <v>104</v>
      </c>
      <c r="L144" s="12">
        <v>43115</v>
      </c>
      <c r="M144" t="s">
        <v>20</v>
      </c>
    </row>
    <row r="145" spans="1:13" ht="30" customHeight="1">
      <c r="A145" s="6" t="s">
        <v>306</v>
      </c>
      <c r="B145" s="7" t="s">
        <v>279</v>
      </c>
      <c r="C145" s="7" t="s">
        <v>302</v>
      </c>
      <c r="D145" s="6" t="s">
        <v>18</v>
      </c>
      <c r="E145" s="7" t="s">
        <v>224</v>
      </c>
      <c r="F145" s="13">
        <v>45992</v>
      </c>
      <c r="G145" s="9">
        <f>IFERROR(VLOOKUP(D145,Listas!$A$2:$B$20,2,FALSE()),999)</f>
        <v>1</v>
      </c>
      <c r="H145" s="9" t="str">
        <f t="shared" ca="1" si="2"/>
        <v>Revisar</v>
      </c>
      <c r="J145" s="11">
        <v>120</v>
      </c>
      <c r="K145" s="11">
        <v>104</v>
      </c>
      <c r="L145" s="12">
        <v>43115</v>
      </c>
      <c r="M145" t="s">
        <v>20</v>
      </c>
    </row>
    <row r="146" spans="1:13" ht="30" customHeight="1">
      <c r="A146" s="6" t="s">
        <v>307</v>
      </c>
      <c r="B146" s="7" t="s">
        <v>279</v>
      </c>
      <c r="C146" s="7" t="s">
        <v>308</v>
      </c>
      <c r="D146" s="6" t="s">
        <v>18</v>
      </c>
      <c r="E146" s="7" t="s">
        <v>224</v>
      </c>
      <c r="F146" s="13">
        <v>45992</v>
      </c>
      <c r="G146" s="9">
        <f>IFERROR(VLOOKUP(D146,Listas!$A$2:$B$20,2,FALSE()),999)</f>
        <v>1</v>
      </c>
      <c r="H146" s="9" t="str">
        <f t="shared" ca="1" si="2"/>
        <v>Revisar</v>
      </c>
      <c r="J146" s="11">
        <v>120</v>
      </c>
      <c r="K146" s="11">
        <v>99</v>
      </c>
      <c r="L146" s="12">
        <v>43270</v>
      </c>
      <c r="M146" t="s">
        <v>20</v>
      </c>
    </row>
    <row r="147" spans="1:13" ht="30" customHeight="1">
      <c r="A147" s="6" t="s">
        <v>309</v>
      </c>
      <c r="B147" s="7" t="s">
        <v>279</v>
      </c>
      <c r="C147" s="7" t="s">
        <v>308</v>
      </c>
      <c r="D147" s="6" t="s">
        <v>18</v>
      </c>
      <c r="E147" s="7" t="s">
        <v>224</v>
      </c>
      <c r="F147" s="13">
        <v>45992</v>
      </c>
      <c r="G147" s="9">
        <f>IFERROR(VLOOKUP(D147,Listas!$A$2:$B$20,2,FALSE()),999)</f>
        <v>1</v>
      </c>
      <c r="H147" s="9" t="str">
        <f t="shared" ca="1" si="2"/>
        <v>Revisar</v>
      </c>
      <c r="J147" s="11">
        <v>120</v>
      </c>
      <c r="K147" s="11">
        <v>99</v>
      </c>
      <c r="L147" s="12">
        <v>43270</v>
      </c>
      <c r="M147" t="s">
        <v>20</v>
      </c>
    </row>
    <row r="148" spans="1:13" ht="30" customHeight="1">
      <c r="A148" s="6" t="s">
        <v>310</v>
      </c>
      <c r="B148" s="7" t="s">
        <v>279</v>
      </c>
      <c r="C148" s="7" t="s">
        <v>308</v>
      </c>
      <c r="D148" s="6" t="s">
        <v>18</v>
      </c>
      <c r="E148" s="7" t="s">
        <v>224</v>
      </c>
      <c r="F148" s="13">
        <v>45992</v>
      </c>
      <c r="G148" s="9">
        <f>IFERROR(VLOOKUP(D148,Listas!$A$2:$B$20,2,FALSE()),999)</f>
        <v>1</v>
      </c>
      <c r="H148" s="9" t="str">
        <f t="shared" ca="1" si="2"/>
        <v>Revisar</v>
      </c>
      <c r="J148" s="11">
        <v>120</v>
      </c>
      <c r="K148" s="11">
        <v>99</v>
      </c>
      <c r="L148" s="12">
        <v>43270</v>
      </c>
      <c r="M148" t="s">
        <v>20</v>
      </c>
    </row>
    <row r="149" spans="1:13" ht="30" customHeight="1">
      <c r="A149" s="6" t="s">
        <v>311</v>
      </c>
      <c r="B149" s="7" t="s">
        <v>279</v>
      </c>
      <c r="C149" s="7" t="s">
        <v>308</v>
      </c>
      <c r="D149" s="6" t="s">
        <v>18</v>
      </c>
      <c r="E149" s="7" t="s">
        <v>224</v>
      </c>
      <c r="F149" s="13">
        <v>45992</v>
      </c>
      <c r="G149" s="9">
        <f>IFERROR(VLOOKUP(D149,Listas!$A$2:$B$20,2,FALSE()),999)</f>
        <v>1</v>
      </c>
      <c r="H149" s="9" t="str">
        <f t="shared" ca="1" si="2"/>
        <v>Revisar</v>
      </c>
      <c r="J149" s="11">
        <v>120</v>
      </c>
      <c r="K149" s="11">
        <v>99</v>
      </c>
      <c r="L149" s="12">
        <v>43270</v>
      </c>
      <c r="M149" t="s">
        <v>20</v>
      </c>
    </row>
    <row r="150" spans="1:13" ht="30" customHeight="1">
      <c r="A150" s="6" t="s">
        <v>312</v>
      </c>
      <c r="B150" s="7" t="s">
        <v>279</v>
      </c>
      <c r="C150" s="7" t="s">
        <v>308</v>
      </c>
      <c r="D150" s="6" t="s">
        <v>18</v>
      </c>
      <c r="E150" s="7" t="s">
        <v>224</v>
      </c>
      <c r="F150" s="13">
        <v>45992</v>
      </c>
      <c r="G150" s="9">
        <f>IFERROR(VLOOKUP(D150,Listas!$A$2:$B$20,2,FALSE()),999)</f>
        <v>1</v>
      </c>
      <c r="H150" s="9" t="str">
        <f t="shared" ca="1" si="2"/>
        <v>Revisar</v>
      </c>
      <c r="J150" s="11">
        <v>120</v>
      </c>
      <c r="K150" s="11">
        <v>99</v>
      </c>
      <c r="L150" s="12">
        <v>43270</v>
      </c>
      <c r="M150" t="s">
        <v>20</v>
      </c>
    </row>
    <row r="151" spans="1:13" ht="30" customHeight="1">
      <c r="A151" s="6" t="s">
        <v>313</v>
      </c>
      <c r="B151" s="7" t="s">
        <v>279</v>
      </c>
      <c r="C151" s="7" t="s">
        <v>314</v>
      </c>
      <c r="D151" s="6" t="s">
        <v>18</v>
      </c>
      <c r="E151" s="7" t="s">
        <v>224</v>
      </c>
      <c r="F151" s="13">
        <v>45992</v>
      </c>
      <c r="G151" s="9">
        <f>IFERROR(VLOOKUP(D151,Listas!$A$2:$B$20,2,FALSE()),999)</f>
        <v>1</v>
      </c>
      <c r="H151" s="9" t="str">
        <f t="shared" ca="1" si="2"/>
        <v>Revisar</v>
      </c>
      <c r="J151" s="11">
        <v>120</v>
      </c>
      <c r="K151" s="11">
        <v>56</v>
      </c>
      <c r="L151" s="12">
        <v>44562</v>
      </c>
      <c r="M151" t="s">
        <v>20</v>
      </c>
    </row>
    <row r="152" spans="1:13" ht="30" customHeight="1">
      <c r="A152" s="6" t="s">
        <v>315</v>
      </c>
      <c r="B152" s="7" t="s">
        <v>279</v>
      </c>
      <c r="C152" s="7" t="s">
        <v>314</v>
      </c>
      <c r="D152" s="6" t="s">
        <v>18</v>
      </c>
      <c r="E152" s="7" t="s">
        <v>224</v>
      </c>
      <c r="F152" s="13">
        <v>45992</v>
      </c>
      <c r="G152" s="9">
        <f>IFERROR(VLOOKUP(D152,Listas!$A$2:$B$20,2,FALSE()),999)</f>
        <v>1</v>
      </c>
      <c r="H152" s="9" t="str">
        <f t="shared" ca="1" si="2"/>
        <v>Revisar</v>
      </c>
      <c r="J152" s="11">
        <v>120</v>
      </c>
      <c r="K152" s="11">
        <v>56</v>
      </c>
      <c r="L152" s="12">
        <v>44562</v>
      </c>
      <c r="M152" t="s">
        <v>20</v>
      </c>
    </row>
    <row r="153" spans="1:13" ht="30" customHeight="1">
      <c r="A153" s="6" t="s">
        <v>316</v>
      </c>
      <c r="B153" s="7" t="s">
        <v>279</v>
      </c>
      <c r="C153" s="7" t="s">
        <v>314</v>
      </c>
      <c r="D153" s="6" t="s">
        <v>18</v>
      </c>
      <c r="E153" s="7" t="s">
        <v>224</v>
      </c>
      <c r="F153" s="13">
        <v>45992</v>
      </c>
      <c r="G153" s="9">
        <f>IFERROR(VLOOKUP(D153,Listas!$A$2:$B$20,2,FALSE()),999)</f>
        <v>1</v>
      </c>
      <c r="H153" s="9" t="str">
        <f t="shared" ca="1" si="2"/>
        <v>Revisar</v>
      </c>
      <c r="J153" s="11">
        <v>120</v>
      </c>
      <c r="K153" s="11">
        <v>56</v>
      </c>
      <c r="L153" s="12">
        <v>44562</v>
      </c>
      <c r="M153" t="s">
        <v>20</v>
      </c>
    </row>
    <row r="154" spans="1:13" ht="30" customHeight="1">
      <c r="A154" s="6" t="s">
        <v>317</v>
      </c>
      <c r="B154" s="7" t="s">
        <v>279</v>
      </c>
      <c r="C154" s="7" t="s">
        <v>314</v>
      </c>
      <c r="D154" s="6" t="s">
        <v>18</v>
      </c>
      <c r="E154" s="7" t="s">
        <v>224</v>
      </c>
      <c r="F154" s="13">
        <v>45992</v>
      </c>
      <c r="G154" s="9">
        <f>IFERROR(VLOOKUP(D154,Listas!$A$2:$B$20,2,FALSE()),999)</f>
        <v>1</v>
      </c>
      <c r="H154" s="9" t="str">
        <f t="shared" ca="1" si="2"/>
        <v>Revisar</v>
      </c>
      <c r="J154" s="11">
        <v>120</v>
      </c>
      <c r="K154" s="11">
        <v>56</v>
      </c>
      <c r="L154" s="12">
        <v>44562</v>
      </c>
      <c r="M154" t="s">
        <v>20</v>
      </c>
    </row>
    <row r="155" spans="1:13" ht="30" customHeight="1">
      <c r="A155" s="6" t="s">
        <v>318</v>
      </c>
      <c r="B155" s="7" t="s">
        <v>279</v>
      </c>
      <c r="C155" s="7" t="s">
        <v>314</v>
      </c>
      <c r="D155" s="6" t="s">
        <v>18</v>
      </c>
      <c r="E155" s="7" t="s">
        <v>224</v>
      </c>
      <c r="F155" s="13">
        <v>45992</v>
      </c>
      <c r="G155" s="9">
        <f>IFERROR(VLOOKUP(D155,Listas!$A$2:$B$20,2,FALSE()),999)</f>
        <v>1</v>
      </c>
      <c r="H155" s="9" t="str">
        <f t="shared" ca="1" si="2"/>
        <v>Revisar</v>
      </c>
      <c r="J155" s="11">
        <v>120</v>
      </c>
      <c r="K155" s="11">
        <v>56</v>
      </c>
      <c r="L155" s="12">
        <v>44562</v>
      </c>
      <c r="M155" t="s">
        <v>20</v>
      </c>
    </row>
    <row r="156" spans="1:13" ht="30" customHeight="1">
      <c r="A156" s="6" t="s">
        <v>319</v>
      </c>
      <c r="B156" s="7" t="s">
        <v>212</v>
      </c>
      <c r="C156" s="7" t="s">
        <v>320</v>
      </c>
      <c r="D156" s="6" t="s">
        <v>18</v>
      </c>
      <c r="E156" s="7" t="s">
        <v>224</v>
      </c>
      <c r="F156" s="13">
        <v>46023</v>
      </c>
      <c r="G156" s="9">
        <f>IFERROR(VLOOKUP(D156,Listas!$A$2:$B$20,2,FALSE()),999)</f>
        <v>1</v>
      </c>
      <c r="H156" s="9" t="str">
        <f t="shared" ca="1" si="2"/>
        <v>Revisar</v>
      </c>
      <c r="J156" s="11">
        <v>120</v>
      </c>
      <c r="K156" s="11">
        <v>105</v>
      </c>
      <c r="L156" s="12">
        <v>43090</v>
      </c>
      <c r="M156" t="s">
        <v>20</v>
      </c>
    </row>
    <row r="157" spans="1:13" ht="30" customHeight="1">
      <c r="A157" s="6" t="s">
        <v>321</v>
      </c>
      <c r="B157" s="7" t="s">
        <v>212</v>
      </c>
      <c r="C157" s="7" t="s">
        <v>320</v>
      </c>
      <c r="D157" s="6" t="s">
        <v>18</v>
      </c>
      <c r="E157" s="7" t="s">
        <v>224</v>
      </c>
      <c r="F157" s="13">
        <v>46023</v>
      </c>
      <c r="G157" s="9">
        <f>IFERROR(VLOOKUP(D157,Listas!$A$2:$B$20,2,FALSE()),999)</f>
        <v>1</v>
      </c>
      <c r="H157" s="9" t="str">
        <f t="shared" ca="1" si="2"/>
        <v>Revisar</v>
      </c>
      <c r="J157" s="11">
        <v>120</v>
      </c>
      <c r="K157" s="11">
        <v>105</v>
      </c>
      <c r="L157" s="12">
        <v>43097</v>
      </c>
      <c r="M157" t="s">
        <v>20</v>
      </c>
    </row>
    <row r="158" spans="1:13" ht="30" customHeight="1">
      <c r="A158" s="6" t="s">
        <v>322</v>
      </c>
      <c r="B158" s="7" t="s">
        <v>323</v>
      </c>
      <c r="C158" s="7" t="s">
        <v>324</v>
      </c>
      <c r="D158" s="6" t="s">
        <v>18</v>
      </c>
      <c r="E158" s="7" t="s">
        <v>224</v>
      </c>
      <c r="F158" s="13">
        <v>46023</v>
      </c>
      <c r="G158" s="9">
        <f>IFERROR(VLOOKUP(D158,Listas!$A$2:$B$20,2,FALSE()),999)</f>
        <v>1</v>
      </c>
      <c r="H158" s="9" t="str">
        <f t="shared" ca="1" si="2"/>
        <v>Revisar</v>
      </c>
      <c r="J158" s="11">
        <v>120</v>
      </c>
      <c r="K158" s="11">
        <v>120</v>
      </c>
      <c r="L158" s="12">
        <v>42460</v>
      </c>
      <c r="M158" t="s">
        <v>36</v>
      </c>
    </row>
    <row r="159" spans="1:13" ht="30" customHeight="1">
      <c r="A159" s="6" t="s">
        <v>325</v>
      </c>
      <c r="B159" s="7" t="s">
        <v>323</v>
      </c>
      <c r="C159" s="7" t="s">
        <v>326</v>
      </c>
      <c r="D159" s="6" t="s">
        <v>18</v>
      </c>
      <c r="E159" s="7" t="s">
        <v>224</v>
      </c>
      <c r="F159" s="13">
        <v>46023</v>
      </c>
      <c r="G159" s="9">
        <f>IFERROR(VLOOKUP(D159,Listas!$A$2:$B$20,2,FALSE()),999)</f>
        <v>1</v>
      </c>
      <c r="H159" s="9" t="str">
        <f t="shared" ca="1" si="2"/>
        <v>Revisar</v>
      </c>
      <c r="J159" s="11">
        <v>120</v>
      </c>
      <c r="K159" s="11">
        <v>120</v>
      </c>
      <c r="L159" s="12">
        <v>41090</v>
      </c>
      <c r="M159" t="s">
        <v>36</v>
      </c>
    </row>
    <row r="160" spans="1:13" ht="30" customHeight="1">
      <c r="A160" s="6" t="s">
        <v>327</v>
      </c>
      <c r="B160" s="7" t="s">
        <v>323</v>
      </c>
      <c r="C160" s="7" t="s">
        <v>326</v>
      </c>
      <c r="D160" s="6" t="s">
        <v>18</v>
      </c>
      <c r="E160" s="7" t="s">
        <v>224</v>
      </c>
      <c r="F160" s="13">
        <v>46023</v>
      </c>
      <c r="G160" s="9">
        <f>IFERROR(VLOOKUP(D160,Listas!$A$2:$B$20,2,FALSE()),999)</f>
        <v>1</v>
      </c>
      <c r="H160" s="9" t="str">
        <f t="shared" ca="1" si="2"/>
        <v>Revisar</v>
      </c>
      <c r="J160" s="11">
        <v>120</v>
      </c>
      <c r="K160" s="11">
        <v>120</v>
      </c>
      <c r="L160" s="12">
        <v>41090</v>
      </c>
      <c r="M160" t="s">
        <v>36</v>
      </c>
    </row>
    <row r="161" spans="1:13" ht="30" customHeight="1">
      <c r="A161" s="6" t="s">
        <v>328</v>
      </c>
      <c r="B161" s="7" t="s">
        <v>323</v>
      </c>
      <c r="C161" s="7" t="s">
        <v>326</v>
      </c>
      <c r="D161" s="6" t="s">
        <v>18</v>
      </c>
      <c r="E161" s="7" t="s">
        <v>224</v>
      </c>
      <c r="F161" s="13">
        <v>46023</v>
      </c>
      <c r="G161" s="9">
        <f>IFERROR(VLOOKUP(D161,Listas!$A$2:$B$20,2,FALSE()),999)</f>
        <v>1</v>
      </c>
      <c r="H161" s="9" t="str">
        <f t="shared" ca="1" si="2"/>
        <v>Revisar</v>
      </c>
      <c r="J161" s="11">
        <v>120</v>
      </c>
      <c r="K161" s="11">
        <v>120</v>
      </c>
      <c r="L161" s="12">
        <v>41090</v>
      </c>
      <c r="M161" t="s">
        <v>36</v>
      </c>
    </row>
    <row r="162" spans="1:13" ht="30" customHeight="1">
      <c r="A162" s="6" t="s">
        <v>329</v>
      </c>
      <c r="B162" s="7" t="s">
        <v>323</v>
      </c>
      <c r="C162" s="7" t="s">
        <v>326</v>
      </c>
      <c r="D162" s="6" t="s">
        <v>18</v>
      </c>
      <c r="E162" s="7" t="s">
        <v>224</v>
      </c>
      <c r="F162" s="13">
        <v>46023</v>
      </c>
      <c r="G162" s="9">
        <f>IFERROR(VLOOKUP(D162,Listas!$A$2:$B$20,2,FALSE()),999)</f>
        <v>1</v>
      </c>
      <c r="H162" s="9" t="str">
        <f t="shared" ca="1" si="2"/>
        <v>Revisar</v>
      </c>
      <c r="J162" s="11">
        <v>120</v>
      </c>
      <c r="K162" s="11">
        <v>120</v>
      </c>
      <c r="L162" s="12">
        <v>41090</v>
      </c>
      <c r="M162" t="s">
        <v>36</v>
      </c>
    </row>
    <row r="163" spans="1:13" ht="30" customHeight="1">
      <c r="A163" s="6" t="s">
        <v>330</v>
      </c>
      <c r="B163" s="7" t="s">
        <v>331</v>
      </c>
      <c r="C163" s="7" t="s">
        <v>332</v>
      </c>
      <c r="D163" s="6" t="s">
        <v>18</v>
      </c>
      <c r="E163" s="7" t="s">
        <v>224</v>
      </c>
      <c r="F163" s="13">
        <v>45992</v>
      </c>
      <c r="G163" s="9">
        <f>IFERROR(VLOOKUP(D163,Listas!$A$2:$B$20,2,FALSE()),999)</f>
        <v>1</v>
      </c>
      <c r="H163" s="9" t="str">
        <f t="shared" ca="1" si="2"/>
        <v>Revisar</v>
      </c>
      <c r="J163" s="11">
        <v>120</v>
      </c>
      <c r="K163" s="11">
        <v>120</v>
      </c>
      <c r="L163" s="12">
        <v>41090</v>
      </c>
      <c r="M163" t="s">
        <v>36</v>
      </c>
    </row>
    <row r="164" spans="1:13" ht="30" customHeight="1">
      <c r="A164" s="6" t="s">
        <v>333</v>
      </c>
      <c r="B164" s="7" t="s">
        <v>331</v>
      </c>
      <c r="C164" s="7" t="s">
        <v>332</v>
      </c>
      <c r="D164" s="6" t="s">
        <v>18</v>
      </c>
      <c r="E164" s="7" t="s">
        <v>224</v>
      </c>
      <c r="F164" s="13">
        <v>45992</v>
      </c>
      <c r="G164" s="9">
        <f>IFERROR(VLOOKUP(D164,Listas!$A$2:$B$20,2,FALSE()),999)</f>
        <v>1</v>
      </c>
      <c r="H164" s="9" t="str">
        <f t="shared" ca="1" si="2"/>
        <v>Revisar</v>
      </c>
      <c r="J164" s="11">
        <v>120</v>
      </c>
      <c r="K164" s="11">
        <v>120</v>
      </c>
      <c r="L164" s="12">
        <v>41090</v>
      </c>
      <c r="M164" t="s">
        <v>36</v>
      </c>
    </row>
    <row r="165" spans="1:13" ht="30" customHeight="1">
      <c r="A165" s="6" t="s">
        <v>334</v>
      </c>
      <c r="B165" s="7" t="s">
        <v>335</v>
      </c>
      <c r="C165" s="7" t="s">
        <v>336</v>
      </c>
      <c r="D165" s="6" t="s">
        <v>18</v>
      </c>
      <c r="E165" s="7" t="s">
        <v>224</v>
      </c>
      <c r="F165" s="13">
        <v>45992</v>
      </c>
      <c r="G165" s="9">
        <f>IFERROR(VLOOKUP(D165,Listas!$A$2:$B$20,2,FALSE()),999)</f>
        <v>1</v>
      </c>
      <c r="H165" s="9" t="str">
        <f t="shared" ca="1" si="2"/>
        <v>Revisar</v>
      </c>
      <c r="J165" s="11">
        <v>120</v>
      </c>
      <c r="K165" s="11">
        <v>120</v>
      </c>
      <c r="L165" s="12">
        <v>41090</v>
      </c>
      <c r="M165" t="s">
        <v>36</v>
      </c>
    </row>
    <row r="166" spans="1:13" ht="30" customHeight="1">
      <c r="A166" s="6" t="s">
        <v>337</v>
      </c>
      <c r="B166" s="7" t="s">
        <v>338</v>
      </c>
      <c r="C166" s="7" t="s">
        <v>339</v>
      </c>
      <c r="D166" s="6" t="s">
        <v>18</v>
      </c>
      <c r="E166" s="7" t="s">
        <v>224</v>
      </c>
      <c r="F166" s="13">
        <v>45992</v>
      </c>
      <c r="G166" s="9">
        <f>IFERROR(VLOOKUP(D166,Listas!$A$2:$B$20,2,FALSE()),999)</f>
        <v>1</v>
      </c>
      <c r="H166" s="9" t="str">
        <f t="shared" ca="1" si="2"/>
        <v>Revisar</v>
      </c>
      <c r="J166" s="11">
        <v>120</v>
      </c>
      <c r="K166" s="11">
        <v>120</v>
      </c>
      <c r="L166" s="12">
        <v>39263</v>
      </c>
      <c r="M166" t="s">
        <v>36</v>
      </c>
    </row>
    <row r="167" spans="1:13" ht="30" customHeight="1">
      <c r="A167" s="6" t="s">
        <v>340</v>
      </c>
      <c r="B167" s="7" t="s">
        <v>338</v>
      </c>
      <c r="C167" s="7" t="s">
        <v>339</v>
      </c>
      <c r="D167" s="6" t="s">
        <v>18</v>
      </c>
      <c r="E167" s="7" t="s">
        <v>224</v>
      </c>
      <c r="F167" s="8"/>
      <c r="G167" s="9">
        <f>IFERROR(VLOOKUP(D167,Listas!$A$2:$B$20,2,FALSE()),999)</f>
        <v>1</v>
      </c>
      <c r="H167" s="9" t="str">
        <f t="shared" ca="1" si="2"/>
        <v>Sin fecha</v>
      </c>
      <c r="J167" s="11">
        <v>120</v>
      </c>
      <c r="K167" s="11">
        <v>120</v>
      </c>
      <c r="L167" s="12">
        <v>39263</v>
      </c>
      <c r="M167" t="s">
        <v>36</v>
      </c>
    </row>
    <row r="168" spans="1:13" ht="30" customHeight="1">
      <c r="A168" s="6" t="s">
        <v>341</v>
      </c>
      <c r="B168" s="7" t="s">
        <v>338</v>
      </c>
      <c r="C168" s="7" t="s">
        <v>339</v>
      </c>
      <c r="D168" s="6" t="s">
        <v>18</v>
      </c>
      <c r="E168" s="7" t="s">
        <v>224</v>
      </c>
      <c r="F168" s="13">
        <v>45992</v>
      </c>
      <c r="G168" s="9">
        <f>IFERROR(VLOOKUP(D168,Listas!$A$2:$B$20,2,FALSE()),999)</f>
        <v>1</v>
      </c>
      <c r="H168" s="9" t="str">
        <f t="shared" ca="1" si="2"/>
        <v>Revisar</v>
      </c>
      <c r="J168" s="11">
        <v>120</v>
      </c>
      <c r="K168" s="11">
        <v>120</v>
      </c>
      <c r="L168" s="12">
        <v>41090</v>
      </c>
      <c r="M168" t="s">
        <v>36</v>
      </c>
    </row>
    <row r="169" spans="1:13" ht="30" customHeight="1">
      <c r="A169" s="6" t="s">
        <v>342</v>
      </c>
      <c r="B169" s="7" t="s">
        <v>338</v>
      </c>
      <c r="C169" s="7" t="s">
        <v>339</v>
      </c>
      <c r="D169" s="6" t="s">
        <v>18</v>
      </c>
      <c r="E169" s="7" t="s">
        <v>224</v>
      </c>
      <c r="F169" s="8"/>
      <c r="G169" s="9">
        <f>IFERROR(VLOOKUP(D169,Listas!$A$2:$B$20,2,FALSE()),999)</f>
        <v>1</v>
      </c>
      <c r="H169" s="9" t="str">
        <f t="shared" ca="1" si="2"/>
        <v>Sin fecha</v>
      </c>
      <c r="J169" s="11">
        <v>120</v>
      </c>
      <c r="K169" s="11">
        <v>120</v>
      </c>
      <c r="L169" s="12">
        <v>41090</v>
      </c>
      <c r="M169" t="s">
        <v>36</v>
      </c>
    </row>
    <row r="170" spans="1:13" ht="30" customHeight="1">
      <c r="A170" s="6" t="s">
        <v>343</v>
      </c>
      <c r="B170" s="7" t="s">
        <v>186</v>
      </c>
      <c r="C170" s="7" t="s">
        <v>344</v>
      </c>
      <c r="D170" s="6" t="s">
        <v>18</v>
      </c>
      <c r="E170" s="7" t="s">
        <v>224</v>
      </c>
      <c r="F170" s="13">
        <v>46023</v>
      </c>
      <c r="G170" s="9">
        <f>IFERROR(VLOOKUP(D170,Listas!$A$2:$B$20,2,FALSE()),999)</f>
        <v>1</v>
      </c>
      <c r="H170" s="9" t="str">
        <f t="shared" ca="1" si="2"/>
        <v>Revisar</v>
      </c>
      <c r="J170" s="11">
        <v>1</v>
      </c>
      <c r="K170" s="11">
        <v>1</v>
      </c>
      <c r="L170" s="12">
        <v>42886</v>
      </c>
      <c r="M170" t="s">
        <v>36</v>
      </c>
    </row>
    <row r="171" spans="1:13" ht="30" customHeight="1">
      <c r="A171" s="6" t="s">
        <v>345</v>
      </c>
      <c r="B171" s="7" t="s">
        <v>186</v>
      </c>
      <c r="C171" s="7" t="s">
        <v>344</v>
      </c>
      <c r="D171" s="6" t="s">
        <v>18</v>
      </c>
      <c r="E171" s="7" t="s">
        <v>224</v>
      </c>
      <c r="F171" s="13">
        <v>46023</v>
      </c>
      <c r="G171" s="9">
        <f>IFERROR(VLOOKUP(D171,Listas!$A$2:$B$20,2,FALSE()),999)</f>
        <v>1</v>
      </c>
      <c r="H171" s="9" t="str">
        <f t="shared" ca="1" si="2"/>
        <v>Revisar</v>
      </c>
      <c r="J171" s="11">
        <v>120</v>
      </c>
      <c r="K171" s="11">
        <v>116</v>
      </c>
      <c r="L171" s="12">
        <v>42766</v>
      </c>
      <c r="M171" t="s">
        <v>20</v>
      </c>
    </row>
    <row r="172" spans="1:13" ht="30" customHeight="1">
      <c r="A172" s="6" t="s">
        <v>346</v>
      </c>
      <c r="B172" s="7" t="s">
        <v>186</v>
      </c>
      <c r="C172" s="7" t="s">
        <v>344</v>
      </c>
      <c r="D172" s="6" t="s">
        <v>18</v>
      </c>
      <c r="E172" s="7" t="s">
        <v>224</v>
      </c>
      <c r="F172" s="13">
        <v>46023</v>
      </c>
      <c r="G172" s="9">
        <f>IFERROR(VLOOKUP(D172,Listas!$A$2:$B$20,2,FALSE()),999)</f>
        <v>1</v>
      </c>
      <c r="H172" s="9" t="str">
        <f t="shared" ca="1" si="2"/>
        <v>Revisar</v>
      </c>
      <c r="J172" s="11">
        <v>120</v>
      </c>
      <c r="K172" s="11">
        <v>120</v>
      </c>
      <c r="L172" s="12">
        <v>40237</v>
      </c>
      <c r="M172" t="s">
        <v>36</v>
      </c>
    </row>
    <row r="173" spans="1:13" ht="30" customHeight="1">
      <c r="A173" s="6" t="s">
        <v>347</v>
      </c>
      <c r="B173" s="7" t="s">
        <v>186</v>
      </c>
      <c r="C173" s="7" t="s">
        <v>344</v>
      </c>
      <c r="D173" s="6" t="s">
        <v>18</v>
      </c>
      <c r="E173" s="7" t="s">
        <v>224</v>
      </c>
      <c r="F173" s="13">
        <v>46023</v>
      </c>
      <c r="G173" s="9">
        <f>IFERROR(VLOOKUP(D173,Listas!$A$2:$B$20,2,FALSE()),999)</f>
        <v>1</v>
      </c>
      <c r="H173" s="9" t="str">
        <f t="shared" ca="1" si="2"/>
        <v>Revisar</v>
      </c>
      <c r="J173" s="11">
        <v>120</v>
      </c>
      <c r="K173" s="11">
        <v>120</v>
      </c>
      <c r="L173" s="12">
        <v>40237</v>
      </c>
      <c r="M173" t="s">
        <v>36</v>
      </c>
    </row>
    <row r="174" spans="1:13" ht="30" customHeight="1">
      <c r="A174" s="6" t="s">
        <v>348</v>
      </c>
      <c r="B174" s="7" t="s">
        <v>186</v>
      </c>
      <c r="C174" s="7" t="s">
        <v>344</v>
      </c>
      <c r="D174" s="6" t="s">
        <v>18</v>
      </c>
      <c r="E174" s="7" t="s">
        <v>224</v>
      </c>
      <c r="F174" s="13">
        <v>46023</v>
      </c>
      <c r="G174" s="9">
        <f>IFERROR(VLOOKUP(D174,Listas!$A$2:$B$20,2,FALSE()),999)</f>
        <v>1</v>
      </c>
      <c r="H174" s="9" t="str">
        <f t="shared" ca="1" si="2"/>
        <v>Revisar</v>
      </c>
      <c r="J174" s="11">
        <v>120</v>
      </c>
      <c r="K174" s="11">
        <v>120</v>
      </c>
      <c r="L174" s="12">
        <v>41090</v>
      </c>
      <c r="M174" t="s">
        <v>36</v>
      </c>
    </row>
    <row r="175" spans="1:13" ht="30" customHeight="1">
      <c r="A175" s="6" t="s">
        <v>349</v>
      </c>
      <c r="B175" s="7" t="s">
        <v>186</v>
      </c>
      <c r="C175" s="7" t="s">
        <v>350</v>
      </c>
      <c r="D175" s="6" t="s">
        <v>18</v>
      </c>
      <c r="E175" s="7" t="s">
        <v>224</v>
      </c>
      <c r="F175" s="13">
        <v>46023</v>
      </c>
      <c r="G175" s="9">
        <f>IFERROR(VLOOKUP(D175,Listas!$A$2:$B$20,2,FALSE()),999)</f>
        <v>1</v>
      </c>
      <c r="H175" s="9" t="str">
        <f t="shared" ca="1" si="2"/>
        <v>Revisar</v>
      </c>
      <c r="J175" s="11">
        <v>120</v>
      </c>
      <c r="K175" s="11">
        <v>120</v>
      </c>
      <c r="L175" s="12">
        <v>39263</v>
      </c>
      <c r="M175" t="s">
        <v>36</v>
      </c>
    </row>
    <row r="176" spans="1:13" ht="30" customHeight="1">
      <c r="A176" s="6" t="s">
        <v>351</v>
      </c>
      <c r="B176" s="7" t="s">
        <v>186</v>
      </c>
      <c r="C176" s="7" t="s">
        <v>352</v>
      </c>
      <c r="D176" s="6" t="s">
        <v>18</v>
      </c>
      <c r="E176" s="7" t="s">
        <v>224</v>
      </c>
      <c r="F176" s="13">
        <v>46023</v>
      </c>
      <c r="G176" s="9">
        <f>IFERROR(VLOOKUP(D176,Listas!$A$2:$B$20,2,FALSE()),999)</f>
        <v>1</v>
      </c>
      <c r="H176" s="9" t="str">
        <f t="shared" ca="1" si="2"/>
        <v>Revisar</v>
      </c>
      <c r="J176" s="11">
        <v>120</v>
      </c>
      <c r="K176" s="11">
        <v>120</v>
      </c>
      <c r="L176" s="12">
        <v>39263</v>
      </c>
      <c r="M176" t="s">
        <v>36</v>
      </c>
    </row>
    <row r="177" spans="1:13" ht="30" customHeight="1">
      <c r="A177" s="6" t="s">
        <v>353</v>
      </c>
      <c r="B177" s="7" t="s">
        <v>186</v>
      </c>
      <c r="C177" s="7" t="s">
        <v>352</v>
      </c>
      <c r="D177" s="6" t="s">
        <v>18</v>
      </c>
      <c r="E177" s="7" t="s">
        <v>224</v>
      </c>
      <c r="F177" s="13">
        <v>46023</v>
      </c>
      <c r="G177" s="9">
        <f>IFERROR(VLOOKUP(D177,Listas!$A$2:$B$20,2,FALSE()),999)</f>
        <v>1</v>
      </c>
      <c r="H177" s="9" t="str">
        <f t="shared" ca="1" si="2"/>
        <v>Revisar</v>
      </c>
      <c r="J177" s="11">
        <v>120</v>
      </c>
      <c r="K177" s="11">
        <v>120</v>
      </c>
      <c r="L177" s="12">
        <v>39263</v>
      </c>
      <c r="M177" t="s">
        <v>36</v>
      </c>
    </row>
    <row r="178" spans="1:13" ht="30" customHeight="1">
      <c r="A178" s="6" t="s">
        <v>354</v>
      </c>
      <c r="B178" s="7" t="s">
        <v>186</v>
      </c>
      <c r="C178" s="7" t="s">
        <v>352</v>
      </c>
      <c r="D178" s="6" t="s">
        <v>18</v>
      </c>
      <c r="E178" s="7" t="s">
        <v>224</v>
      </c>
      <c r="F178" s="13">
        <v>46023</v>
      </c>
      <c r="G178" s="9">
        <f>IFERROR(VLOOKUP(D178,Listas!$A$2:$B$20,2,FALSE()),999)</f>
        <v>1</v>
      </c>
      <c r="H178" s="9" t="str">
        <f t="shared" ca="1" si="2"/>
        <v>Revisar</v>
      </c>
      <c r="J178" s="11">
        <v>120</v>
      </c>
      <c r="K178" s="11">
        <v>120</v>
      </c>
      <c r="L178" s="12">
        <v>39263</v>
      </c>
      <c r="M178" t="s">
        <v>36</v>
      </c>
    </row>
    <row r="179" spans="1:13" ht="30" customHeight="1">
      <c r="A179" s="6" t="s">
        <v>355</v>
      </c>
      <c r="B179" s="7" t="s">
        <v>186</v>
      </c>
      <c r="C179" s="7" t="s">
        <v>356</v>
      </c>
      <c r="D179" s="6" t="s">
        <v>18</v>
      </c>
      <c r="E179" s="7" t="s">
        <v>224</v>
      </c>
      <c r="F179" s="13">
        <v>46023</v>
      </c>
      <c r="G179" s="9">
        <f>IFERROR(VLOOKUP(D179,Listas!$A$2:$B$20,2,FALSE()),999)</f>
        <v>1</v>
      </c>
      <c r="H179" s="9" t="str">
        <f t="shared" ca="1" si="2"/>
        <v>Revisar</v>
      </c>
      <c r="J179" s="11">
        <v>120</v>
      </c>
      <c r="K179" s="11">
        <v>120</v>
      </c>
      <c r="L179" s="12">
        <v>39263</v>
      </c>
      <c r="M179" t="s">
        <v>36</v>
      </c>
    </row>
    <row r="180" spans="1:13" ht="30" customHeight="1">
      <c r="A180" s="6" t="s">
        <v>357</v>
      </c>
      <c r="B180" s="7" t="s">
        <v>186</v>
      </c>
      <c r="C180" s="7" t="s">
        <v>356</v>
      </c>
      <c r="D180" s="6" t="s">
        <v>18</v>
      </c>
      <c r="E180" s="7" t="s">
        <v>224</v>
      </c>
      <c r="F180" s="13">
        <v>46023</v>
      </c>
      <c r="G180" s="9">
        <f>IFERROR(VLOOKUP(D180,Listas!$A$2:$B$20,2,FALSE()),999)</f>
        <v>1</v>
      </c>
      <c r="H180" s="9" t="str">
        <f t="shared" ca="1" si="2"/>
        <v>Revisar</v>
      </c>
      <c r="J180" s="11">
        <v>120</v>
      </c>
      <c r="K180" s="11">
        <v>120</v>
      </c>
      <c r="L180" s="12">
        <v>39263</v>
      </c>
      <c r="M180" t="s">
        <v>36</v>
      </c>
    </row>
    <row r="181" spans="1:13" ht="30" customHeight="1">
      <c r="A181" s="6" t="s">
        <v>358</v>
      </c>
      <c r="B181" s="7" t="s">
        <v>186</v>
      </c>
      <c r="C181" s="7" t="s">
        <v>359</v>
      </c>
      <c r="D181" s="6" t="s">
        <v>18</v>
      </c>
      <c r="E181" s="7" t="s">
        <v>224</v>
      </c>
      <c r="F181" s="13">
        <v>46023</v>
      </c>
      <c r="G181" s="9">
        <f>IFERROR(VLOOKUP(D181,Listas!$A$2:$B$20,2,FALSE()),999)</f>
        <v>1</v>
      </c>
      <c r="H181" s="9" t="str">
        <f t="shared" ca="1" si="2"/>
        <v>Revisar</v>
      </c>
      <c r="J181" s="11">
        <v>120</v>
      </c>
      <c r="K181" s="11">
        <v>99</v>
      </c>
      <c r="L181" s="12">
        <v>43270</v>
      </c>
      <c r="M181" t="s">
        <v>20</v>
      </c>
    </row>
    <row r="182" spans="1:13" ht="30" customHeight="1">
      <c r="A182" s="6" t="s">
        <v>360</v>
      </c>
      <c r="B182" s="7" t="s">
        <v>186</v>
      </c>
      <c r="C182" s="7" t="s">
        <v>359</v>
      </c>
      <c r="D182" s="6" t="s">
        <v>18</v>
      </c>
      <c r="E182" s="7" t="s">
        <v>224</v>
      </c>
      <c r="F182" s="13">
        <v>46023</v>
      </c>
      <c r="G182" s="9">
        <f>IFERROR(VLOOKUP(D182,Listas!$A$2:$B$20,2,FALSE()),999)</f>
        <v>1</v>
      </c>
      <c r="H182" s="9" t="str">
        <f t="shared" ca="1" si="2"/>
        <v>Revisar</v>
      </c>
      <c r="J182" s="11">
        <v>120</v>
      </c>
      <c r="K182" s="11">
        <v>99</v>
      </c>
      <c r="L182" s="12">
        <v>43270</v>
      </c>
      <c r="M182" t="s">
        <v>20</v>
      </c>
    </row>
    <row r="183" spans="1:13" ht="30" customHeight="1">
      <c r="A183" s="6" t="s">
        <v>361</v>
      </c>
      <c r="B183" s="7" t="s">
        <v>186</v>
      </c>
      <c r="C183" s="7" t="s">
        <v>359</v>
      </c>
      <c r="D183" s="6" t="s">
        <v>18</v>
      </c>
      <c r="E183" s="7" t="s">
        <v>224</v>
      </c>
      <c r="F183" s="13">
        <v>46023</v>
      </c>
      <c r="G183" s="9">
        <f>IFERROR(VLOOKUP(D183,Listas!$A$2:$B$20,2,FALSE()),999)</f>
        <v>1</v>
      </c>
      <c r="H183" s="9" t="str">
        <f t="shared" ca="1" si="2"/>
        <v>Revisar</v>
      </c>
      <c r="J183" s="11">
        <v>120</v>
      </c>
      <c r="K183" s="11">
        <v>99</v>
      </c>
      <c r="L183" s="12">
        <v>43270</v>
      </c>
      <c r="M183" t="s">
        <v>20</v>
      </c>
    </row>
    <row r="184" spans="1:13" ht="30" customHeight="1">
      <c r="A184" s="6" t="s">
        <v>362</v>
      </c>
      <c r="B184" s="7" t="s">
        <v>186</v>
      </c>
      <c r="C184" s="7" t="s">
        <v>359</v>
      </c>
      <c r="D184" s="6" t="s">
        <v>18</v>
      </c>
      <c r="E184" s="7" t="s">
        <v>224</v>
      </c>
      <c r="F184" s="13">
        <v>46023</v>
      </c>
      <c r="G184" s="9">
        <f>IFERROR(VLOOKUP(D184,Listas!$A$2:$B$20,2,FALSE()),999)</f>
        <v>1</v>
      </c>
      <c r="H184" s="9" t="str">
        <f t="shared" ca="1" si="2"/>
        <v>Revisar</v>
      </c>
      <c r="J184" s="11">
        <v>120</v>
      </c>
      <c r="K184" s="11">
        <v>99</v>
      </c>
      <c r="L184" s="12">
        <v>43270</v>
      </c>
      <c r="M184" t="s">
        <v>20</v>
      </c>
    </row>
    <row r="185" spans="1:13" ht="30" customHeight="1">
      <c r="A185" s="6" t="s">
        <v>363</v>
      </c>
      <c r="B185" s="7" t="s">
        <v>186</v>
      </c>
      <c r="C185" s="7" t="s">
        <v>359</v>
      </c>
      <c r="D185" s="6" t="s">
        <v>18</v>
      </c>
      <c r="E185" s="7" t="s">
        <v>224</v>
      </c>
      <c r="F185" s="13">
        <v>46023</v>
      </c>
      <c r="G185" s="9">
        <f>IFERROR(VLOOKUP(D185,Listas!$A$2:$B$20,2,FALSE()),999)</f>
        <v>1</v>
      </c>
      <c r="H185" s="9" t="str">
        <f t="shared" ca="1" si="2"/>
        <v>Revisar</v>
      </c>
      <c r="J185" s="11">
        <v>120</v>
      </c>
      <c r="K185" s="11">
        <v>99</v>
      </c>
      <c r="L185" s="12">
        <v>43270</v>
      </c>
      <c r="M185" t="s">
        <v>20</v>
      </c>
    </row>
    <row r="186" spans="1:13" ht="30" customHeight="1">
      <c r="A186" s="6" t="s">
        <v>364</v>
      </c>
      <c r="B186" s="7" t="s">
        <v>186</v>
      </c>
      <c r="C186" s="7" t="s">
        <v>359</v>
      </c>
      <c r="D186" s="6" t="s">
        <v>18</v>
      </c>
      <c r="E186" s="7" t="s">
        <v>224</v>
      </c>
      <c r="F186" s="13">
        <v>46023</v>
      </c>
      <c r="G186" s="9">
        <f>IFERROR(VLOOKUP(D186,Listas!$A$2:$B$20,2,FALSE()),999)</f>
        <v>1</v>
      </c>
      <c r="H186" s="9" t="str">
        <f t="shared" ca="1" si="2"/>
        <v>Revisar</v>
      </c>
      <c r="J186" s="11">
        <v>120</v>
      </c>
      <c r="K186" s="11">
        <v>99</v>
      </c>
      <c r="L186" s="12">
        <v>43270</v>
      </c>
      <c r="M186" t="s">
        <v>20</v>
      </c>
    </row>
    <row r="187" spans="1:13" ht="30" customHeight="1">
      <c r="A187" s="6" t="s">
        <v>365</v>
      </c>
      <c r="B187" s="7" t="s">
        <v>186</v>
      </c>
      <c r="C187" s="7" t="s">
        <v>359</v>
      </c>
      <c r="D187" s="6" t="s">
        <v>18</v>
      </c>
      <c r="E187" s="7" t="s">
        <v>224</v>
      </c>
      <c r="F187" s="13">
        <v>46023</v>
      </c>
      <c r="G187" s="9">
        <f>IFERROR(VLOOKUP(D187,Listas!$A$2:$B$20,2,FALSE()),999)</f>
        <v>1</v>
      </c>
      <c r="H187" s="9" t="str">
        <f t="shared" ca="1" si="2"/>
        <v>Revisar</v>
      </c>
      <c r="J187" s="11">
        <v>120</v>
      </c>
      <c r="K187" s="11">
        <v>99</v>
      </c>
      <c r="L187" s="12">
        <v>43270</v>
      </c>
      <c r="M187" t="s">
        <v>20</v>
      </c>
    </row>
    <row r="188" spans="1:13" ht="30" customHeight="1">
      <c r="A188" s="6" t="s">
        <v>366</v>
      </c>
      <c r="B188" s="7" t="s">
        <v>186</v>
      </c>
      <c r="C188" s="7" t="s">
        <v>359</v>
      </c>
      <c r="D188" s="6" t="s">
        <v>18</v>
      </c>
      <c r="E188" s="7" t="s">
        <v>224</v>
      </c>
      <c r="F188" s="13">
        <v>46023</v>
      </c>
      <c r="G188" s="9">
        <f>IFERROR(VLOOKUP(D188,Listas!$A$2:$B$20,2,FALSE()),999)</f>
        <v>1</v>
      </c>
      <c r="H188" s="9" t="str">
        <f t="shared" ca="1" si="2"/>
        <v>Revisar</v>
      </c>
      <c r="J188" s="11">
        <v>120</v>
      </c>
      <c r="K188" s="11">
        <v>99</v>
      </c>
      <c r="L188" s="12">
        <v>43270</v>
      </c>
      <c r="M188" t="s">
        <v>20</v>
      </c>
    </row>
    <row r="189" spans="1:13" ht="30" customHeight="1">
      <c r="A189" s="6" t="s">
        <v>367</v>
      </c>
      <c r="B189" s="7" t="s">
        <v>186</v>
      </c>
      <c r="C189" s="7" t="s">
        <v>359</v>
      </c>
      <c r="D189" s="6" t="s">
        <v>18</v>
      </c>
      <c r="E189" s="7" t="s">
        <v>224</v>
      </c>
      <c r="F189" s="13">
        <v>46023</v>
      </c>
      <c r="G189" s="9">
        <f>IFERROR(VLOOKUP(D189,Listas!$A$2:$B$20,2,FALSE()),999)</f>
        <v>1</v>
      </c>
      <c r="H189" s="9" t="str">
        <f t="shared" ca="1" si="2"/>
        <v>Revisar</v>
      </c>
      <c r="J189" s="11">
        <v>120</v>
      </c>
      <c r="K189" s="11">
        <v>99</v>
      </c>
      <c r="L189" s="12">
        <v>43270</v>
      </c>
      <c r="M189" t="s">
        <v>20</v>
      </c>
    </row>
    <row r="190" spans="1:13" ht="30" customHeight="1">
      <c r="A190" s="6" t="s">
        <v>368</v>
      </c>
      <c r="B190" s="7" t="s">
        <v>186</v>
      </c>
      <c r="C190" s="7" t="s">
        <v>359</v>
      </c>
      <c r="D190" s="6" t="s">
        <v>18</v>
      </c>
      <c r="E190" s="7" t="s">
        <v>224</v>
      </c>
      <c r="F190" s="13">
        <v>46023</v>
      </c>
      <c r="G190" s="9">
        <f>IFERROR(VLOOKUP(D190,Listas!$A$2:$B$20,2,FALSE()),999)</f>
        <v>1</v>
      </c>
      <c r="H190" s="9" t="str">
        <f t="shared" ca="1" si="2"/>
        <v>Revisar</v>
      </c>
      <c r="J190" s="11">
        <v>120</v>
      </c>
      <c r="K190" s="11">
        <v>99</v>
      </c>
      <c r="L190" s="12">
        <v>43270</v>
      </c>
      <c r="M190" t="s">
        <v>20</v>
      </c>
    </row>
    <row r="191" spans="1:13" ht="30" customHeight="1">
      <c r="A191" s="6" t="s">
        <v>369</v>
      </c>
      <c r="B191" s="7" t="s">
        <v>370</v>
      </c>
      <c r="C191" s="7" t="s">
        <v>371</v>
      </c>
      <c r="D191" s="6" t="s">
        <v>18</v>
      </c>
      <c r="E191" s="7" t="s">
        <v>224</v>
      </c>
      <c r="F191" s="13">
        <v>46023</v>
      </c>
      <c r="G191" s="9">
        <f>IFERROR(VLOOKUP(D191,Listas!$A$2:$B$20,2,FALSE()),999)</f>
        <v>1</v>
      </c>
      <c r="H191" s="9" t="str">
        <f t="shared" ca="1" si="2"/>
        <v>Revisar</v>
      </c>
      <c r="J191" s="11">
        <v>120</v>
      </c>
      <c r="K191" s="11">
        <v>120</v>
      </c>
      <c r="L191" s="12">
        <v>39263</v>
      </c>
      <c r="M191" t="s">
        <v>36</v>
      </c>
    </row>
    <row r="192" spans="1:13" ht="30" customHeight="1">
      <c r="A192" s="6" t="s">
        <v>372</v>
      </c>
      <c r="B192" s="7" t="s">
        <v>370</v>
      </c>
      <c r="C192" s="7" t="s">
        <v>371</v>
      </c>
      <c r="D192" s="6" t="s">
        <v>18</v>
      </c>
      <c r="E192" s="7" t="s">
        <v>224</v>
      </c>
      <c r="F192" s="13">
        <v>46023</v>
      </c>
      <c r="G192" s="9">
        <f>IFERROR(VLOOKUP(D192,Listas!$A$2:$B$20,2,FALSE()),999)</f>
        <v>1</v>
      </c>
      <c r="H192" s="9" t="str">
        <f t="shared" ca="1" si="2"/>
        <v>Revisar</v>
      </c>
      <c r="J192" s="11">
        <v>120</v>
      </c>
      <c r="K192" s="11">
        <v>120</v>
      </c>
      <c r="L192" s="12">
        <v>39263</v>
      </c>
      <c r="M192" t="s">
        <v>36</v>
      </c>
    </row>
    <row r="193" spans="1:13" ht="30" customHeight="1">
      <c r="A193" s="6" t="s">
        <v>373</v>
      </c>
      <c r="B193" s="7" t="s">
        <v>189</v>
      </c>
      <c r="C193" s="7" t="s">
        <v>374</v>
      </c>
      <c r="D193" s="6" t="s">
        <v>18</v>
      </c>
      <c r="E193" s="7" t="s">
        <v>224</v>
      </c>
      <c r="F193" s="13">
        <v>45809</v>
      </c>
      <c r="G193" s="9">
        <f>IFERROR(VLOOKUP(D193,Listas!$A$2:$B$20,2,FALSE()),999)</f>
        <v>1</v>
      </c>
      <c r="H193" s="9" t="str">
        <f t="shared" ca="1" si="2"/>
        <v>Revisar</v>
      </c>
      <c r="J193" s="11">
        <v>120</v>
      </c>
      <c r="K193" s="11">
        <v>120</v>
      </c>
      <c r="L193" s="12">
        <v>41090</v>
      </c>
      <c r="M193" t="s">
        <v>36</v>
      </c>
    </row>
    <row r="194" spans="1:13" ht="30" customHeight="1">
      <c r="A194" s="6" t="s">
        <v>375</v>
      </c>
      <c r="B194" s="7" t="s">
        <v>189</v>
      </c>
      <c r="C194" s="7" t="s">
        <v>374</v>
      </c>
      <c r="D194" s="6" t="s">
        <v>18</v>
      </c>
      <c r="E194" s="7" t="s">
        <v>224</v>
      </c>
      <c r="F194" s="13">
        <v>45809</v>
      </c>
      <c r="G194" s="9">
        <f>IFERROR(VLOOKUP(D194,Listas!$A$2:$B$20,2,FALSE()),999)</f>
        <v>1</v>
      </c>
      <c r="H194" s="9" t="str">
        <f t="shared" ca="1" si="2"/>
        <v>Revisar</v>
      </c>
      <c r="J194" s="11">
        <v>120</v>
      </c>
      <c r="K194" s="11">
        <v>120</v>
      </c>
      <c r="L194" s="12">
        <v>41090</v>
      </c>
      <c r="M194" t="s">
        <v>36</v>
      </c>
    </row>
    <row r="195" spans="1:13" ht="30" customHeight="1">
      <c r="A195" s="6" t="s">
        <v>376</v>
      </c>
      <c r="B195" s="7" t="s">
        <v>189</v>
      </c>
      <c r="C195" s="7" t="s">
        <v>374</v>
      </c>
      <c r="D195" s="6" t="s">
        <v>18</v>
      </c>
      <c r="E195" s="7" t="s">
        <v>224</v>
      </c>
      <c r="F195" s="13">
        <v>45809</v>
      </c>
      <c r="G195" s="9">
        <f>IFERROR(VLOOKUP(D195,Listas!$A$2:$B$20,2,FALSE()),999)</f>
        <v>1</v>
      </c>
      <c r="H195" s="9" t="str">
        <f t="shared" ca="1" si="2"/>
        <v>Revisar</v>
      </c>
      <c r="J195" s="11">
        <v>120</v>
      </c>
      <c r="K195" s="11">
        <v>120</v>
      </c>
      <c r="L195" s="12">
        <v>41090</v>
      </c>
      <c r="M195" t="s">
        <v>36</v>
      </c>
    </row>
    <row r="196" spans="1:13" ht="30" customHeight="1">
      <c r="A196" s="6" t="s">
        <v>377</v>
      </c>
      <c r="B196" s="7" t="s">
        <v>189</v>
      </c>
      <c r="C196" s="7" t="s">
        <v>374</v>
      </c>
      <c r="D196" s="6" t="s">
        <v>18</v>
      </c>
      <c r="E196" s="7" t="s">
        <v>224</v>
      </c>
      <c r="F196" s="13">
        <v>45809</v>
      </c>
      <c r="G196" s="9">
        <f>IFERROR(VLOOKUP(D196,Listas!$A$2:$B$20,2,FALSE()),999)</f>
        <v>1</v>
      </c>
      <c r="H196" s="9" t="str">
        <f t="shared" ca="1" si="2"/>
        <v>Revisar</v>
      </c>
      <c r="J196" s="11">
        <v>120</v>
      </c>
      <c r="K196" s="11">
        <v>120</v>
      </c>
      <c r="L196" s="12">
        <v>41090</v>
      </c>
      <c r="M196" t="s">
        <v>36</v>
      </c>
    </row>
    <row r="197" spans="1:13" ht="30" customHeight="1">
      <c r="A197" s="6" t="s">
        <v>378</v>
      </c>
      <c r="B197" s="7" t="s">
        <v>189</v>
      </c>
      <c r="C197" s="7" t="s">
        <v>379</v>
      </c>
      <c r="D197" s="6" t="s">
        <v>18</v>
      </c>
      <c r="E197" s="7" t="s">
        <v>224</v>
      </c>
      <c r="F197" s="13">
        <v>45809</v>
      </c>
      <c r="G197" s="9">
        <f>IFERROR(VLOOKUP(D197,Listas!$A$2:$B$20,2,FALSE()),999)</f>
        <v>1</v>
      </c>
      <c r="H197" s="9" t="str">
        <f t="shared" ref="H197:H260" ca="1" si="3">IF(F197="","Sin fecha",IF(TODAY()-F197&gt;180,"Revisar",IF(TODAY()-F197&gt;90,"Próximo","Vigente")))</f>
        <v>Revisar</v>
      </c>
      <c r="J197" s="11">
        <v>120</v>
      </c>
      <c r="K197" s="11">
        <v>120</v>
      </c>
      <c r="L197" s="12">
        <v>41090</v>
      </c>
      <c r="M197" t="s">
        <v>36</v>
      </c>
    </row>
    <row r="198" spans="1:13" ht="30" customHeight="1">
      <c r="A198" s="6" t="s">
        <v>380</v>
      </c>
      <c r="B198" s="7" t="s">
        <v>189</v>
      </c>
      <c r="C198" s="7" t="s">
        <v>381</v>
      </c>
      <c r="D198" s="6" t="s">
        <v>18</v>
      </c>
      <c r="E198" s="7" t="s">
        <v>224</v>
      </c>
      <c r="F198" s="13">
        <v>45809</v>
      </c>
      <c r="G198" s="9">
        <f>IFERROR(VLOOKUP(D198,Listas!$A$2:$B$20,2,FALSE()),999)</f>
        <v>1</v>
      </c>
      <c r="H198" s="9" t="str">
        <f t="shared" ca="1" si="3"/>
        <v>Revisar</v>
      </c>
      <c r="J198" s="11">
        <v>120</v>
      </c>
      <c r="K198" s="11">
        <v>120</v>
      </c>
      <c r="L198" s="12">
        <v>41090</v>
      </c>
      <c r="M198" t="s">
        <v>36</v>
      </c>
    </row>
    <row r="199" spans="1:13" ht="30" customHeight="1">
      <c r="A199" s="6" t="s">
        <v>382</v>
      </c>
      <c r="B199" s="7" t="s">
        <v>189</v>
      </c>
      <c r="C199" s="7" t="s">
        <v>383</v>
      </c>
      <c r="D199" s="6" t="s">
        <v>18</v>
      </c>
      <c r="E199" s="7" t="s">
        <v>224</v>
      </c>
      <c r="F199" s="13">
        <v>45809</v>
      </c>
      <c r="G199" s="9">
        <f>IFERROR(VLOOKUP(D199,Listas!$A$2:$B$20,2,FALSE()),999)</f>
        <v>1</v>
      </c>
      <c r="H199" s="9" t="str">
        <f t="shared" ca="1" si="3"/>
        <v>Revisar</v>
      </c>
      <c r="J199" s="11">
        <v>120</v>
      </c>
      <c r="K199" s="11">
        <v>120</v>
      </c>
      <c r="L199" s="12">
        <v>42400</v>
      </c>
      <c r="M199" t="s">
        <v>36</v>
      </c>
    </row>
    <row r="200" spans="1:13" ht="30" customHeight="1">
      <c r="A200" s="6" t="s">
        <v>384</v>
      </c>
      <c r="B200" s="7" t="s">
        <v>189</v>
      </c>
      <c r="C200" s="7" t="s">
        <v>383</v>
      </c>
      <c r="D200" s="6" t="s">
        <v>18</v>
      </c>
      <c r="E200" s="7" t="s">
        <v>224</v>
      </c>
      <c r="F200" s="13">
        <v>45809</v>
      </c>
      <c r="G200" s="9">
        <f>IFERROR(VLOOKUP(D200,Listas!$A$2:$B$20,2,FALSE()),999)</f>
        <v>1</v>
      </c>
      <c r="H200" s="9" t="str">
        <f t="shared" ca="1" si="3"/>
        <v>Revisar</v>
      </c>
      <c r="J200" s="11">
        <v>120</v>
      </c>
      <c r="K200" s="11">
        <v>120</v>
      </c>
      <c r="L200" s="12">
        <v>42400</v>
      </c>
      <c r="M200" t="s">
        <v>36</v>
      </c>
    </row>
    <row r="201" spans="1:13" ht="30" customHeight="1">
      <c r="A201" s="6" t="s">
        <v>385</v>
      </c>
      <c r="B201" s="7" t="s">
        <v>189</v>
      </c>
      <c r="C201" s="7" t="s">
        <v>386</v>
      </c>
      <c r="D201" s="6" t="s">
        <v>18</v>
      </c>
      <c r="E201" s="7" t="s">
        <v>224</v>
      </c>
      <c r="F201" s="13">
        <v>45809</v>
      </c>
      <c r="G201" s="9">
        <f>IFERROR(VLOOKUP(D201,Listas!$A$2:$B$20,2,FALSE()),999)</f>
        <v>1</v>
      </c>
      <c r="H201" s="9" t="str">
        <f t="shared" ca="1" si="3"/>
        <v>Revisar</v>
      </c>
      <c r="J201" s="11">
        <v>120</v>
      </c>
      <c r="K201" s="11">
        <v>120</v>
      </c>
      <c r="L201" s="12">
        <v>42400</v>
      </c>
      <c r="M201" t="s">
        <v>36</v>
      </c>
    </row>
    <row r="202" spans="1:13" ht="30" customHeight="1">
      <c r="A202" s="6" t="s">
        <v>387</v>
      </c>
      <c r="B202" s="7" t="s">
        <v>189</v>
      </c>
      <c r="C202" s="7" t="s">
        <v>388</v>
      </c>
      <c r="D202" s="6" t="s">
        <v>18</v>
      </c>
      <c r="E202" s="7" t="s">
        <v>224</v>
      </c>
      <c r="F202" s="13">
        <v>45809</v>
      </c>
      <c r="G202" s="9">
        <f>IFERROR(VLOOKUP(D202,Listas!$A$2:$B$20,2,FALSE()),999)</f>
        <v>1</v>
      </c>
      <c r="H202" s="9" t="str">
        <f t="shared" ca="1" si="3"/>
        <v>Revisar</v>
      </c>
      <c r="J202" s="11">
        <v>120</v>
      </c>
      <c r="K202" s="11">
        <v>120</v>
      </c>
      <c r="L202" s="12">
        <v>42400</v>
      </c>
      <c r="M202" t="s">
        <v>36</v>
      </c>
    </row>
    <row r="203" spans="1:13" ht="30" customHeight="1">
      <c r="A203" s="6" t="s">
        <v>389</v>
      </c>
      <c r="B203" s="7" t="s">
        <v>189</v>
      </c>
      <c r="C203" s="7" t="s">
        <v>386</v>
      </c>
      <c r="D203" s="6" t="s">
        <v>18</v>
      </c>
      <c r="E203" s="7" t="s">
        <v>224</v>
      </c>
      <c r="F203" s="13">
        <v>45809</v>
      </c>
      <c r="G203" s="9">
        <f>IFERROR(VLOOKUP(D203,Listas!$A$2:$B$20,2,FALSE()),999)</f>
        <v>1</v>
      </c>
      <c r="H203" s="9" t="str">
        <f t="shared" ca="1" si="3"/>
        <v>Revisar</v>
      </c>
      <c r="J203" s="11">
        <v>120</v>
      </c>
      <c r="K203" s="11">
        <v>120</v>
      </c>
      <c r="L203" s="12">
        <v>42400</v>
      </c>
      <c r="M203" t="s">
        <v>36</v>
      </c>
    </row>
    <row r="204" spans="1:13" ht="30" customHeight="1">
      <c r="A204" s="6" t="s">
        <v>390</v>
      </c>
      <c r="B204" s="7" t="s">
        <v>189</v>
      </c>
      <c r="C204" s="7" t="s">
        <v>391</v>
      </c>
      <c r="D204" s="6" t="s">
        <v>18</v>
      </c>
      <c r="E204" s="7" t="s">
        <v>224</v>
      </c>
      <c r="F204" s="13">
        <v>45809</v>
      </c>
      <c r="G204" s="9">
        <f>IFERROR(VLOOKUP(D204,Listas!$A$2:$B$20,2,FALSE()),999)</f>
        <v>1</v>
      </c>
      <c r="H204" s="9" t="str">
        <f t="shared" ca="1" si="3"/>
        <v>Revisar</v>
      </c>
      <c r="J204" s="11">
        <v>120</v>
      </c>
      <c r="K204" s="11">
        <v>117</v>
      </c>
      <c r="L204" s="12">
        <v>42735</v>
      </c>
      <c r="M204" t="s">
        <v>20</v>
      </c>
    </row>
    <row r="205" spans="1:13" ht="30" customHeight="1">
      <c r="A205" s="6" t="s">
        <v>392</v>
      </c>
      <c r="B205" s="7" t="s">
        <v>189</v>
      </c>
      <c r="C205" s="7" t="s">
        <v>391</v>
      </c>
      <c r="D205" s="6" t="s">
        <v>18</v>
      </c>
      <c r="E205" s="7" t="s">
        <v>224</v>
      </c>
      <c r="F205" s="13">
        <v>45809</v>
      </c>
      <c r="G205" s="9">
        <f>IFERROR(VLOOKUP(D205,Listas!$A$2:$B$20,2,FALSE()),999)</f>
        <v>1</v>
      </c>
      <c r="H205" s="9" t="str">
        <f t="shared" ca="1" si="3"/>
        <v>Revisar</v>
      </c>
      <c r="J205" s="11">
        <v>120</v>
      </c>
      <c r="K205" s="11">
        <v>117</v>
      </c>
      <c r="L205" s="12">
        <v>42735</v>
      </c>
      <c r="M205" t="s">
        <v>20</v>
      </c>
    </row>
    <row r="206" spans="1:13" ht="30" customHeight="1">
      <c r="A206" s="6" t="s">
        <v>393</v>
      </c>
      <c r="B206" s="7" t="s">
        <v>189</v>
      </c>
      <c r="C206" s="7" t="s">
        <v>394</v>
      </c>
      <c r="D206" s="6" t="s">
        <v>18</v>
      </c>
      <c r="E206" s="7" t="s">
        <v>224</v>
      </c>
      <c r="F206" s="13">
        <v>45809</v>
      </c>
      <c r="G206" s="9">
        <f>IFERROR(VLOOKUP(D206,Listas!$A$2:$B$20,2,FALSE()),999)</f>
        <v>1</v>
      </c>
      <c r="H206" s="9" t="str">
        <f t="shared" ca="1" si="3"/>
        <v>Revisar</v>
      </c>
      <c r="J206" s="11">
        <v>120</v>
      </c>
      <c r="K206" s="11">
        <v>103</v>
      </c>
      <c r="L206" s="12">
        <v>43115</v>
      </c>
      <c r="M206" t="s">
        <v>20</v>
      </c>
    </row>
    <row r="207" spans="1:13" ht="30" customHeight="1">
      <c r="A207" s="6" t="s">
        <v>395</v>
      </c>
      <c r="B207" s="7" t="s">
        <v>189</v>
      </c>
      <c r="C207" s="7" t="s">
        <v>394</v>
      </c>
      <c r="D207" s="6" t="s">
        <v>18</v>
      </c>
      <c r="E207" s="7" t="s">
        <v>224</v>
      </c>
      <c r="F207" s="13">
        <v>45809</v>
      </c>
      <c r="G207" s="9">
        <f>IFERROR(VLOOKUP(D207,Listas!$A$2:$B$20,2,FALSE()),999)</f>
        <v>1</v>
      </c>
      <c r="H207" s="9" t="str">
        <f t="shared" ca="1" si="3"/>
        <v>Revisar</v>
      </c>
      <c r="J207" s="11">
        <v>120</v>
      </c>
      <c r="K207" s="11">
        <v>103</v>
      </c>
      <c r="L207" s="12">
        <v>43115</v>
      </c>
      <c r="M207" t="s">
        <v>20</v>
      </c>
    </row>
    <row r="208" spans="1:13" ht="30" customHeight="1">
      <c r="A208" s="6" t="s">
        <v>396</v>
      </c>
      <c r="B208" s="7" t="s">
        <v>189</v>
      </c>
      <c r="C208" s="7" t="s">
        <v>394</v>
      </c>
      <c r="D208" s="6" t="s">
        <v>18</v>
      </c>
      <c r="E208" s="7" t="s">
        <v>224</v>
      </c>
      <c r="F208" s="13">
        <v>45809</v>
      </c>
      <c r="G208" s="9">
        <f>IFERROR(VLOOKUP(D208,Listas!$A$2:$B$20,2,FALSE()),999)</f>
        <v>1</v>
      </c>
      <c r="H208" s="9" t="str">
        <f t="shared" ca="1" si="3"/>
        <v>Revisar</v>
      </c>
      <c r="J208" s="11">
        <v>120</v>
      </c>
      <c r="K208" s="11">
        <v>103</v>
      </c>
      <c r="L208" s="12">
        <v>43115</v>
      </c>
      <c r="M208" t="s">
        <v>20</v>
      </c>
    </row>
    <row r="209" spans="1:13" ht="30" customHeight="1">
      <c r="A209" s="6" t="s">
        <v>397</v>
      </c>
      <c r="B209" s="7" t="s">
        <v>189</v>
      </c>
      <c r="C209" s="7" t="s">
        <v>394</v>
      </c>
      <c r="D209" s="6" t="s">
        <v>18</v>
      </c>
      <c r="E209" s="7" t="s">
        <v>224</v>
      </c>
      <c r="F209" s="13">
        <v>45809</v>
      </c>
      <c r="G209" s="9">
        <f>IFERROR(VLOOKUP(D209,Listas!$A$2:$B$20,2,FALSE()),999)</f>
        <v>1</v>
      </c>
      <c r="H209" s="9" t="str">
        <f t="shared" ca="1" si="3"/>
        <v>Revisar</v>
      </c>
      <c r="J209" s="11">
        <v>120</v>
      </c>
      <c r="K209" s="11">
        <v>103</v>
      </c>
      <c r="L209" s="12">
        <v>43115</v>
      </c>
      <c r="M209" t="s">
        <v>20</v>
      </c>
    </row>
    <row r="210" spans="1:13" ht="30" customHeight="1">
      <c r="A210" s="6" t="s">
        <v>398</v>
      </c>
      <c r="B210" s="7" t="s">
        <v>189</v>
      </c>
      <c r="C210" s="7" t="s">
        <v>394</v>
      </c>
      <c r="D210" s="6" t="s">
        <v>18</v>
      </c>
      <c r="E210" s="7" t="s">
        <v>224</v>
      </c>
      <c r="F210" s="13">
        <v>45809</v>
      </c>
      <c r="G210" s="9">
        <f>IFERROR(VLOOKUP(D210,Listas!$A$2:$B$20,2,FALSE()),999)</f>
        <v>1</v>
      </c>
      <c r="H210" s="9" t="str">
        <f t="shared" ca="1" si="3"/>
        <v>Revisar</v>
      </c>
      <c r="J210" s="11">
        <v>120</v>
      </c>
      <c r="K210" s="11">
        <v>103</v>
      </c>
      <c r="L210" s="12">
        <v>43115</v>
      </c>
      <c r="M210" t="s">
        <v>20</v>
      </c>
    </row>
    <row r="211" spans="1:13" ht="30" customHeight="1">
      <c r="A211" s="6" t="s">
        <v>399</v>
      </c>
      <c r="B211" s="7" t="s">
        <v>189</v>
      </c>
      <c r="C211" s="7" t="s">
        <v>400</v>
      </c>
      <c r="D211" s="6" t="s">
        <v>18</v>
      </c>
      <c r="E211" s="7" t="s">
        <v>224</v>
      </c>
      <c r="F211" s="13">
        <v>45809</v>
      </c>
      <c r="G211" s="9">
        <f>IFERROR(VLOOKUP(D211,Listas!$A$2:$B$20,2,FALSE()),999)</f>
        <v>1</v>
      </c>
      <c r="H211" s="9" t="str">
        <f t="shared" ca="1" si="3"/>
        <v>Revisar</v>
      </c>
      <c r="J211" s="11">
        <v>120</v>
      </c>
      <c r="K211" s="11">
        <v>56</v>
      </c>
      <c r="L211" s="12">
        <v>44562</v>
      </c>
      <c r="M211" t="s">
        <v>20</v>
      </c>
    </row>
    <row r="212" spans="1:13" ht="30" customHeight="1">
      <c r="A212" s="6" t="s">
        <v>401</v>
      </c>
      <c r="B212" s="7" t="s">
        <v>189</v>
      </c>
      <c r="C212" s="7" t="s">
        <v>400</v>
      </c>
      <c r="D212" s="6" t="s">
        <v>18</v>
      </c>
      <c r="E212" s="7" t="s">
        <v>224</v>
      </c>
      <c r="F212" s="13">
        <v>45809</v>
      </c>
      <c r="G212" s="9">
        <f>IFERROR(VLOOKUP(D212,Listas!$A$2:$B$20,2,FALSE()),999)</f>
        <v>1</v>
      </c>
      <c r="H212" s="9" t="str">
        <f t="shared" ca="1" si="3"/>
        <v>Revisar</v>
      </c>
      <c r="J212" s="11">
        <v>120</v>
      </c>
      <c r="K212" s="11">
        <v>56</v>
      </c>
      <c r="L212" s="12">
        <v>44562</v>
      </c>
      <c r="M212" t="s">
        <v>20</v>
      </c>
    </row>
    <row r="213" spans="1:13" ht="30" customHeight="1">
      <c r="A213" s="6" t="s">
        <v>402</v>
      </c>
      <c r="B213" s="7" t="s">
        <v>189</v>
      </c>
      <c r="C213" s="7" t="s">
        <v>400</v>
      </c>
      <c r="D213" s="6" t="s">
        <v>18</v>
      </c>
      <c r="E213" s="7" t="s">
        <v>224</v>
      </c>
      <c r="F213" s="13">
        <v>45809</v>
      </c>
      <c r="G213" s="9">
        <f>IFERROR(VLOOKUP(D213,Listas!$A$2:$B$20,2,FALSE()),999)</f>
        <v>1</v>
      </c>
      <c r="H213" s="9" t="str">
        <f t="shared" ca="1" si="3"/>
        <v>Revisar</v>
      </c>
      <c r="J213" s="11">
        <v>120</v>
      </c>
      <c r="K213" s="11">
        <v>56</v>
      </c>
      <c r="L213" s="12">
        <v>44562</v>
      </c>
      <c r="M213" t="s">
        <v>20</v>
      </c>
    </row>
    <row r="214" spans="1:13" ht="30" customHeight="1">
      <c r="A214" s="6" t="s">
        <v>403</v>
      </c>
      <c r="B214" s="7" t="s">
        <v>189</v>
      </c>
      <c r="C214" s="7" t="s">
        <v>400</v>
      </c>
      <c r="D214" s="6" t="s">
        <v>18</v>
      </c>
      <c r="E214" s="7" t="s">
        <v>224</v>
      </c>
      <c r="F214" s="13">
        <v>45809</v>
      </c>
      <c r="G214" s="9">
        <f>IFERROR(VLOOKUP(D214,Listas!$A$2:$B$20,2,FALSE()),999)</f>
        <v>1</v>
      </c>
      <c r="H214" s="9" t="str">
        <f t="shared" ca="1" si="3"/>
        <v>Revisar</v>
      </c>
      <c r="J214" s="11">
        <v>120</v>
      </c>
      <c r="K214" s="11">
        <v>56</v>
      </c>
      <c r="L214" s="12">
        <v>44562</v>
      </c>
      <c r="M214" t="s">
        <v>20</v>
      </c>
    </row>
    <row r="215" spans="1:13" ht="30" customHeight="1">
      <c r="A215" s="6" t="s">
        <v>404</v>
      </c>
      <c r="B215" s="7" t="s">
        <v>189</v>
      </c>
      <c r="C215" s="7" t="s">
        <v>400</v>
      </c>
      <c r="D215" s="6" t="s">
        <v>18</v>
      </c>
      <c r="E215" s="7" t="s">
        <v>224</v>
      </c>
      <c r="F215" s="13">
        <v>45809</v>
      </c>
      <c r="G215" s="9">
        <f>IFERROR(VLOOKUP(D215,Listas!$A$2:$B$20,2,FALSE()),999)</f>
        <v>1</v>
      </c>
      <c r="H215" s="9" t="str">
        <f t="shared" ca="1" si="3"/>
        <v>Revisar</v>
      </c>
      <c r="J215" s="11">
        <v>120</v>
      </c>
      <c r="K215" s="11">
        <v>56</v>
      </c>
      <c r="L215" s="12">
        <v>44562</v>
      </c>
      <c r="M215" t="s">
        <v>20</v>
      </c>
    </row>
    <row r="216" spans="1:13" ht="30" customHeight="1">
      <c r="A216" s="6" t="s">
        <v>405</v>
      </c>
      <c r="B216" s="7" t="s">
        <v>189</v>
      </c>
      <c r="C216" s="7" t="s">
        <v>406</v>
      </c>
      <c r="D216" s="6" t="s">
        <v>18</v>
      </c>
      <c r="E216" s="7" t="s">
        <v>224</v>
      </c>
      <c r="F216" s="13">
        <v>45809</v>
      </c>
      <c r="G216" s="9">
        <f>IFERROR(VLOOKUP(D216,Listas!$A$2:$B$20,2,FALSE()),999)</f>
        <v>1</v>
      </c>
      <c r="H216" s="9" t="str">
        <f t="shared" ca="1" si="3"/>
        <v>Revisar</v>
      </c>
      <c r="J216" s="11">
        <v>120</v>
      </c>
      <c r="K216" s="11">
        <v>11</v>
      </c>
      <c r="L216" s="12">
        <v>45931</v>
      </c>
      <c r="M216" t="s">
        <v>20</v>
      </c>
    </row>
    <row r="217" spans="1:13" ht="30" customHeight="1">
      <c r="A217" s="6" t="s">
        <v>407</v>
      </c>
      <c r="B217" s="7" t="s">
        <v>189</v>
      </c>
      <c r="C217" s="7" t="s">
        <v>406</v>
      </c>
      <c r="D217" s="6" t="s">
        <v>18</v>
      </c>
      <c r="E217" s="7" t="s">
        <v>224</v>
      </c>
      <c r="F217" s="13">
        <v>45809</v>
      </c>
      <c r="G217" s="9">
        <f>IFERROR(VLOOKUP(D217,Listas!$A$2:$B$20,2,FALSE()),999)</f>
        <v>1</v>
      </c>
      <c r="H217" s="9" t="str">
        <f t="shared" ca="1" si="3"/>
        <v>Revisar</v>
      </c>
      <c r="J217" s="11">
        <v>120</v>
      </c>
      <c r="K217" s="11">
        <v>11</v>
      </c>
      <c r="L217" s="12">
        <v>45931</v>
      </c>
      <c r="M217" t="s">
        <v>20</v>
      </c>
    </row>
    <row r="218" spans="1:13" ht="30" customHeight="1">
      <c r="A218" s="6" t="s">
        <v>408</v>
      </c>
      <c r="B218" s="7" t="s">
        <v>189</v>
      </c>
      <c r="C218" s="7" t="s">
        <v>406</v>
      </c>
      <c r="D218" s="6" t="s">
        <v>18</v>
      </c>
      <c r="E218" s="7" t="s">
        <v>224</v>
      </c>
      <c r="F218" s="13">
        <v>45809</v>
      </c>
      <c r="G218" s="9">
        <f>IFERROR(VLOOKUP(D218,Listas!$A$2:$B$20,2,FALSE()),999)</f>
        <v>1</v>
      </c>
      <c r="H218" s="9" t="str">
        <f t="shared" ca="1" si="3"/>
        <v>Revisar</v>
      </c>
      <c r="J218" s="11">
        <v>120</v>
      </c>
      <c r="K218" s="11">
        <v>11</v>
      </c>
      <c r="L218" s="12">
        <v>45931</v>
      </c>
      <c r="M218" t="s">
        <v>20</v>
      </c>
    </row>
    <row r="219" spans="1:13" ht="30" customHeight="1">
      <c r="A219" s="6" t="s">
        <v>409</v>
      </c>
      <c r="B219" s="7" t="s">
        <v>410</v>
      </c>
      <c r="C219" s="7" t="s">
        <v>411</v>
      </c>
      <c r="D219" s="6" t="s">
        <v>18</v>
      </c>
      <c r="E219" s="7" t="s">
        <v>224</v>
      </c>
      <c r="F219" s="13">
        <v>46023</v>
      </c>
      <c r="G219" s="9">
        <f>IFERROR(VLOOKUP(D219,Listas!$A$2:$B$20,2,FALSE()),999)</f>
        <v>1</v>
      </c>
      <c r="H219" s="9" t="str">
        <f t="shared" ca="1" si="3"/>
        <v>Revisar</v>
      </c>
      <c r="J219" s="11">
        <v>120</v>
      </c>
      <c r="K219" s="11">
        <v>92</v>
      </c>
      <c r="L219" s="12">
        <v>43493</v>
      </c>
      <c r="M219" t="s">
        <v>20</v>
      </c>
    </row>
    <row r="220" spans="1:13" ht="30" customHeight="1">
      <c r="A220" s="6" t="s">
        <v>412</v>
      </c>
      <c r="B220" s="7" t="s">
        <v>144</v>
      </c>
      <c r="C220" s="7" t="s">
        <v>413</v>
      </c>
      <c r="D220" s="6" t="s">
        <v>18</v>
      </c>
      <c r="E220" s="7" t="s">
        <v>224</v>
      </c>
      <c r="F220" s="13">
        <v>46023</v>
      </c>
      <c r="G220" s="9">
        <f>IFERROR(VLOOKUP(D220,Listas!$A$2:$B$20,2,FALSE()),999)</f>
        <v>1</v>
      </c>
      <c r="H220" s="9" t="str">
        <f t="shared" ca="1" si="3"/>
        <v>Revisar</v>
      </c>
      <c r="J220" s="11">
        <v>120</v>
      </c>
      <c r="K220" s="11">
        <v>120</v>
      </c>
      <c r="L220" s="12">
        <v>41090</v>
      </c>
      <c r="M220" t="s">
        <v>36</v>
      </c>
    </row>
    <row r="221" spans="1:13" ht="30" customHeight="1">
      <c r="A221" s="6" t="s">
        <v>414</v>
      </c>
      <c r="B221" s="7" t="s">
        <v>144</v>
      </c>
      <c r="C221" s="7" t="s">
        <v>413</v>
      </c>
      <c r="D221" s="6" t="s">
        <v>18</v>
      </c>
      <c r="E221" s="7" t="s">
        <v>224</v>
      </c>
      <c r="F221" s="13">
        <v>46023</v>
      </c>
      <c r="G221" s="9">
        <f>IFERROR(VLOOKUP(D221,Listas!$A$2:$B$20,2,FALSE()),999)</f>
        <v>1</v>
      </c>
      <c r="H221" s="9" t="str">
        <f t="shared" ca="1" si="3"/>
        <v>Revisar</v>
      </c>
      <c r="J221" s="11">
        <v>120</v>
      </c>
      <c r="K221" s="11">
        <v>120</v>
      </c>
      <c r="L221" s="12">
        <v>41090</v>
      </c>
      <c r="M221" t="s">
        <v>36</v>
      </c>
    </row>
    <row r="222" spans="1:13" ht="30" customHeight="1">
      <c r="A222" s="6" t="s">
        <v>415</v>
      </c>
      <c r="B222" s="7" t="s">
        <v>144</v>
      </c>
      <c r="C222" s="7" t="s">
        <v>416</v>
      </c>
      <c r="D222" s="6" t="s">
        <v>18</v>
      </c>
      <c r="E222" s="7" t="s">
        <v>224</v>
      </c>
      <c r="F222" s="13">
        <v>46023</v>
      </c>
      <c r="G222" s="9">
        <f>IFERROR(VLOOKUP(D222,Listas!$A$2:$B$20,2,FALSE()),999)</f>
        <v>1</v>
      </c>
      <c r="H222" s="9" t="str">
        <f t="shared" ca="1" si="3"/>
        <v>Revisar</v>
      </c>
      <c r="J222" s="11">
        <v>1</v>
      </c>
      <c r="K222" s="11">
        <v>1</v>
      </c>
      <c r="L222" s="12">
        <v>44774</v>
      </c>
      <c r="M222" t="s">
        <v>36</v>
      </c>
    </row>
    <row r="223" spans="1:13" ht="30" customHeight="1">
      <c r="A223" s="6" t="s">
        <v>417</v>
      </c>
      <c r="B223" s="7" t="s">
        <v>144</v>
      </c>
      <c r="C223" s="7" t="s">
        <v>416</v>
      </c>
      <c r="D223" s="6" t="s">
        <v>18</v>
      </c>
      <c r="E223" s="7" t="s">
        <v>224</v>
      </c>
      <c r="F223" s="13">
        <v>46023</v>
      </c>
      <c r="G223" s="9">
        <f>IFERROR(VLOOKUP(D223,Listas!$A$2:$B$20,2,FALSE()),999)</f>
        <v>1</v>
      </c>
      <c r="H223" s="9" t="str">
        <f t="shared" ca="1" si="3"/>
        <v>Revisar</v>
      </c>
      <c r="J223" s="11">
        <v>1</v>
      </c>
      <c r="K223" s="11">
        <v>1</v>
      </c>
      <c r="L223" s="12">
        <v>44774</v>
      </c>
      <c r="M223" t="s">
        <v>36</v>
      </c>
    </row>
    <row r="224" spans="1:13" ht="30" customHeight="1">
      <c r="A224" s="6" t="s">
        <v>418</v>
      </c>
      <c r="B224" s="7" t="s">
        <v>144</v>
      </c>
      <c r="C224" s="7" t="s">
        <v>419</v>
      </c>
      <c r="D224" s="6" t="s">
        <v>18</v>
      </c>
      <c r="E224" s="7" t="s">
        <v>224</v>
      </c>
      <c r="F224" s="13">
        <v>46023</v>
      </c>
      <c r="G224" s="9">
        <f>IFERROR(VLOOKUP(D224,Listas!$A$2:$B$20,2,FALSE()),999)</f>
        <v>1</v>
      </c>
      <c r="H224" s="9" t="str">
        <f t="shared" ca="1" si="3"/>
        <v>Revisar</v>
      </c>
      <c r="J224" s="11">
        <v>1</v>
      </c>
      <c r="K224" s="11">
        <v>1</v>
      </c>
      <c r="L224" s="12">
        <v>44774</v>
      </c>
      <c r="M224" t="s">
        <v>36</v>
      </c>
    </row>
    <row r="225" spans="1:13" ht="30" customHeight="1">
      <c r="A225" s="6" t="s">
        <v>420</v>
      </c>
      <c r="B225" s="7" t="s">
        <v>421</v>
      </c>
      <c r="C225" s="7" t="s">
        <v>422</v>
      </c>
      <c r="D225" s="6" t="s">
        <v>18</v>
      </c>
      <c r="E225" s="7" t="s">
        <v>224</v>
      </c>
      <c r="F225" s="13">
        <v>46023</v>
      </c>
      <c r="G225" s="9">
        <f>IFERROR(VLOOKUP(D225,Listas!$A$2:$B$20,2,FALSE()),999)</f>
        <v>1</v>
      </c>
      <c r="H225" s="9" t="str">
        <f t="shared" ca="1" si="3"/>
        <v>Revisar</v>
      </c>
      <c r="J225" s="11">
        <v>120</v>
      </c>
      <c r="K225" s="11">
        <v>120</v>
      </c>
      <c r="L225" s="12">
        <v>41090</v>
      </c>
      <c r="M225" t="s">
        <v>36</v>
      </c>
    </row>
    <row r="226" spans="1:13" ht="30" customHeight="1">
      <c r="A226" s="6" t="s">
        <v>423</v>
      </c>
      <c r="B226" s="7" t="s">
        <v>421</v>
      </c>
      <c r="C226" s="7" t="s">
        <v>422</v>
      </c>
      <c r="D226" s="6" t="s">
        <v>18</v>
      </c>
      <c r="E226" s="7" t="s">
        <v>224</v>
      </c>
      <c r="F226" s="13">
        <v>46023</v>
      </c>
      <c r="G226" s="9">
        <f>IFERROR(VLOOKUP(D226,Listas!$A$2:$B$20,2,FALSE()),999)</f>
        <v>1</v>
      </c>
      <c r="H226" s="9" t="str">
        <f t="shared" ca="1" si="3"/>
        <v>Revisar</v>
      </c>
      <c r="J226" s="11">
        <v>120</v>
      </c>
      <c r="K226" s="11">
        <v>120</v>
      </c>
      <c r="L226" s="12">
        <v>41090</v>
      </c>
      <c r="M226" t="s">
        <v>36</v>
      </c>
    </row>
    <row r="227" spans="1:13" ht="30" customHeight="1">
      <c r="A227" s="6" t="s">
        <v>424</v>
      </c>
      <c r="B227" s="7" t="s">
        <v>421</v>
      </c>
      <c r="C227" s="7" t="s">
        <v>422</v>
      </c>
      <c r="D227" s="6" t="s">
        <v>18</v>
      </c>
      <c r="E227" s="7" t="s">
        <v>224</v>
      </c>
      <c r="F227" s="13">
        <v>46023</v>
      </c>
      <c r="G227" s="9">
        <f>IFERROR(VLOOKUP(D227,Listas!$A$2:$B$20,2,FALSE()),999)</f>
        <v>1</v>
      </c>
      <c r="H227" s="9" t="str">
        <f t="shared" ca="1" si="3"/>
        <v>Revisar</v>
      </c>
      <c r="J227" s="11">
        <v>120</v>
      </c>
      <c r="K227" s="11">
        <v>120</v>
      </c>
      <c r="L227" s="12">
        <v>41090</v>
      </c>
      <c r="M227" t="s">
        <v>36</v>
      </c>
    </row>
    <row r="228" spans="1:13" ht="30" customHeight="1">
      <c r="A228" s="6" t="s">
        <v>425</v>
      </c>
      <c r="B228" s="7" t="s">
        <v>421</v>
      </c>
      <c r="C228" s="7" t="s">
        <v>422</v>
      </c>
      <c r="D228" s="6" t="s">
        <v>18</v>
      </c>
      <c r="E228" s="7" t="s">
        <v>224</v>
      </c>
      <c r="F228" s="13">
        <v>46023</v>
      </c>
      <c r="G228" s="9">
        <f>IFERROR(VLOOKUP(D228,Listas!$A$2:$B$20,2,FALSE()),999)</f>
        <v>1</v>
      </c>
      <c r="H228" s="9" t="str">
        <f t="shared" ca="1" si="3"/>
        <v>Revisar</v>
      </c>
      <c r="J228" s="11">
        <v>120</v>
      </c>
      <c r="K228" s="11">
        <v>120</v>
      </c>
      <c r="L228" s="12">
        <v>41090</v>
      </c>
      <c r="M228" t="s">
        <v>36</v>
      </c>
    </row>
    <row r="229" spans="1:13" ht="30" customHeight="1">
      <c r="A229" s="6" t="s">
        <v>426</v>
      </c>
      <c r="B229" s="7" t="s">
        <v>421</v>
      </c>
      <c r="C229" s="7" t="s">
        <v>422</v>
      </c>
      <c r="D229" s="6" t="s">
        <v>18</v>
      </c>
      <c r="E229" s="7" t="s">
        <v>224</v>
      </c>
      <c r="F229" s="13">
        <v>46023</v>
      </c>
      <c r="G229" s="9">
        <f>IFERROR(VLOOKUP(D229,Listas!$A$2:$B$20,2,FALSE()),999)</f>
        <v>1</v>
      </c>
      <c r="H229" s="9" t="str">
        <f t="shared" ca="1" si="3"/>
        <v>Revisar</v>
      </c>
      <c r="J229" s="11">
        <v>120</v>
      </c>
      <c r="K229" s="11">
        <v>120</v>
      </c>
      <c r="L229" s="12">
        <v>41090</v>
      </c>
      <c r="M229" t="s">
        <v>36</v>
      </c>
    </row>
    <row r="230" spans="1:13" ht="30" customHeight="1">
      <c r="A230" s="6" t="s">
        <v>427</v>
      </c>
      <c r="B230" s="7" t="s">
        <v>421</v>
      </c>
      <c r="C230" s="7" t="s">
        <v>428</v>
      </c>
      <c r="D230" s="6" t="s">
        <v>18</v>
      </c>
      <c r="E230" s="7" t="s">
        <v>224</v>
      </c>
      <c r="F230" s="13">
        <v>46023</v>
      </c>
      <c r="G230" s="9">
        <f>IFERROR(VLOOKUP(D230,Listas!$A$2:$B$20,2,FALSE()),999)</f>
        <v>1</v>
      </c>
      <c r="H230" s="9" t="str">
        <f t="shared" ca="1" si="3"/>
        <v>Revisar</v>
      </c>
      <c r="J230" s="11">
        <v>120</v>
      </c>
      <c r="K230" s="11">
        <v>95</v>
      </c>
      <c r="L230" s="12">
        <v>43398</v>
      </c>
      <c r="M230" t="s">
        <v>20</v>
      </c>
    </row>
    <row r="231" spans="1:13" ht="30" customHeight="1">
      <c r="A231" s="6" t="s">
        <v>429</v>
      </c>
      <c r="B231" s="7" t="s">
        <v>430</v>
      </c>
      <c r="C231" s="7" t="s">
        <v>431</v>
      </c>
      <c r="D231" s="6" t="s">
        <v>18</v>
      </c>
      <c r="E231" s="7" t="s">
        <v>224</v>
      </c>
      <c r="F231" s="13">
        <v>46023</v>
      </c>
      <c r="G231" s="9">
        <f>IFERROR(VLOOKUP(D231,Listas!$A$2:$B$20,2,FALSE()),999)</f>
        <v>1</v>
      </c>
      <c r="H231" s="9" t="str">
        <f t="shared" ca="1" si="3"/>
        <v>Revisar</v>
      </c>
      <c r="J231" s="11">
        <v>120</v>
      </c>
      <c r="K231" s="11">
        <v>120</v>
      </c>
      <c r="L231" s="12">
        <v>41090</v>
      </c>
      <c r="M231" t="s">
        <v>36</v>
      </c>
    </row>
    <row r="232" spans="1:13" ht="30" customHeight="1">
      <c r="A232" s="6" t="s">
        <v>432</v>
      </c>
      <c r="B232" s="7" t="s">
        <v>433</v>
      </c>
      <c r="C232" s="7" t="s">
        <v>434</v>
      </c>
      <c r="D232" s="6" t="s">
        <v>18</v>
      </c>
      <c r="E232" s="7" t="s">
        <v>224</v>
      </c>
      <c r="F232" s="13">
        <v>46023</v>
      </c>
      <c r="G232" s="9">
        <f>IFERROR(VLOOKUP(D232,Listas!$A$2:$B$20,2,FALSE()),999)</f>
        <v>1</v>
      </c>
      <c r="H232" s="9" t="str">
        <f t="shared" ca="1" si="3"/>
        <v>Revisar</v>
      </c>
      <c r="J232" s="11">
        <v>120</v>
      </c>
      <c r="K232" s="11">
        <v>120</v>
      </c>
      <c r="L232" s="12">
        <v>39263</v>
      </c>
      <c r="M232" t="s">
        <v>36</v>
      </c>
    </row>
    <row r="233" spans="1:13" ht="30" customHeight="1">
      <c r="A233" s="6" t="s">
        <v>435</v>
      </c>
      <c r="B233" s="7" t="s">
        <v>433</v>
      </c>
      <c r="C233" s="7" t="s">
        <v>434</v>
      </c>
      <c r="D233" s="6" t="s">
        <v>18</v>
      </c>
      <c r="E233" s="7" t="s">
        <v>224</v>
      </c>
      <c r="F233" s="13">
        <v>46023</v>
      </c>
      <c r="G233" s="9">
        <f>IFERROR(VLOOKUP(D233,Listas!$A$2:$B$20,2,FALSE()),999)</f>
        <v>1</v>
      </c>
      <c r="H233" s="9" t="str">
        <f t="shared" ca="1" si="3"/>
        <v>Revisar</v>
      </c>
      <c r="J233" s="11">
        <v>120</v>
      </c>
      <c r="K233" s="11">
        <v>120</v>
      </c>
      <c r="L233" s="12">
        <v>39263</v>
      </c>
      <c r="M233" t="s">
        <v>36</v>
      </c>
    </row>
    <row r="234" spans="1:13" ht="30" customHeight="1">
      <c r="A234" s="6" t="s">
        <v>436</v>
      </c>
      <c r="B234" s="7" t="s">
        <v>433</v>
      </c>
      <c r="C234" s="7" t="s">
        <v>434</v>
      </c>
      <c r="D234" s="6" t="s">
        <v>18</v>
      </c>
      <c r="E234" s="7" t="s">
        <v>224</v>
      </c>
      <c r="F234" s="13">
        <v>46023</v>
      </c>
      <c r="G234" s="9">
        <f>IFERROR(VLOOKUP(D234,Listas!$A$2:$B$20,2,FALSE()),999)</f>
        <v>1</v>
      </c>
      <c r="H234" s="9" t="str">
        <f t="shared" ca="1" si="3"/>
        <v>Revisar</v>
      </c>
      <c r="J234" s="11">
        <v>120</v>
      </c>
      <c r="K234" s="11">
        <v>120</v>
      </c>
      <c r="L234" s="12">
        <v>39263</v>
      </c>
      <c r="M234" t="s">
        <v>36</v>
      </c>
    </row>
    <row r="235" spans="1:13" ht="30" customHeight="1">
      <c r="A235" s="6" t="s">
        <v>437</v>
      </c>
      <c r="B235" s="7" t="s">
        <v>438</v>
      </c>
      <c r="C235" s="7" t="s">
        <v>439</v>
      </c>
      <c r="D235" s="6" t="s">
        <v>18</v>
      </c>
      <c r="E235" s="7" t="s">
        <v>224</v>
      </c>
      <c r="F235" s="13">
        <v>46023</v>
      </c>
      <c r="G235" s="9">
        <f>IFERROR(VLOOKUP(D235,Listas!$A$2:$B$20,2,FALSE()),999)</f>
        <v>1</v>
      </c>
      <c r="H235" s="9" t="str">
        <f t="shared" ca="1" si="3"/>
        <v>Revisar</v>
      </c>
      <c r="J235" s="11">
        <v>120</v>
      </c>
      <c r="K235" s="11">
        <v>120</v>
      </c>
      <c r="L235" s="12">
        <v>39263</v>
      </c>
      <c r="M235" t="s">
        <v>36</v>
      </c>
    </row>
    <row r="236" spans="1:13" ht="30" customHeight="1">
      <c r="A236" s="6" t="s">
        <v>440</v>
      </c>
      <c r="B236" s="7" t="s">
        <v>438</v>
      </c>
      <c r="C236" s="7" t="s">
        <v>439</v>
      </c>
      <c r="D236" s="6" t="s">
        <v>18</v>
      </c>
      <c r="E236" s="7" t="s">
        <v>224</v>
      </c>
      <c r="F236" s="13">
        <v>46023</v>
      </c>
      <c r="G236" s="9">
        <f>IFERROR(VLOOKUP(D236,Listas!$A$2:$B$20,2,FALSE()),999)</f>
        <v>1</v>
      </c>
      <c r="H236" s="9" t="str">
        <f t="shared" ca="1" si="3"/>
        <v>Revisar</v>
      </c>
      <c r="J236" s="11">
        <v>120</v>
      </c>
      <c r="K236" s="11">
        <v>120</v>
      </c>
      <c r="L236" s="12">
        <v>39263</v>
      </c>
      <c r="M236" t="s">
        <v>36</v>
      </c>
    </row>
    <row r="237" spans="1:13" ht="30" customHeight="1">
      <c r="A237" s="6" t="s">
        <v>441</v>
      </c>
      <c r="B237" s="7" t="s">
        <v>438</v>
      </c>
      <c r="C237" s="7" t="s">
        <v>439</v>
      </c>
      <c r="D237" s="6" t="s">
        <v>18</v>
      </c>
      <c r="E237" s="7" t="s">
        <v>224</v>
      </c>
      <c r="F237" s="13">
        <v>46023</v>
      </c>
      <c r="G237" s="9">
        <f>IFERROR(VLOOKUP(D237,Listas!$A$2:$B$20,2,FALSE()),999)</f>
        <v>1</v>
      </c>
      <c r="H237" s="9" t="str">
        <f t="shared" ca="1" si="3"/>
        <v>Revisar</v>
      </c>
      <c r="J237" s="11">
        <v>120</v>
      </c>
      <c r="K237" s="11">
        <v>120</v>
      </c>
      <c r="L237" s="12">
        <v>39263</v>
      </c>
      <c r="M237" t="s">
        <v>36</v>
      </c>
    </row>
    <row r="238" spans="1:13" ht="30" customHeight="1">
      <c r="A238" s="6" t="s">
        <v>442</v>
      </c>
      <c r="B238" s="7" t="s">
        <v>443</v>
      </c>
      <c r="C238" s="7" t="s">
        <v>444</v>
      </c>
      <c r="D238" s="6" t="s">
        <v>18</v>
      </c>
      <c r="E238" s="7" t="s">
        <v>224</v>
      </c>
      <c r="F238" s="13">
        <v>46023</v>
      </c>
      <c r="G238" s="9">
        <f>IFERROR(VLOOKUP(D238,Listas!$A$2:$B$20,2,FALSE()),999)</f>
        <v>1</v>
      </c>
      <c r="H238" s="9" t="str">
        <f t="shared" ca="1" si="3"/>
        <v>Revisar</v>
      </c>
      <c r="J238" s="11">
        <v>120</v>
      </c>
      <c r="K238" s="11">
        <v>120</v>
      </c>
      <c r="L238" s="12">
        <v>41090</v>
      </c>
      <c r="M238" t="s">
        <v>36</v>
      </c>
    </row>
    <row r="239" spans="1:13" ht="30" customHeight="1">
      <c r="A239" s="6" t="s">
        <v>445</v>
      </c>
      <c r="B239" s="7" t="s">
        <v>443</v>
      </c>
      <c r="C239" s="7" t="s">
        <v>444</v>
      </c>
      <c r="D239" s="6" t="s">
        <v>18</v>
      </c>
      <c r="E239" s="7" t="s">
        <v>224</v>
      </c>
      <c r="F239" s="13">
        <v>46023</v>
      </c>
      <c r="G239" s="9">
        <f>IFERROR(VLOOKUP(D239,Listas!$A$2:$B$20,2,FALSE()),999)</f>
        <v>1</v>
      </c>
      <c r="H239" s="9" t="str">
        <f t="shared" ca="1" si="3"/>
        <v>Revisar</v>
      </c>
      <c r="J239" s="11">
        <v>120</v>
      </c>
      <c r="K239" s="11">
        <v>120</v>
      </c>
      <c r="L239" s="12">
        <v>41090</v>
      </c>
      <c r="M239" t="s">
        <v>36</v>
      </c>
    </row>
    <row r="240" spans="1:13" ht="30" customHeight="1">
      <c r="A240" s="6" t="s">
        <v>446</v>
      </c>
      <c r="B240" s="7" t="s">
        <v>443</v>
      </c>
      <c r="C240" s="7" t="s">
        <v>447</v>
      </c>
      <c r="D240" s="6" t="s">
        <v>18</v>
      </c>
      <c r="E240" s="7" t="s">
        <v>224</v>
      </c>
      <c r="F240" s="13">
        <v>46023</v>
      </c>
      <c r="G240" s="9">
        <f>IFERROR(VLOOKUP(D240,Listas!$A$2:$B$20,2,FALSE()),999)</f>
        <v>1</v>
      </c>
      <c r="H240" s="9" t="str">
        <f t="shared" ca="1" si="3"/>
        <v>Revisar</v>
      </c>
      <c r="J240" s="11">
        <v>120</v>
      </c>
      <c r="K240" s="11">
        <v>120</v>
      </c>
      <c r="L240" s="12">
        <v>41090</v>
      </c>
      <c r="M240" t="s">
        <v>36</v>
      </c>
    </row>
    <row r="241" spans="1:13" ht="30" customHeight="1">
      <c r="A241" s="6" t="s">
        <v>448</v>
      </c>
      <c r="B241" s="7" t="s">
        <v>443</v>
      </c>
      <c r="C241" s="7" t="s">
        <v>447</v>
      </c>
      <c r="D241" s="6" t="s">
        <v>18</v>
      </c>
      <c r="E241" s="7" t="s">
        <v>224</v>
      </c>
      <c r="F241" s="13">
        <v>46023</v>
      </c>
      <c r="G241" s="9">
        <f>IFERROR(VLOOKUP(D241,Listas!$A$2:$B$20,2,FALSE()),999)</f>
        <v>1</v>
      </c>
      <c r="H241" s="9" t="str">
        <f t="shared" ca="1" si="3"/>
        <v>Revisar</v>
      </c>
      <c r="J241" s="11">
        <v>120</v>
      </c>
      <c r="K241" s="11">
        <v>120</v>
      </c>
      <c r="L241" s="12">
        <v>41090</v>
      </c>
      <c r="M241" t="s">
        <v>36</v>
      </c>
    </row>
    <row r="242" spans="1:13" ht="30" customHeight="1">
      <c r="A242" s="6" t="s">
        <v>449</v>
      </c>
      <c r="B242" s="7" t="s">
        <v>450</v>
      </c>
      <c r="C242" s="7" t="s">
        <v>451</v>
      </c>
      <c r="D242" s="6" t="s">
        <v>18</v>
      </c>
      <c r="E242" s="7" t="s">
        <v>224</v>
      </c>
      <c r="F242" s="13">
        <v>46023</v>
      </c>
      <c r="G242" s="9">
        <f>IFERROR(VLOOKUP(D242,Listas!$A$2:$B$20,2,FALSE()),999)</f>
        <v>1</v>
      </c>
      <c r="H242" s="9" t="str">
        <f t="shared" ca="1" si="3"/>
        <v>Revisar</v>
      </c>
      <c r="J242" s="11">
        <v>120</v>
      </c>
      <c r="K242" s="11">
        <v>120</v>
      </c>
      <c r="L242" s="12">
        <v>39263</v>
      </c>
      <c r="M242" t="s">
        <v>36</v>
      </c>
    </row>
    <row r="243" spans="1:13" ht="30" customHeight="1">
      <c r="A243" s="6" t="s">
        <v>452</v>
      </c>
      <c r="B243" s="7" t="s">
        <v>450</v>
      </c>
      <c r="C243" s="7" t="s">
        <v>453</v>
      </c>
      <c r="D243" s="6" t="s">
        <v>18</v>
      </c>
      <c r="E243" s="7" t="s">
        <v>224</v>
      </c>
      <c r="F243" s="13">
        <v>46023</v>
      </c>
      <c r="G243" s="9">
        <f>IFERROR(VLOOKUP(D243,Listas!$A$2:$B$20,2,FALSE()),999)</f>
        <v>1</v>
      </c>
      <c r="H243" s="9" t="str">
        <f t="shared" ca="1" si="3"/>
        <v>Revisar</v>
      </c>
      <c r="J243" s="11">
        <v>120</v>
      </c>
      <c r="K243" s="11">
        <v>120</v>
      </c>
      <c r="L243" s="12">
        <v>39263</v>
      </c>
      <c r="M243" t="s">
        <v>36</v>
      </c>
    </row>
    <row r="244" spans="1:13" ht="30" customHeight="1">
      <c r="A244" s="6" t="s">
        <v>454</v>
      </c>
      <c r="B244" s="7" t="s">
        <v>450</v>
      </c>
      <c r="C244" s="7" t="s">
        <v>453</v>
      </c>
      <c r="D244" s="6" t="s">
        <v>18</v>
      </c>
      <c r="E244" s="7" t="s">
        <v>224</v>
      </c>
      <c r="F244" s="13">
        <v>46023</v>
      </c>
      <c r="G244" s="9">
        <f>IFERROR(VLOOKUP(D244,Listas!$A$2:$B$20,2,FALSE()),999)</f>
        <v>1</v>
      </c>
      <c r="H244" s="9" t="str">
        <f t="shared" ca="1" si="3"/>
        <v>Revisar</v>
      </c>
      <c r="J244" s="11">
        <v>120</v>
      </c>
      <c r="K244" s="11">
        <v>120</v>
      </c>
      <c r="L244" s="12">
        <v>39263</v>
      </c>
      <c r="M244" t="s">
        <v>36</v>
      </c>
    </row>
    <row r="245" spans="1:13" ht="30" customHeight="1">
      <c r="A245" s="6" t="s">
        <v>455</v>
      </c>
      <c r="B245" s="7" t="s">
        <v>450</v>
      </c>
      <c r="C245" s="7" t="s">
        <v>453</v>
      </c>
      <c r="D245" s="6" t="s">
        <v>18</v>
      </c>
      <c r="E245" s="7" t="s">
        <v>224</v>
      </c>
      <c r="F245" s="13">
        <v>46023</v>
      </c>
      <c r="G245" s="9">
        <f>IFERROR(VLOOKUP(D245,Listas!$A$2:$B$20,2,FALSE()),999)</f>
        <v>1</v>
      </c>
      <c r="H245" s="9" t="str">
        <f t="shared" ca="1" si="3"/>
        <v>Revisar</v>
      </c>
      <c r="J245" s="11">
        <v>120</v>
      </c>
      <c r="K245" s="11">
        <v>120</v>
      </c>
      <c r="L245" s="12">
        <v>39263</v>
      </c>
      <c r="M245" t="s">
        <v>36</v>
      </c>
    </row>
    <row r="246" spans="1:13" ht="30" customHeight="1">
      <c r="A246" s="6" t="s">
        <v>456</v>
      </c>
      <c r="B246" s="7" t="s">
        <v>450</v>
      </c>
      <c r="C246" s="7" t="s">
        <v>451</v>
      </c>
      <c r="D246" s="6" t="s">
        <v>18</v>
      </c>
      <c r="E246" s="7" t="s">
        <v>224</v>
      </c>
      <c r="F246" s="13">
        <v>46023</v>
      </c>
      <c r="G246" s="9">
        <f>IFERROR(VLOOKUP(D246,Listas!$A$2:$B$20,2,FALSE()),999)</f>
        <v>1</v>
      </c>
      <c r="H246" s="9" t="str">
        <f t="shared" ca="1" si="3"/>
        <v>Revisar</v>
      </c>
      <c r="J246" s="11">
        <v>120</v>
      </c>
      <c r="K246" s="11">
        <v>120</v>
      </c>
      <c r="L246" s="12">
        <v>39263</v>
      </c>
      <c r="M246" t="s">
        <v>36</v>
      </c>
    </row>
    <row r="247" spans="1:13" ht="30" customHeight="1">
      <c r="A247" s="6" t="s">
        <v>457</v>
      </c>
      <c r="B247" s="7" t="s">
        <v>450</v>
      </c>
      <c r="C247" s="7" t="s">
        <v>451</v>
      </c>
      <c r="D247" s="6" t="s">
        <v>18</v>
      </c>
      <c r="E247" s="7" t="s">
        <v>224</v>
      </c>
      <c r="F247" s="13">
        <v>46023</v>
      </c>
      <c r="G247" s="9">
        <f>IFERROR(VLOOKUP(D247,Listas!$A$2:$B$20,2,FALSE()),999)</f>
        <v>1</v>
      </c>
      <c r="H247" s="9" t="str">
        <f t="shared" ca="1" si="3"/>
        <v>Revisar</v>
      </c>
      <c r="J247" s="11">
        <v>120</v>
      </c>
      <c r="K247" s="11">
        <v>120</v>
      </c>
      <c r="L247" s="12">
        <v>39263</v>
      </c>
      <c r="M247" t="s">
        <v>36</v>
      </c>
    </row>
    <row r="248" spans="1:13" ht="30" customHeight="1">
      <c r="A248" s="6" t="s">
        <v>458</v>
      </c>
      <c r="B248" s="7" t="s">
        <v>450</v>
      </c>
      <c r="C248" s="7" t="s">
        <v>451</v>
      </c>
      <c r="D248" s="6" t="s">
        <v>18</v>
      </c>
      <c r="E248" s="7" t="s">
        <v>224</v>
      </c>
      <c r="F248" s="13">
        <v>46023</v>
      </c>
      <c r="G248" s="9">
        <f>IFERROR(VLOOKUP(D248,Listas!$A$2:$B$20,2,FALSE()),999)</f>
        <v>1</v>
      </c>
      <c r="H248" s="9" t="str">
        <f t="shared" ca="1" si="3"/>
        <v>Revisar</v>
      </c>
      <c r="J248" s="11">
        <v>120</v>
      </c>
      <c r="K248" s="11">
        <v>120</v>
      </c>
      <c r="L248" s="12">
        <v>39263</v>
      </c>
      <c r="M248" t="s">
        <v>36</v>
      </c>
    </row>
    <row r="249" spans="1:13" ht="30" customHeight="1">
      <c r="A249" s="6" t="s">
        <v>459</v>
      </c>
      <c r="B249" s="7" t="s">
        <v>460</v>
      </c>
      <c r="C249" s="7" t="s">
        <v>460</v>
      </c>
      <c r="D249" s="6" t="s">
        <v>18</v>
      </c>
      <c r="E249" s="7" t="s">
        <v>224</v>
      </c>
      <c r="F249" s="13">
        <v>46023</v>
      </c>
      <c r="G249" s="9">
        <f>IFERROR(VLOOKUP(D249,Listas!$A$2:$B$20,2,FALSE()),999)</f>
        <v>1</v>
      </c>
      <c r="H249" s="9" t="str">
        <f t="shared" ca="1" si="3"/>
        <v>Revisar</v>
      </c>
      <c r="J249" s="11">
        <v>1</v>
      </c>
      <c r="K249" s="11">
        <v>1</v>
      </c>
      <c r="L249" s="12">
        <v>44774</v>
      </c>
      <c r="M249" t="s">
        <v>36</v>
      </c>
    </row>
    <row r="250" spans="1:13" ht="30" customHeight="1">
      <c r="A250" s="6" t="s">
        <v>461</v>
      </c>
      <c r="B250" s="7" t="s">
        <v>462</v>
      </c>
      <c r="C250" s="7" t="s">
        <v>463</v>
      </c>
      <c r="D250" s="6" t="s">
        <v>18</v>
      </c>
      <c r="E250" s="7" t="s">
        <v>224</v>
      </c>
      <c r="F250" s="13">
        <v>46023</v>
      </c>
      <c r="G250" s="9">
        <f>IFERROR(VLOOKUP(D250,Listas!$A$2:$B$20,2,FALSE()),999)</f>
        <v>1</v>
      </c>
      <c r="H250" s="9" t="str">
        <f t="shared" ca="1" si="3"/>
        <v>Revisar</v>
      </c>
      <c r="J250" s="11">
        <v>120</v>
      </c>
      <c r="K250" s="11">
        <v>120</v>
      </c>
      <c r="L250" s="12">
        <v>39263</v>
      </c>
      <c r="M250" t="s">
        <v>36</v>
      </c>
    </row>
    <row r="251" spans="1:13" ht="30" customHeight="1">
      <c r="A251" s="6" t="s">
        <v>464</v>
      </c>
      <c r="B251" s="7" t="s">
        <v>462</v>
      </c>
      <c r="C251" s="7" t="s">
        <v>463</v>
      </c>
      <c r="D251" s="6" t="s">
        <v>18</v>
      </c>
      <c r="E251" s="7" t="s">
        <v>224</v>
      </c>
      <c r="F251" s="13">
        <v>46023</v>
      </c>
      <c r="G251" s="9">
        <f>IFERROR(VLOOKUP(D251,Listas!$A$2:$B$20,2,FALSE()),999)</f>
        <v>1</v>
      </c>
      <c r="H251" s="9" t="str">
        <f t="shared" ca="1" si="3"/>
        <v>Revisar</v>
      </c>
      <c r="J251" s="11">
        <v>120</v>
      </c>
      <c r="K251" s="11">
        <v>120</v>
      </c>
      <c r="L251" s="12">
        <v>39263</v>
      </c>
      <c r="M251" t="s">
        <v>36</v>
      </c>
    </row>
    <row r="252" spans="1:13" ht="30" customHeight="1">
      <c r="A252" s="6" t="s">
        <v>465</v>
      </c>
      <c r="B252" s="7" t="s">
        <v>462</v>
      </c>
      <c r="C252" s="7" t="s">
        <v>463</v>
      </c>
      <c r="D252" s="6" t="s">
        <v>18</v>
      </c>
      <c r="E252" s="7" t="s">
        <v>224</v>
      </c>
      <c r="F252" s="13">
        <v>46023</v>
      </c>
      <c r="G252" s="9">
        <f>IFERROR(VLOOKUP(D252,Listas!$A$2:$B$20,2,FALSE()),999)</f>
        <v>1</v>
      </c>
      <c r="H252" s="9" t="str">
        <f t="shared" ca="1" si="3"/>
        <v>Revisar</v>
      </c>
      <c r="J252" s="11">
        <v>120</v>
      </c>
      <c r="K252" s="11">
        <v>120</v>
      </c>
      <c r="L252" s="12">
        <v>39263</v>
      </c>
      <c r="M252" t="s">
        <v>36</v>
      </c>
    </row>
    <row r="253" spans="1:13" ht="30" customHeight="1">
      <c r="A253" s="6" t="s">
        <v>466</v>
      </c>
      <c r="B253" s="7" t="s">
        <v>462</v>
      </c>
      <c r="C253" s="7" t="s">
        <v>463</v>
      </c>
      <c r="D253" s="6" t="s">
        <v>18</v>
      </c>
      <c r="E253" s="7" t="s">
        <v>224</v>
      </c>
      <c r="F253" s="13">
        <v>46023</v>
      </c>
      <c r="G253" s="9">
        <f>IFERROR(VLOOKUP(D253,Listas!$A$2:$B$20,2,FALSE()),999)</f>
        <v>1</v>
      </c>
      <c r="H253" s="9" t="str">
        <f t="shared" ca="1" si="3"/>
        <v>Revisar</v>
      </c>
      <c r="J253" s="11">
        <v>120</v>
      </c>
      <c r="K253" s="11">
        <v>120</v>
      </c>
      <c r="L253" s="12">
        <v>39263</v>
      </c>
      <c r="M253" t="s">
        <v>36</v>
      </c>
    </row>
    <row r="254" spans="1:13" ht="30" customHeight="1">
      <c r="A254" s="6" t="s">
        <v>467</v>
      </c>
      <c r="B254" s="7" t="s">
        <v>462</v>
      </c>
      <c r="C254" s="7" t="s">
        <v>468</v>
      </c>
      <c r="D254" s="6" t="s">
        <v>18</v>
      </c>
      <c r="E254" s="7" t="s">
        <v>224</v>
      </c>
      <c r="F254" s="13">
        <v>46023</v>
      </c>
      <c r="G254" s="9">
        <f>IFERROR(VLOOKUP(D254,Listas!$A$2:$B$20,2,FALSE()),999)</f>
        <v>1</v>
      </c>
      <c r="H254" s="9" t="str">
        <f t="shared" ca="1" si="3"/>
        <v>Revisar</v>
      </c>
      <c r="J254" s="11">
        <v>120</v>
      </c>
      <c r="K254" s="11">
        <v>120</v>
      </c>
      <c r="L254" s="12">
        <v>41090</v>
      </c>
      <c r="M254" t="s">
        <v>36</v>
      </c>
    </row>
    <row r="255" spans="1:13" ht="30" customHeight="1">
      <c r="A255" s="6" t="s">
        <v>469</v>
      </c>
      <c r="B255" s="7" t="s">
        <v>462</v>
      </c>
      <c r="C255" s="7" t="s">
        <v>470</v>
      </c>
      <c r="D255" s="6" t="s">
        <v>18</v>
      </c>
      <c r="E255" s="7" t="s">
        <v>224</v>
      </c>
      <c r="F255" s="13">
        <v>46023</v>
      </c>
      <c r="G255" s="9">
        <f>IFERROR(VLOOKUP(D255,Listas!$A$2:$B$20,2,FALSE()),999)</f>
        <v>1</v>
      </c>
      <c r="H255" s="9" t="str">
        <f t="shared" ca="1" si="3"/>
        <v>Revisar</v>
      </c>
      <c r="J255" s="11">
        <v>120</v>
      </c>
      <c r="K255" s="11">
        <v>120</v>
      </c>
      <c r="L255" s="12">
        <v>41090</v>
      </c>
      <c r="M255" t="s">
        <v>36</v>
      </c>
    </row>
    <row r="256" spans="1:13" ht="30" customHeight="1">
      <c r="A256" s="6" t="s">
        <v>471</v>
      </c>
      <c r="B256" s="7" t="s">
        <v>462</v>
      </c>
      <c r="C256" s="7" t="s">
        <v>468</v>
      </c>
      <c r="D256" s="6" t="s">
        <v>18</v>
      </c>
      <c r="E256" s="7" t="s">
        <v>224</v>
      </c>
      <c r="F256" s="13">
        <v>46023</v>
      </c>
      <c r="G256" s="9">
        <f>IFERROR(VLOOKUP(D256,Listas!$A$2:$B$20,2,FALSE()),999)</f>
        <v>1</v>
      </c>
      <c r="H256" s="9" t="str">
        <f t="shared" ca="1" si="3"/>
        <v>Revisar</v>
      </c>
      <c r="J256" s="11">
        <v>120</v>
      </c>
      <c r="K256" s="11">
        <v>120</v>
      </c>
      <c r="L256" s="12">
        <v>41090</v>
      </c>
      <c r="M256" t="s">
        <v>36</v>
      </c>
    </row>
    <row r="257" spans="1:13" ht="30" customHeight="1">
      <c r="A257" s="6" t="s">
        <v>472</v>
      </c>
      <c r="B257" s="7" t="s">
        <v>462</v>
      </c>
      <c r="C257" s="7" t="s">
        <v>468</v>
      </c>
      <c r="D257" s="6" t="s">
        <v>18</v>
      </c>
      <c r="E257" s="7" t="s">
        <v>224</v>
      </c>
      <c r="F257" s="13">
        <v>46023</v>
      </c>
      <c r="G257" s="9">
        <f>IFERROR(VLOOKUP(D257,Listas!$A$2:$B$20,2,FALSE()),999)</f>
        <v>1</v>
      </c>
      <c r="H257" s="9" t="str">
        <f t="shared" ca="1" si="3"/>
        <v>Revisar</v>
      </c>
      <c r="J257" s="11">
        <v>120</v>
      </c>
      <c r="K257" s="11">
        <v>120</v>
      </c>
      <c r="L257" s="12">
        <v>41090</v>
      </c>
      <c r="M257" t="s">
        <v>36</v>
      </c>
    </row>
    <row r="258" spans="1:13" ht="30" customHeight="1">
      <c r="A258" s="6" t="s">
        <v>473</v>
      </c>
      <c r="B258" s="7" t="s">
        <v>462</v>
      </c>
      <c r="C258" s="7" t="s">
        <v>468</v>
      </c>
      <c r="D258" s="6" t="s">
        <v>18</v>
      </c>
      <c r="E258" s="7" t="s">
        <v>224</v>
      </c>
      <c r="F258" s="8"/>
      <c r="G258" s="9">
        <f>IFERROR(VLOOKUP(D258,Listas!$A$2:$B$20,2,FALSE()),999)</f>
        <v>1</v>
      </c>
      <c r="H258" s="9" t="str">
        <f t="shared" ca="1" si="3"/>
        <v>Sin fecha</v>
      </c>
      <c r="J258" s="11">
        <v>120</v>
      </c>
      <c r="K258" s="11">
        <v>120</v>
      </c>
      <c r="L258" s="12">
        <v>41090</v>
      </c>
      <c r="M258" t="s">
        <v>36</v>
      </c>
    </row>
    <row r="259" spans="1:13" ht="30" customHeight="1">
      <c r="A259" s="6" t="s">
        <v>474</v>
      </c>
      <c r="B259" s="7" t="s">
        <v>462</v>
      </c>
      <c r="C259" s="7" t="s">
        <v>468</v>
      </c>
      <c r="D259" s="6" t="s">
        <v>18</v>
      </c>
      <c r="E259" s="7" t="s">
        <v>224</v>
      </c>
      <c r="F259" s="8"/>
      <c r="G259" s="9">
        <f>IFERROR(VLOOKUP(D259,Listas!$A$2:$B$20,2,FALSE()),999)</f>
        <v>1</v>
      </c>
      <c r="H259" s="9" t="str">
        <f t="shared" ca="1" si="3"/>
        <v>Sin fecha</v>
      </c>
      <c r="J259" s="11">
        <v>120</v>
      </c>
      <c r="K259" s="11">
        <v>120</v>
      </c>
      <c r="L259" s="12">
        <v>41090</v>
      </c>
      <c r="M259" t="s">
        <v>36</v>
      </c>
    </row>
    <row r="260" spans="1:13" ht="30" customHeight="1">
      <c r="A260" s="6" t="s">
        <v>475</v>
      </c>
      <c r="B260" s="7" t="s">
        <v>476</v>
      </c>
      <c r="C260" s="7" t="s">
        <v>477</v>
      </c>
      <c r="D260" s="6" t="s">
        <v>18</v>
      </c>
      <c r="E260" s="7" t="s">
        <v>224</v>
      </c>
      <c r="F260" s="13">
        <v>46023</v>
      </c>
      <c r="G260" s="9">
        <f>IFERROR(VLOOKUP(D260,Listas!$A$2:$B$20,2,FALSE()),999)</f>
        <v>1</v>
      </c>
      <c r="H260" s="9" t="str">
        <f t="shared" ca="1" si="3"/>
        <v>Revisar</v>
      </c>
      <c r="J260" s="11">
        <v>120</v>
      </c>
      <c r="K260" s="11">
        <v>120</v>
      </c>
      <c r="L260" s="12">
        <v>41090</v>
      </c>
      <c r="M260" t="s">
        <v>36</v>
      </c>
    </row>
    <row r="261" spans="1:13" ht="30" customHeight="1">
      <c r="A261" s="6" t="s">
        <v>478</v>
      </c>
      <c r="B261" s="7" t="s">
        <v>476</v>
      </c>
      <c r="C261" s="7" t="s">
        <v>477</v>
      </c>
      <c r="D261" s="6" t="s">
        <v>18</v>
      </c>
      <c r="E261" s="7" t="s">
        <v>224</v>
      </c>
      <c r="F261" s="13">
        <v>46023</v>
      </c>
      <c r="G261" s="9">
        <f>IFERROR(VLOOKUP(D261,Listas!$A$2:$B$20,2,FALSE()),999)</f>
        <v>1</v>
      </c>
      <c r="H261" s="9" t="str">
        <f t="shared" ref="H261:H324" ca="1" si="4">IF(F261="","Sin fecha",IF(TODAY()-F261&gt;180,"Revisar",IF(TODAY()-F261&gt;90,"Próximo","Vigente")))</f>
        <v>Revisar</v>
      </c>
      <c r="J261" s="11">
        <v>120</v>
      </c>
      <c r="K261" s="11">
        <v>120</v>
      </c>
      <c r="L261" s="12">
        <v>41090</v>
      </c>
      <c r="M261" t="s">
        <v>36</v>
      </c>
    </row>
    <row r="262" spans="1:13" ht="30" customHeight="1">
      <c r="A262" s="6" t="s">
        <v>479</v>
      </c>
      <c r="B262" s="7" t="s">
        <v>476</v>
      </c>
      <c r="C262" s="7" t="s">
        <v>477</v>
      </c>
      <c r="D262" s="6" t="s">
        <v>18</v>
      </c>
      <c r="E262" s="7" t="s">
        <v>224</v>
      </c>
      <c r="F262" s="13">
        <v>46023</v>
      </c>
      <c r="G262" s="9">
        <f>IFERROR(VLOOKUP(D262,Listas!$A$2:$B$20,2,FALSE()),999)</f>
        <v>1</v>
      </c>
      <c r="H262" s="9" t="str">
        <f t="shared" ca="1" si="4"/>
        <v>Revisar</v>
      </c>
      <c r="J262" s="11">
        <v>120</v>
      </c>
      <c r="K262" s="11">
        <v>120</v>
      </c>
      <c r="L262" s="12">
        <v>41090</v>
      </c>
      <c r="M262" t="s">
        <v>36</v>
      </c>
    </row>
    <row r="263" spans="1:13" ht="30" customHeight="1">
      <c r="A263" s="6" t="s">
        <v>480</v>
      </c>
      <c r="B263" s="7" t="s">
        <v>476</v>
      </c>
      <c r="C263" s="7" t="s">
        <v>477</v>
      </c>
      <c r="D263" s="6" t="s">
        <v>18</v>
      </c>
      <c r="E263" s="7" t="s">
        <v>224</v>
      </c>
      <c r="F263" s="13">
        <v>46023</v>
      </c>
      <c r="G263" s="9">
        <f>IFERROR(VLOOKUP(D263,Listas!$A$2:$B$20,2,FALSE()),999)</f>
        <v>1</v>
      </c>
      <c r="H263" s="9" t="str">
        <f t="shared" ca="1" si="4"/>
        <v>Revisar</v>
      </c>
      <c r="J263" s="11">
        <v>120</v>
      </c>
      <c r="K263" s="11">
        <v>120</v>
      </c>
      <c r="L263" s="12">
        <v>41090</v>
      </c>
      <c r="M263" t="s">
        <v>36</v>
      </c>
    </row>
    <row r="264" spans="1:13" ht="30" customHeight="1">
      <c r="A264" s="6" t="s">
        <v>481</v>
      </c>
      <c r="B264" s="7" t="s">
        <v>482</v>
      </c>
      <c r="C264" s="7" t="s">
        <v>483</v>
      </c>
      <c r="D264" s="6" t="s">
        <v>18</v>
      </c>
      <c r="E264" s="7" t="s">
        <v>224</v>
      </c>
      <c r="F264" s="13">
        <v>45809</v>
      </c>
      <c r="G264" s="9">
        <f>IFERROR(VLOOKUP(D264,Listas!$A$2:$B$20,2,FALSE()),999)</f>
        <v>1</v>
      </c>
      <c r="H264" s="9" t="str">
        <f t="shared" ca="1" si="4"/>
        <v>Revisar</v>
      </c>
      <c r="J264" s="11">
        <v>120</v>
      </c>
      <c r="K264" s="11">
        <v>101</v>
      </c>
      <c r="L264" s="12">
        <v>43216</v>
      </c>
      <c r="M264" t="s">
        <v>20</v>
      </c>
    </row>
    <row r="265" spans="1:13" ht="30" customHeight="1">
      <c r="A265" s="6" t="s">
        <v>484</v>
      </c>
      <c r="B265" s="7" t="s">
        <v>482</v>
      </c>
      <c r="C265" s="7" t="s">
        <v>483</v>
      </c>
      <c r="D265" s="6" t="s">
        <v>18</v>
      </c>
      <c r="E265" s="7" t="s">
        <v>224</v>
      </c>
      <c r="F265" s="13">
        <v>45809</v>
      </c>
      <c r="G265" s="9">
        <f>IFERROR(VLOOKUP(D265,Listas!$A$2:$B$20,2,FALSE()),999)</f>
        <v>1</v>
      </c>
      <c r="H265" s="9" t="str">
        <f t="shared" ca="1" si="4"/>
        <v>Revisar</v>
      </c>
      <c r="J265" s="11">
        <v>120</v>
      </c>
      <c r="K265" s="11">
        <v>101</v>
      </c>
      <c r="L265" s="12">
        <v>43216</v>
      </c>
      <c r="M265" t="s">
        <v>20</v>
      </c>
    </row>
    <row r="266" spans="1:13" ht="30" customHeight="1">
      <c r="A266" s="6" t="s">
        <v>485</v>
      </c>
      <c r="B266" s="7" t="s">
        <v>482</v>
      </c>
      <c r="C266" s="7" t="s">
        <v>486</v>
      </c>
      <c r="D266" s="6" t="s">
        <v>18</v>
      </c>
      <c r="E266" s="7" t="s">
        <v>224</v>
      </c>
      <c r="F266" s="13">
        <v>45809</v>
      </c>
      <c r="G266" s="9">
        <f>IFERROR(VLOOKUP(D266,Listas!$A$2:$B$20,2,FALSE()),999)</f>
        <v>1</v>
      </c>
      <c r="H266" s="9" t="str">
        <f t="shared" ca="1" si="4"/>
        <v>Revisar</v>
      </c>
      <c r="J266" s="11">
        <v>120</v>
      </c>
      <c r="K266" s="11">
        <v>93</v>
      </c>
      <c r="L266" s="12">
        <v>43441</v>
      </c>
      <c r="M266" t="s">
        <v>20</v>
      </c>
    </row>
    <row r="267" spans="1:13" ht="30" customHeight="1">
      <c r="A267" s="6" t="s">
        <v>487</v>
      </c>
      <c r="B267" s="7" t="s">
        <v>482</v>
      </c>
      <c r="C267" s="7" t="s">
        <v>486</v>
      </c>
      <c r="D267" s="6" t="s">
        <v>18</v>
      </c>
      <c r="E267" s="7" t="s">
        <v>224</v>
      </c>
      <c r="F267" s="13">
        <v>45809</v>
      </c>
      <c r="G267" s="9">
        <f>IFERROR(VLOOKUP(D267,Listas!$A$2:$B$20,2,FALSE()),999)</f>
        <v>1</v>
      </c>
      <c r="H267" s="9" t="str">
        <f t="shared" ca="1" si="4"/>
        <v>Revisar</v>
      </c>
      <c r="J267" s="11">
        <v>120</v>
      </c>
      <c r="K267" s="11">
        <v>93</v>
      </c>
      <c r="L267" s="12">
        <v>43459</v>
      </c>
      <c r="M267" t="s">
        <v>20</v>
      </c>
    </row>
    <row r="268" spans="1:13" ht="30" customHeight="1">
      <c r="A268" s="6" t="s">
        <v>488</v>
      </c>
      <c r="B268" s="7" t="s">
        <v>489</v>
      </c>
      <c r="C268" s="7" t="s">
        <v>490</v>
      </c>
      <c r="D268" s="6" t="s">
        <v>18</v>
      </c>
      <c r="E268" s="7" t="s">
        <v>224</v>
      </c>
      <c r="F268" s="13">
        <v>45809</v>
      </c>
      <c r="G268" s="9">
        <f>IFERROR(VLOOKUP(D268,Listas!$A$2:$B$20,2,FALSE()),999)</f>
        <v>1</v>
      </c>
      <c r="H268" s="9" t="str">
        <f t="shared" ca="1" si="4"/>
        <v>Revisar</v>
      </c>
      <c r="J268" s="11">
        <v>120</v>
      </c>
      <c r="K268" s="11">
        <v>120</v>
      </c>
      <c r="L268" s="12">
        <v>41090</v>
      </c>
      <c r="M268" t="s">
        <v>36</v>
      </c>
    </row>
    <row r="269" spans="1:13" ht="30" customHeight="1">
      <c r="A269" s="6" t="s">
        <v>491</v>
      </c>
      <c r="B269" s="7" t="s">
        <v>489</v>
      </c>
      <c r="C269" s="7" t="s">
        <v>490</v>
      </c>
      <c r="D269" s="6" t="s">
        <v>18</v>
      </c>
      <c r="E269" s="7" t="s">
        <v>224</v>
      </c>
      <c r="F269" s="13">
        <v>45809</v>
      </c>
      <c r="G269" s="9">
        <f>IFERROR(VLOOKUP(D269,Listas!$A$2:$B$20,2,FALSE()),999)</f>
        <v>1</v>
      </c>
      <c r="H269" s="9" t="str">
        <f t="shared" ca="1" si="4"/>
        <v>Revisar</v>
      </c>
      <c r="J269" s="11">
        <v>1</v>
      </c>
      <c r="K269" s="11">
        <v>1</v>
      </c>
      <c r="L269" s="12">
        <v>42886</v>
      </c>
      <c r="M269" t="s">
        <v>36</v>
      </c>
    </row>
    <row r="270" spans="1:13" ht="30" customHeight="1">
      <c r="A270" s="6" t="s">
        <v>492</v>
      </c>
      <c r="B270" s="7" t="s">
        <v>489</v>
      </c>
      <c r="C270" s="7" t="s">
        <v>490</v>
      </c>
      <c r="D270" s="6" t="s">
        <v>18</v>
      </c>
      <c r="E270" s="7" t="s">
        <v>224</v>
      </c>
      <c r="F270" s="13">
        <v>45809</v>
      </c>
      <c r="G270" s="9">
        <f>IFERROR(VLOOKUP(D270,Listas!$A$2:$B$20,2,FALSE()),999)</f>
        <v>1</v>
      </c>
      <c r="H270" s="9" t="str">
        <f t="shared" ca="1" si="4"/>
        <v>Revisar</v>
      </c>
      <c r="J270" s="11">
        <v>120</v>
      </c>
      <c r="K270" s="11">
        <v>120</v>
      </c>
      <c r="L270" s="12">
        <v>41090</v>
      </c>
      <c r="M270" t="s">
        <v>36</v>
      </c>
    </row>
    <row r="271" spans="1:13" ht="30" customHeight="1">
      <c r="A271" s="6" t="s">
        <v>493</v>
      </c>
      <c r="B271" s="7" t="s">
        <v>489</v>
      </c>
      <c r="C271" s="7" t="s">
        <v>494</v>
      </c>
      <c r="D271" s="6" t="s">
        <v>18</v>
      </c>
      <c r="E271" s="7" t="s">
        <v>224</v>
      </c>
      <c r="F271" s="13">
        <v>45809</v>
      </c>
      <c r="G271" s="9">
        <f>IFERROR(VLOOKUP(D271,Listas!$A$2:$B$20,2,FALSE()),999)</f>
        <v>1</v>
      </c>
      <c r="H271" s="9" t="str">
        <f t="shared" ca="1" si="4"/>
        <v>Revisar</v>
      </c>
      <c r="J271" s="11">
        <v>120</v>
      </c>
      <c r="K271" s="11">
        <v>120</v>
      </c>
      <c r="L271" s="12">
        <v>41090</v>
      </c>
      <c r="M271" t="s">
        <v>36</v>
      </c>
    </row>
    <row r="272" spans="1:13" ht="30" customHeight="1">
      <c r="A272" s="6" t="s">
        <v>495</v>
      </c>
      <c r="B272" s="7" t="s">
        <v>496</v>
      </c>
      <c r="C272" s="7" t="s">
        <v>497</v>
      </c>
      <c r="D272" s="6" t="s">
        <v>18</v>
      </c>
      <c r="E272" s="7" t="s">
        <v>224</v>
      </c>
      <c r="F272" s="13">
        <v>45809</v>
      </c>
      <c r="G272" s="9">
        <f>IFERROR(VLOOKUP(D272,Listas!$A$2:$B$20,2,FALSE()),999)</f>
        <v>1</v>
      </c>
      <c r="H272" s="9" t="str">
        <f t="shared" ca="1" si="4"/>
        <v>Revisar</v>
      </c>
      <c r="J272" s="11">
        <v>120</v>
      </c>
      <c r="K272" s="11">
        <v>120</v>
      </c>
      <c r="L272" s="12">
        <v>41090</v>
      </c>
      <c r="M272" t="s">
        <v>36</v>
      </c>
    </row>
    <row r="273" spans="1:13" ht="30" customHeight="1">
      <c r="A273" s="6" t="s">
        <v>498</v>
      </c>
      <c r="B273" s="7" t="s">
        <v>499</v>
      </c>
      <c r="C273" s="7" t="s">
        <v>500</v>
      </c>
      <c r="D273" s="6" t="s">
        <v>18</v>
      </c>
      <c r="E273" s="7" t="s">
        <v>501</v>
      </c>
      <c r="F273" s="13">
        <v>45809</v>
      </c>
      <c r="G273" s="9">
        <f>IFERROR(VLOOKUP(D273,Listas!$A$2:$B$20,2,FALSE()),999)</f>
        <v>1</v>
      </c>
      <c r="H273" s="9" t="str">
        <f t="shared" ca="1" si="4"/>
        <v>Revisar</v>
      </c>
      <c r="J273" s="11">
        <v>120</v>
      </c>
      <c r="K273" s="11">
        <v>117</v>
      </c>
      <c r="L273" s="12">
        <v>42735</v>
      </c>
      <c r="M273" t="s">
        <v>20</v>
      </c>
    </row>
    <row r="274" spans="1:13" ht="30" customHeight="1">
      <c r="A274" s="6" t="s">
        <v>502</v>
      </c>
      <c r="B274" s="7" t="s">
        <v>499</v>
      </c>
      <c r="C274" s="7" t="s">
        <v>503</v>
      </c>
      <c r="D274" s="6" t="s">
        <v>18</v>
      </c>
      <c r="E274" s="7" t="s">
        <v>501</v>
      </c>
      <c r="F274" s="13">
        <v>45962</v>
      </c>
      <c r="G274" s="9">
        <f>IFERROR(VLOOKUP(D274,Listas!$A$2:$B$20,2,FALSE()),999)</f>
        <v>1</v>
      </c>
      <c r="H274" s="9" t="str">
        <f t="shared" ca="1" si="4"/>
        <v>Revisar</v>
      </c>
      <c r="J274" s="11">
        <v>120</v>
      </c>
      <c r="K274" s="11">
        <v>98</v>
      </c>
      <c r="L274" s="12">
        <v>43309</v>
      </c>
      <c r="M274" t="s">
        <v>20</v>
      </c>
    </row>
    <row r="275" spans="1:13" ht="30" customHeight="1">
      <c r="A275" s="6" t="s">
        <v>504</v>
      </c>
      <c r="B275" s="7" t="s">
        <v>499</v>
      </c>
      <c r="C275" s="7" t="s">
        <v>503</v>
      </c>
      <c r="D275" s="6" t="s">
        <v>18</v>
      </c>
      <c r="E275" s="7" t="s">
        <v>501</v>
      </c>
      <c r="F275" s="13">
        <v>45962</v>
      </c>
      <c r="G275" s="9">
        <f>IFERROR(VLOOKUP(D275,Listas!$A$2:$B$20,2,FALSE()),999)</f>
        <v>1</v>
      </c>
      <c r="H275" s="9" t="str">
        <f t="shared" ca="1" si="4"/>
        <v>Revisar</v>
      </c>
      <c r="J275" s="11">
        <v>120</v>
      </c>
      <c r="K275" s="11">
        <v>98</v>
      </c>
      <c r="L275" s="12">
        <v>43309</v>
      </c>
      <c r="M275" t="s">
        <v>20</v>
      </c>
    </row>
    <row r="276" spans="1:13" ht="30" customHeight="1">
      <c r="A276" s="6" t="s">
        <v>505</v>
      </c>
      <c r="B276" s="7" t="s">
        <v>499</v>
      </c>
      <c r="C276" s="7" t="s">
        <v>503</v>
      </c>
      <c r="D276" s="6" t="s">
        <v>18</v>
      </c>
      <c r="E276" s="7" t="s">
        <v>501</v>
      </c>
      <c r="F276" s="13">
        <v>45962</v>
      </c>
      <c r="G276" s="9">
        <f>IFERROR(VLOOKUP(D276,Listas!$A$2:$B$20,2,FALSE()),999)</f>
        <v>1</v>
      </c>
      <c r="H276" s="9" t="str">
        <f t="shared" ca="1" si="4"/>
        <v>Revisar</v>
      </c>
      <c r="J276" s="11">
        <v>120</v>
      </c>
      <c r="K276" s="11">
        <v>98</v>
      </c>
      <c r="L276" s="12">
        <v>43309</v>
      </c>
      <c r="M276" t="s">
        <v>20</v>
      </c>
    </row>
    <row r="277" spans="1:13" ht="30" customHeight="1">
      <c r="A277" s="6" t="s">
        <v>506</v>
      </c>
      <c r="B277" s="7" t="s">
        <v>507</v>
      </c>
      <c r="C277" s="7" t="s">
        <v>508</v>
      </c>
      <c r="D277" s="6" t="s">
        <v>18</v>
      </c>
      <c r="E277" s="7" t="s">
        <v>501</v>
      </c>
      <c r="F277" s="13">
        <v>45809</v>
      </c>
      <c r="G277" s="9">
        <f>IFERROR(VLOOKUP(D277,Listas!$A$2:$B$20,2,FALSE()),999)</f>
        <v>1</v>
      </c>
      <c r="H277" s="9" t="str">
        <f t="shared" ca="1" si="4"/>
        <v>Revisar</v>
      </c>
      <c r="J277" s="11">
        <v>1</v>
      </c>
      <c r="K277" s="11">
        <v>1</v>
      </c>
      <c r="L277" s="12">
        <v>42886</v>
      </c>
      <c r="M277" t="s">
        <v>36</v>
      </c>
    </row>
    <row r="278" spans="1:13" ht="30" customHeight="1">
      <c r="A278" s="6" t="s">
        <v>509</v>
      </c>
      <c r="B278" s="7" t="s">
        <v>175</v>
      </c>
      <c r="C278" s="7" t="s">
        <v>510</v>
      </c>
      <c r="D278" s="6" t="s">
        <v>18</v>
      </c>
      <c r="E278" s="7" t="s">
        <v>501</v>
      </c>
      <c r="F278" s="13">
        <v>45992</v>
      </c>
      <c r="G278" s="9">
        <f>IFERROR(VLOOKUP(D278,Listas!$A$2:$B$20,2,FALSE()),999)</f>
        <v>1</v>
      </c>
      <c r="H278" s="9" t="str">
        <f t="shared" ca="1" si="4"/>
        <v>Revisar</v>
      </c>
      <c r="J278" s="11">
        <v>120</v>
      </c>
      <c r="K278" s="11">
        <v>105</v>
      </c>
      <c r="L278" s="12">
        <v>43075</v>
      </c>
      <c r="M278" t="s">
        <v>20</v>
      </c>
    </row>
    <row r="279" spans="1:13" ht="30" customHeight="1">
      <c r="A279" s="6" t="s">
        <v>511</v>
      </c>
      <c r="B279" s="7" t="s">
        <v>512</v>
      </c>
      <c r="C279" s="7" t="s">
        <v>513</v>
      </c>
      <c r="D279" s="6" t="s">
        <v>18</v>
      </c>
      <c r="E279" s="7" t="s">
        <v>501</v>
      </c>
      <c r="F279" s="13">
        <v>45809</v>
      </c>
      <c r="G279" s="9">
        <f>IFERROR(VLOOKUP(D279,Listas!$A$2:$B$20,2,FALSE()),999)</f>
        <v>1</v>
      </c>
      <c r="H279" s="9" t="str">
        <f t="shared" ca="1" si="4"/>
        <v>Revisar</v>
      </c>
      <c r="J279" s="11">
        <v>120</v>
      </c>
      <c r="K279" s="11">
        <v>117</v>
      </c>
      <c r="L279" s="12">
        <v>42735</v>
      </c>
      <c r="M279" t="s">
        <v>20</v>
      </c>
    </row>
    <row r="280" spans="1:13" ht="30" customHeight="1">
      <c r="A280" s="6" t="s">
        <v>514</v>
      </c>
      <c r="B280" s="7" t="s">
        <v>515</v>
      </c>
      <c r="C280" s="7" t="s">
        <v>516</v>
      </c>
      <c r="D280" s="6" t="s">
        <v>18</v>
      </c>
      <c r="E280" s="7" t="s">
        <v>501</v>
      </c>
      <c r="F280" s="13">
        <v>45962</v>
      </c>
      <c r="G280" s="9">
        <f>IFERROR(VLOOKUP(D280,Listas!$A$2:$B$20,2,FALSE()),999)</f>
        <v>1</v>
      </c>
      <c r="H280" s="9" t="str">
        <f t="shared" ca="1" si="4"/>
        <v>Revisar</v>
      </c>
      <c r="J280" s="11">
        <v>120</v>
      </c>
      <c r="K280" s="11">
        <v>120</v>
      </c>
      <c r="L280" s="12">
        <v>41090</v>
      </c>
      <c r="M280" t="s">
        <v>36</v>
      </c>
    </row>
    <row r="281" spans="1:13" ht="30" customHeight="1">
      <c r="A281" s="6" t="s">
        <v>517</v>
      </c>
      <c r="B281" s="7" t="s">
        <v>204</v>
      </c>
      <c r="C281" s="7" t="s">
        <v>518</v>
      </c>
      <c r="D281" s="6" t="s">
        <v>18</v>
      </c>
      <c r="E281" s="7" t="s">
        <v>501</v>
      </c>
      <c r="F281" s="13">
        <v>45962</v>
      </c>
      <c r="G281" s="9">
        <f>IFERROR(VLOOKUP(D281,Listas!$A$2:$B$20,2,FALSE()),999)</f>
        <v>1</v>
      </c>
      <c r="H281" s="9" t="str">
        <f t="shared" ca="1" si="4"/>
        <v>Revisar</v>
      </c>
      <c r="J281" s="11">
        <v>120</v>
      </c>
      <c r="K281" s="11">
        <v>120</v>
      </c>
      <c r="L281" s="12">
        <v>41090</v>
      </c>
      <c r="M281" t="s">
        <v>36</v>
      </c>
    </row>
    <row r="282" spans="1:13" ht="30" customHeight="1">
      <c r="A282" s="6" t="s">
        <v>519</v>
      </c>
      <c r="B282" s="7" t="s">
        <v>204</v>
      </c>
      <c r="C282" s="7" t="s">
        <v>520</v>
      </c>
      <c r="D282" s="6" t="s">
        <v>18</v>
      </c>
      <c r="E282" s="7" t="s">
        <v>501</v>
      </c>
      <c r="F282" s="13">
        <v>45962</v>
      </c>
      <c r="G282" s="9">
        <f>IFERROR(VLOOKUP(D282,Listas!$A$2:$B$20,2,FALSE()),999)</f>
        <v>1</v>
      </c>
      <c r="H282" s="9" t="str">
        <f t="shared" ca="1" si="4"/>
        <v>Revisar</v>
      </c>
      <c r="J282" s="11">
        <v>120</v>
      </c>
      <c r="K282" s="11">
        <v>120</v>
      </c>
      <c r="L282" s="12">
        <v>41090</v>
      </c>
      <c r="M282" t="s">
        <v>36</v>
      </c>
    </row>
    <row r="283" spans="1:13" ht="30" customHeight="1">
      <c r="A283" s="6" t="s">
        <v>521</v>
      </c>
      <c r="B283" s="7" t="s">
        <v>204</v>
      </c>
      <c r="C283" s="7" t="s">
        <v>522</v>
      </c>
      <c r="D283" s="6" t="s">
        <v>18</v>
      </c>
      <c r="E283" s="7" t="s">
        <v>501</v>
      </c>
      <c r="F283" s="13">
        <v>45962</v>
      </c>
      <c r="G283" s="9">
        <f>IFERROR(VLOOKUP(D283,Listas!$A$2:$B$20,2,FALSE()),999)</f>
        <v>1</v>
      </c>
      <c r="H283" s="9" t="str">
        <f t="shared" ca="1" si="4"/>
        <v>Revisar</v>
      </c>
      <c r="J283" s="11">
        <v>120</v>
      </c>
      <c r="K283" s="11">
        <v>120</v>
      </c>
      <c r="L283" s="12">
        <v>41090</v>
      </c>
      <c r="M283" t="s">
        <v>36</v>
      </c>
    </row>
    <row r="284" spans="1:13" ht="30" customHeight="1">
      <c r="A284" s="6" t="s">
        <v>523</v>
      </c>
      <c r="B284" s="7" t="s">
        <v>204</v>
      </c>
      <c r="C284" s="7" t="s">
        <v>518</v>
      </c>
      <c r="D284" s="6" t="s">
        <v>18</v>
      </c>
      <c r="E284" s="7" t="s">
        <v>501</v>
      </c>
      <c r="F284" s="13">
        <v>45809</v>
      </c>
      <c r="G284" s="9">
        <f>IFERROR(VLOOKUP(D284,Listas!$A$2:$B$20,2,FALSE()),999)</f>
        <v>1</v>
      </c>
      <c r="H284" s="9" t="str">
        <f t="shared" ca="1" si="4"/>
        <v>Revisar</v>
      </c>
      <c r="J284" s="11">
        <v>120</v>
      </c>
      <c r="K284" s="11">
        <v>120</v>
      </c>
      <c r="L284" s="12">
        <v>40117</v>
      </c>
      <c r="M284" t="s">
        <v>36</v>
      </c>
    </row>
    <row r="285" spans="1:13" ht="30" customHeight="1">
      <c r="A285" s="6" t="s">
        <v>524</v>
      </c>
      <c r="B285" s="7" t="s">
        <v>525</v>
      </c>
      <c r="C285" s="7" t="s">
        <v>516</v>
      </c>
      <c r="D285" s="6" t="s">
        <v>18</v>
      </c>
      <c r="E285" s="7" t="s">
        <v>501</v>
      </c>
      <c r="F285" s="13">
        <v>45962</v>
      </c>
      <c r="G285" s="9">
        <f>IFERROR(VLOOKUP(D285,Listas!$A$2:$B$20,2,FALSE()),999)</f>
        <v>1</v>
      </c>
      <c r="H285" s="9" t="str">
        <f t="shared" ca="1" si="4"/>
        <v>Revisar</v>
      </c>
      <c r="J285" s="11">
        <v>120</v>
      </c>
      <c r="K285" s="11">
        <v>120</v>
      </c>
      <c r="L285" s="12">
        <v>41090</v>
      </c>
      <c r="M285" t="s">
        <v>36</v>
      </c>
    </row>
    <row r="286" spans="1:13" ht="30" customHeight="1">
      <c r="A286" s="6" t="s">
        <v>526</v>
      </c>
      <c r="B286" s="7" t="s">
        <v>525</v>
      </c>
      <c r="C286" s="7" t="s">
        <v>516</v>
      </c>
      <c r="D286" s="6" t="s">
        <v>18</v>
      </c>
      <c r="E286" s="7" t="s">
        <v>501</v>
      </c>
      <c r="F286" s="13">
        <v>45962</v>
      </c>
      <c r="G286" s="9">
        <f>IFERROR(VLOOKUP(D286,Listas!$A$2:$B$20,2,FALSE()),999)</f>
        <v>1</v>
      </c>
      <c r="H286" s="9" t="str">
        <f t="shared" ca="1" si="4"/>
        <v>Revisar</v>
      </c>
      <c r="J286" s="11">
        <v>120</v>
      </c>
      <c r="K286" s="11">
        <v>120</v>
      </c>
      <c r="L286" s="12">
        <v>41090</v>
      </c>
      <c r="M286" t="s">
        <v>36</v>
      </c>
    </row>
    <row r="287" spans="1:13" ht="30" customHeight="1">
      <c r="A287" s="6" t="s">
        <v>527</v>
      </c>
      <c r="B287" s="7" t="s">
        <v>279</v>
      </c>
      <c r="C287" s="7" t="s">
        <v>528</v>
      </c>
      <c r="D287" s="6" t="s">
        <v>18</v>
      </c>
      <c r="E287" s="7" t="s">
        <v>501</v>
      </c>
      <c r="F287" s="13">
        <v>45809</v>
      </c>
      <c r="G287" s="9">
        <f>IFERROR(VLOOKUP(D287,Listas!$A$2:$B$20,2,FALSE()),999)</f>
        <v>1</v>
      </c>
      <c r="H287" s="9" t="str">
        <f t="shared" ca="1" si="4"/>
        <v>Revisar</v>
      </c>
      <c r="J287" s="11">
        <v>1</v>
      </c>
      <c r="K287" s="11">
        <v>1</v>
      </c>
      <c r="L287" s="12">
        <v>42886</v>
      </c>
      <c r="M287" t="s">
        <v>36</v>
      </c>
    </row>
    <row r="288" spans="1:13" ht="30" customHeight="1">
      <c r="A288" s="6" t="s">
        <v>529</v>
      </c>
      <c r="B288" s="7" t="s">
        <v>186</v>
      </c>
      <c r="C288" s="7" t="s">
        <v>530</v>
      </c>
      <c r="D288" s="6" t="s">
        <v>18</v>
      </c>
      <c r="E288" s="7" t="s">
        <v>501</v>
      </c>
      <c r="F288" s="13">
        <v>45962</v>
      </c>
      <c r="G288" s="9">
        <f>IFERROR(VLOOKUP(D288,Listas!$A$2:$B$20,2,FALSE()),999)</f>
        <v>1</v>
      </c>
      <c r="H288" s="9" t="str">
        <f t="shared" ca="1" si="4"/>
        <v>Revisar</v>
      </c>
      <c r="J288" s="11">
        <v>120</v>
      </c>
      <c r="K288" s="11">
        <v>120</v>
      </c>
      <c r="L288" s="12">
        <v>41090</v>
      </c>
      <c r="M288" t="s">
        <v>36</v>
      </c>
    </row>
    <row r="289" spans="1:13" ht="30" customHeight="1">
      <c r="A289" s="6" t="s">
        <v>531</v>
      </c>
      <c r="B289" s="7" t="s">
        <v>186</v>
      </c>
      <c r="C289" s="7" t="s">
        <v>532</v>
      </c>
      <c r="D289" s="6" t="s">
        <v>18</v>
      </c>
      <c r="E289" s="7" t="s">
        <v>501</v>
      </c>
      <c r="F289" s="8"/>
      <c r="G289" s="9">
        <f>IFERROR(VLOOKUP(D289,Listas!$A$2:$B$20,2,FALSE()),999)</f>
        <v>1</v>
      </c>
      <c r="H289" s="9" t="str">
        <f t="shared" ca="1" si="4"/>
        <v>Sin fecha</v>
      </c>
      <c r="J289" s="11">
        <v>120</v>
      </c>
      <c r="K289" s="11">
        <v>108</v>
      </c>
      <c r="L289" s="12">
        <v>42987</v>
      </c>
      <c r="M289" t="s">
        <v>20</v>
      </c>
    </row>
    <row r="290" spans="1:13" ht="30" customHeight="1">
      <c r="A290" s="6" t="s">
        <v>533</v>
      </c>
      <c r="B290" s="7" t="s">
        <v>189</v>
      </c>
      <c r="C290" s="7" t="s">
        <v>534</v>
      </c>
      <c r="D290" s="6" t="s">
        <v>18</v>
      </c>
      <c r="E290" s="7" t="s">
        <v>501</v>
      </c>
      <c r="F290" s="13">
        <v>45962</v>
      </c>
      <c r="G290" s="9">
        <f>IFERROR(VLOOKUP(D290,Listas!$A$2:$B$20,2,FALSE()),999)</f>
        <v>1</v>
      </c>
      <c r="H290" s="9" t="str">
        <f t="shared" ca="1" si="4"/>
        <v>Revisar</v>
      </c>
      <c r="J290" s="11">
        <v>120</v>
      </c>
      <c r="K290" s="11">
        <v>120</v>
      </c>
      <c r="L290" s="12">
        <v>41090</v>
      </c>
      <c r="M290" t="s">
        <v>36</v>
      </c>
    </row>
    <row r="291" spans="1:13" ht="30" customHeight="1">
      <c r="A291" s="6" t="s">
        <v>535</v>
      </c>
      <c r="B291" s="7" t="s">
        <v>189</v>
      </c>
      <c r="C291" s="7" t="s">
        <v>534</v>
      </c>
      <c r="D291" s="6" t="s">
        <v>18</v>
      </c>
      <c r="E291" s="7" t="s">
        <v>501</v>
      </c>
      <c r="F291" s="13">
        <v>45962</v>
      </c>
      <c r="G291" s="9">
        <f>IFERROR(VLOOKUP(D291,Listas!$A$2:$B$20,2,FALSE()),999)</f>
        <v>1</v>
      </c>
      <c r="H291" s="9" t="str">
        <f t="shared" ca="1" si="4"/>
        <v>Revisar</v>
      </c>
      <c r="J291" s="11">
        <v>120</v>
      </c>
      <c r="K291" s="11">
        <v>120</v>
      </c>
      <c r="L291" s="12">
        <v>41090</v>
      </c>
      <c r="M291" t="s">
        <v>36</v>
      </c>
    </row>
    <row r="292" spans="1:13" ht="30" customHeight="1">
      <c r="A292" s="6" t="s">
        <v>536</v>
      </c>
      <c r="B292" s="7" t="s">
        <v>189</v>
      </c>
      <c r="C292" s="7" t="s">
        <v>537</v>
      </c>
      <c r="D292" s="6" t="s">
        <v>18</v>
      </c>
      <c r="E292" s="7" t="s">
        <v>501</v>
      </c>
      <c r="F292" s="13">
        <v>45962</v>
      </c>
      <c r="G292" s="9">
        <f>IFERROR(VLOOKUP(D292,Listas!$A$2:$B$20,2,FALSE()),999)</f>
        <v>1</v>
      </c>
      <c r="H292" s="9" t="str">
        <f t="shared" ca="1" si="4"/>
        <v>Revisar</v>
      </c>
      <c r="J292" s="11">
        <v>120</v>
      </c>
      <c r="K292" s="11">
        <v>120</v>
      </c>
      <c r="L292" s="12">
        <v>41090</v>
      </c>
      <c r="M292" t="s">
        <v>36</v>
      </c>
    </row>
    <row r="293" spans="1:13" ht="30" customHeight="1">
      <c r="A293" s="6" t="s">
        <v>538</v>
      </c>
      <c r="B293" s="7" t="s">
        <v>189</v>
      </c>
      <c r="C293" s="7" t="s">
        <v>539</v>
      </c>
      <c r="D293" s="6" t="s">
        <v>18</v>
      </c>
      <c r="E293" s="7" t="s">
        <v>501</v>
      </c>
      <c r="F293" s="13">
        <v>45962</v>
      </c>
      <c r="G293" s="9">
        <f>IFERROR(VLOOKUP(D293,Listas!$A$2:$B$20,2,FALSE()),999)</f>
        <v>1</v>
      </c>
      <c r="H293" s="9" t="str">
        <f t="shared" ca="1" si="4"/>
        <v>Revisar</v>
      </c>
      <c r="J293" s="11">
        <v>120</v>
      </c>
      <c r="K293" s="11">
        <v>120</v>
      </c>
      <c r="L293" s="12">
        <v>41090</v>
      </c>
      <c r="M293" t="s">
        <v>36</v>
      </c>
    </row>
    <row r="294" spans="1:13" ht="30" customHeight="1">
      <c r="A294" s="6" t="s">
        <v>540</v>
      </c>
      <c r="B294" s="7" t="s">
        <v>189</v>
      </c>
      <c r="C294" s="7" t="s">
        <v>539</v>
      </c>
      <c r="D294" s="6" t="s">
        <v>18</v>
      </c>
      <c r="E294" s="7" t="s">
        <v>501</v>
      </c>
      <c r="F294" s="13">
        <v>45809</v>
      </c>
      <c r="G294" s="9">
        <f>IFERROR(VLOOKUP(D294,Listas!$A$2:$B$20,2,FALSE()),999)</f>
        <v>1</v>
      </c>
      <c r="H294" s="9" t="str">
        <f t="shared" ca="1" si="4"/>
        <v>Revisar</v>
      </c>
      <c r="J294" s="11">
        <v>120</v>
      </c>
      <c r="K294" s="11">
        <v>120</v>
      </c>
      <c r="L294" s="12">
        <v>42643</v>
      </c>
      <c r="M294" t="s">
        <v>36</v>
      </c>
    </row>
    <row r="295" spans="1:13" ht="30" customHeight="1">
      <c r="A295" s="6" t="s">
        <v>541</v>
      </c>
      <c r="B295" s="7" t="s">
        <v>189</v>
      </c>
      <c r="C295" s="7" t="s">
        <v>542</v>
      </c>
      <c r="D295" s="6" t="s">
        <v>18</v>
      </c>
      <c r="E295" s="7" t="s">
        <v>501</v>
      </c>
      <c r="F295" s="13">
        <v>45809</v>
      </c>
      <c r="G295" s="9">
        <f>IFERROR(VLOOKUP(D295,Listas!$A$2:$B$20,2,FALSE()),999)</f>
        <v>1</v>
      </c>
      <c r="H295" s="9" t="str">
        <f t="shared" ca="1" si="4"/>
        <v>Revisar</v>
      </c>
      <c r="J295" s="11">
        <v>120</v>
      </c>
      <c r="K295" s="11">
        <v>109</v>
      </c>
      <c r="L295" s="12">
        <v>42972</v>
      </c>
      <c r="M295" t="s">
        <v>20</v>
      </c>
    </row>
    <row r="296" spans="1:13" ht="30" customHeight="1">
      <c r="A296" s="6" t="s">
        <v>543</v>
      </c>
      <c r="B296" s="7" t="s">
        <v>189</v>
      </c>
      <c r="C296" s="7" t="s">
        <v>542</v>
      </c>
      <c r="D296" s="6" t="s">
        <v>18</v>
      </c>
      <c r="E296" s="7" t="s">
        <v>501</v>
      </c>
      <c r="F296" s="13">
        <v>45809</v>
      </c>
      <c r="G296" s="9">
        <f>IFERROR(VLOOKUP(D296,Listas!$A$2:$B$20,2,FALSE()),999)</f>
        <v>1</v>
      </c>
      <c r="H296" s="9" t="str">
        <f t="shared" ca="1" si="4"/>
        <v>Revisar</v>
      </c>
      <c r="J296" s="11">
        <v>120</v>
      </c>
      <c r="K296" s="11">
        <v>109</v>
      </c>
      <c r="L296" s="12">
        <v>42972</v>
      </c>
      <c r="M296" t="s">
        <v>20</v>
      </c>
    </row>
    <row r="297" spans="1:13" ht="30" customHeight="1">
      <c r="A297" s="6" t="s">
        <v>544</v>
      </c>
      <c r="B297" s="7" t="s">
        <v>545</v>
      </c>
      <c r="C297" s="7" t="s">
        <v>546</v>
      </c>
      <c r="D297" s="6" t="s">
        <v>18</v>
      </c>
      <c r="E297" s="7" t="s">
        <v>501</v>
      </c>
      <c r="F297" s="13">
        <v>45809</v>
      </c>
      <c r="G297" s="9">
        <f>IFERROR(VLOOKUP(D297,Listas!$A$2:$B$20,2,FALSE()),999)</f>
        <v>1</v>
      </c>
      <c r="H297" s="9" t="str">
        <f t="shared" ca="1" si="4"/>
        <v>Revisar</v>
      </c>
      <c r="J297" s="11">
        <v>120</v>
      </c>
      <c r="K297" s="11">
        <v>120</v>
      </c>
      <c r="L297" s="12">
        <v>42247</v>
      </c>
      <c r="M297" t="s">
        <v>36</v>
      </c>
    </row>
    <row r="298" spans="1:13" ht="30" customHeight="1">
      <c r="A298" s="6" t="s">
        <v>547</v>
      </c>
      <c r="B298" s="7" t="s">
        <v>548</v>
      </c>
      <c r="C298" s="7" t="s">
        <v>549</v>
      </c>
      <c r="D298" s="6" t="s">
        <v>18</v>
      </c>
      <c r="E298" s="7" t="s">
        <v>501</v>
      </c>
      <c r="F298" s="13">
        <v>45962</v>
      </c>
      <c r="G298" s="9">
        <f>IFERROR(VLOOKUP(D298,Listas!$A$2:$B$20,2,FALSE()),999)</f>
        <v>1</v>
      </c>
      <c r="H298" s="9" t="str">
        <f t="shared" ca="1" si="4"/>
        <v>Revisar</v>
      </c>
      <c r="J298" s="11">
        <v>120</v>
      </c>
      <c r="K298" s="11">
        <v>120</v>
      </c>
      <c r="L298" s="12">
        <v>41090</v>
      </c>
      <c r="M298" t="s">
        <v>36</v>
      </c>
    </row>
    <row r="299" spans="1:13" ht="30" customHeight="1">
      <c r="A299" s="6" t="s">
        <v>550</v>
      </c>
      <c r="B299" s="7" t="s">
        <v>548</v>
      </c>
      <c r="C299" s="7" t="s">
        <v>551</v>
      </c>
      <c r="D299" s="6" t="s">
        <v>18</v>
      </c>
      <c r="E299" s="7" t="s">
        <v>501</v>
      </c>
      <c r="F299" s="13">
        <v>45809</v>
      </c>
      <c r="G299" s="9">
        <f>IFERROR(VLOOKUP(D299,Listas!$A$2:$B$20,2,FALSE()),999)</f>
        <v>1</v>
      </c>
      <c r="H299" s="9" t="str">
        <f t="shared" ca="1" si="4"/>
        <v>Revisar</v>
      </c>
      <c r="J299" s="11">
        <v>120</v>
      </c>
      <c r="K299" s="11">
        <v>120</v>
      </c>
      <c r="L299" s="12">
        <v>39263</v>
      </c>
      <c r="M299" t="s">
        <v>36</v>
      </c>
    </row>
    <row r="300" spans="1:13" ht="30" customHeight="1">
      <c r="A300" s="6" t="s">
        <v>552</v>
      </c>
      <c r="B300" s="7" t="s">
        <v>553</v>
      </c>
      <c r="C300" s="7" t="s">
        <v>554</v>
      </c>
      <c r="D300" s="6" t="s">
        <v>18</v>
      </c>
      <c r="E300" s="7" t="s">
        <v>501</v>
      </c>
      <c r="F300" s="13">
        <v>45962</v>
      </c>
      <c r="G300" s="9">
        <f>IFERROR(VLOOKUP(D300,Listas!$A$2:$B$20,2,FALSE()),999)</f>
        <v>1</v>
      </c>
      <c r="H300" s="9" t="str">
        <f t="shared" ca="1" si="4"/>
        <v>Revisar</v>
      </c>
      <c r="J300" s="11">
        <v>120</v>
      </c>
      <c r="K300" s="11">
        <v>120</v>
      </c>
      <c r="L300" s="12">
        <v>41090</v>
      </c>
      <c r="M300" t="s">
        <v>36</v>
      </c>
    </row>
    <row r="301" spans="1:13" ht="30" customHeight="1">
      <c r="A301" s="6" t="s">
        <v>555</v>
      </c>
      <c r="B301" s="7" t="s">
        <v>553</v>
      </c>
      <c r="C301" s="7" t="s">
        <v>554</v>
      </c>
      <c r="D301" s="6" t="s">
        <v>18</v>
      </c>
      <c r="E301" s="7" t="s">
        <v>501</v>
      </c>
      <c r="F301" s="13">
        <v>45962</v>
      </c>
      <c r="G301" s="9">
        <f>IFERROR(VLOOKUP(D301,Listas!$A$2:$B$20,2,FALSE()),999)</f>
        <v>1</v>
      </c>
      <c r="H301" s="9" t="str">
        <f t="shared" ca="1" si="4"/>
        <v>Revisar</v>
      </c>
      <c r="J301" s="11">
        <v>120</v>
      </c>
      <c r="K301" s="11">
        <v>120</v>
      </c>
      <c r="L301" s="12">
        <v>41090</v>
      </c>
      <c r="M301" t="s">
        <v>36</v>
      </c>
    </row>
    <row r="302" spans="1:13" ht="30" customHeight="1">
      <c r="A302" s="6" t="s">
        <v>556</v>
      </c>
      <c r="B302" s="7" t="s">
        <v>189</v>
      </c>
      <c r="C302" s="7" t="s">
        <v>542</v>
      </c>
      <c r="D302" s="6" t="s">
        <v>18</v>
      </c>
      <c r="E302" s="7" t="s">
        <v>557</v>
      </c>
      <c r="F302" s="8"/>
      <c r="G302" s="9">
        <f>IFERROR(VLOOKUP(D302,Listas!$A$2:$B$20,2,FALSE()),999)</f>
        <v>1</v>
      </c>
      <c r="H302" s="9" t="str">
        <f t="shared" ca="1" si="4"/>
        <v>Sin fecha</v>
      </c>
      <c r="J302" s="11">
        <v>120</v>
      </c>
      <c r="K302" s="11">
        <v>109</v>
      </c>
      <c r="L302" s="12">
        <v>42972</v>
      </c>
      <c r="M302" t="s">
        <v>20</v>
      </c>
    </row>
    <row r="303" spans="1:13" ht="30" customHeight="1">
      <c r="A303" s="6" t="s">
        <v>558</v>
      </c>
      <c r="B303" s="7" t="s">
        <v>227</v>
      </c>
      <c r="C303" s="7" t="s">
        <v>228</v>
      </c>
      <c r="D303" s="6" t="s">
        <v>18</v>
      </c>
      <c r="E303" s="7" t="s">
        <v>559</v>
      </c>
      <c r="F303" s="13">
        <v>45839</v>
      </c>
      <c r="G303" s="9">
        <f>IFERROR(VLOOKUP(D303,Listas!$A$2:$B$20,2,FALSE()),999)</f>
        <v>1</v>
      </c>
      <c r="H303" s="9" t="str">
        <f t="shared" ca="1" si="4"/>
        <v>Revisar</v>
      </c>
      <c r="J303" s="11">
        <v>60</v>
      </c>
      <c r="K303" s="11">
        <v>60</v>
      </c>
      <c r="L303" s="12">
        <v>41455</v>
      </c>
      <c r="M303" t="s">
        <v>36</v>
      </c>
    </row>
    <row r="304" spans="1:13" ht="30" customHeight="1">
      <c r="A304" s="6" t="s">
        <v>560</v>
      </c>
      <c r="B304" s="7" t="s">
        <v>227</v>
      </c>
      <c r="C304" s="7" t="s">
        <v>561</v>
      </c>
      <c r="D304" s="6" t="s">
        <v>18</v>
      </c>
      <c r="E304" s="7" t="s">
        <v>559</v>
      </c>
      <c r="F304" s="8"/>
      <c r="G304" s="9">
        <f>IFERROR(VLOOKUP(D304,Listas!$A$2:$B$20,2,FALSE()),999)</f>
        <v>1</v>
      </c>
      <c r="H304" s="9" t="str">
        <f t="shared" ca="1" si="4"/>
        <v>Sin fecha</v>
      </c>
      <c r="J304" s="11">
        <v>60</v>
      </c>
      <c r="K304" s="11">
        <v>60</v>
      </c>
      <c r="L304" s="12">
        <v>41455</v>
      </c>
      <c r="M304" t="s">
        <v>36</v>
      </c>
    </row>
    <row r="305" spans="1:13" ht="30" customHeight="1">
      <c r="A305" s="6" t="s">
        <v>562</v>
      </c>
      <c r="B305" s="7" t="s">
        <v>563</v>
      </c>
      <c r="C305" s="7" t="s">
        <v>564</v>
      </c>
      <c r="D305" s="6" t="s">
        <v>18</v>
      </c>
      <c r="E305" s="7" t="s">
        <v>559</v>
      </c>
      <c r="F305" s="13">
        <v>45839</v>
      </c>
      <c r="G305" s="9">
        <f>IFERROR(VLOOKUP(D305,Listas!$A$2:$B$20,2,FALSE()),999)</f>
        <v>1</v>
      </c>
      <c r="H305" s="9" t="str">
        <f t="shared" ca="1" si="4"/>
        <v>Revisar</v>
      </c>
      <c r="J305" s="11">
        <v>120</v>
      </c>
      <c r="K305" s="11">
        <v>38</v>
      </c>
      <c r="L305" s="12">
        <v>45108</v>
      </c>
      <c r="M305" t="s">
        <v>20</v>
      </c>
    </row>
    <row r="306" spans="1:13" ht="30" customHeight="1">
      <c r="A306" s="6" t="s">
        <v>565</v>
      </c>
      <c r="B306" s="7" t="s">
        <v>566</v>
      </c>
      <c r="C306" s="7" t="s">
        <v>567</v>
      </c>
      <c r="D306" s="6" t="s">
        <v>18</v>
      </c>
      <c r="E306" s="7" t="s">
        <v>559</v>
      </c>
      <c r="F306" s="13">
        <v>45839</v>
      </c>
      <c r="G306" s="9">
        <f>IFERROR(VLOOKUP(D306,Listas!$A$2:$B$20,2,FALSE()),999)</f>
        <v>1</v>
      </c>
      <c r="H306" s="9" t="str">
        <f t="shared" ca="1" si="4"/>
        <v>Revisar</v>
      </c>
      <c r="J306" s="11">
        <v>120</v>
      </c>
      <c r="K306" s="11">
        <v>104</v>
      </c>
      <c r="L306" s="12">
        <v>43121</v>
      </c>
      <c r="M306" t="s">
        <v>20</v>
      </c>
    </row>
    <row r="307" spans="1:13" ht="30" customHeight="1">
      <c r="A307" s="6" t="s">
        <v>568</v>
      </c>
      <c r="B307" s="7" t="s">
        <v>227</v>
      </c>
      <c r="C307" s="7" t="s">
        <v>569</v>
      </c>
      <c r="D307" s="6" t="s">
        <v>18</v>
      </c>
      <c r="E307" s="7" t="s">
        <v>570</v>
      </c>
      <c r="F307" s="8"/>
      <c r="G307" s="9">
        <f>IFERROR(VLOOKUP(D307,Listas!$A$2:$B$20,2,FALSE()),999)</f>
        <v>1</v>
      </c>
      <c r="H307" s="9" t="str">
        <f t="shared" ca="1" si="4"/>
        <v>Sin fecha</v>
      </c>
      <c r="J307" s="11">
        <v>60</v>
      </c>
      <c r="K307" s="11">
        <v>40</v>
      </c>
      <c r="L307" s="12">
        <v>45047</v>
      </c>
      <c r="M307" t="s">
        <v>20</v>
      </c>
    </row>
    <row r="308" spans="1:13" ht="30" customHeight="1">
      <c r="A308" s="6" t="s">
        <v>571</v>
      </c>
      <c r="B308" s="7" t="s">
        <v>227</v>
      </c>
      <c r="C308" s="7" t="s">
        <v>569</v>
      </c>
      <c r="D308" s="6" t="s">
        <v>18</v>
      </c>
      <c r="E308" s="7" t="s">
        <v>570</v>
      </c>
      <c r="F308" s="8"/>
      <c r="G308" s="9">
        <f>IFERROR(VLOOKUP(D308,Listas!$A$2:$B$20,2,FALSE()),999)</f>
        <v>1</v>
      </c>
      <c r="H308" s="9" t="str">
        <f t="shared" ca="1" si="4"/>
        <v>Sin fecha</v>
      </c>
      <c r="J308" s="11">
        <v>60</v>
      </c>
      <c r="K308" s="11">
        <v>40</v>
      </c>
      <c r="L308" s="12">
        <v>45047</v>
      </c>
      <c r="M308" t="s">
        <v>20</v>
      </c>
    </row>
    <row r="309" spans="1:13" ht="30" customHeight="1">
      <c r="A309" s="6" t="s">
        <v>572</v>
      </c>
      <c r="B309" s="7" t="s">
        <v>227</v>
      </c>
      <c r="C309" s="7" t="s">
        <v>569</v>
      </c>
      <c r="D309" s="6" t="s">
        <v>18</v>
      </c>
      <c r="E309" s="7" t="s">
        <v>570</v>
      </c>
      <c r="F309" s="8"/>
      <c r="G309" s="9">
        <f>IFERROR(VLOOKUP(D309,Listas!$A$2:$B$20,2,FALSE()),999)</f>
        <v>1</v>
      </c>
      <c r="H309" s="9" t="str">
        <f t="shared" ca="1" si="4"/>
        <v>Sin fecha</v>
      </c>
      <c r="J309" s="11">
        <v>60</v>
      </c>
      <c r="K309" s="11">
        <v>40</v>
      </c>
      <c r="L309" s="12">
        <v>45047</v>
      </c>
      <c r="M309" t="s">
        <v>20</v>
      </c>
    </row>
    <row r="310" spans="1:13" ht="30" customHeight="1">
      <c r="A310" s="6" t="s">
        <v>573</v>
      </c>
      <c r="B310" s="7" t="s">
        <v>227</v>
      </c>
      <c r="C310" s="7" t="s">
        <v>574</v>
      </c>
      <c r="D310" s="6" t="s">
        <v>18</v>
      </c>
      <c r="E310" s="7" t="s">
        <v>570</v>
      </c>
      <c r="F310" s="8"/>
      <c r="G310" s="9">
        <f>IFERROR(VLOOKUP(D310,Listas!$A$2:$B$20,2,FALSE()),999)</f>
        <v>1</v>
      </c>
      <c r="H310" s="9" t="str">
        <f t="shared" ca="1" si="4"/>
        <v>Sin fecha</v>
      </c>
      <c r="J310" s="11">
        <v>60</v>
      </c>
      <c r="K310" s="11">
        <v>39</v>
      </c>
      <c r="L310" s="12">
        <v>45078</v>
      </c>
      <c r="M310" t="s">
        <v>20</v>
      </c>
    </row>
    <row r="311" spans="1:13" ht="30" customHeight="1">
      <c r="A311" s="6" t="s">
        <v>575</v>
      </c>
      <c r="B311" s="7" t="s">
        <v>227</v>
      </c>
      <c r="C311" s="7" t="s">
        <v>574</v>
      </c>
      <c r="D311" s="6" t="s">
        <v>18</v>
      </c>
      <c r="E311" s="7" t="s">
        <v>570</v>
      </c>
      <c r="F311" s="8"/>
      <c r="G311" s="9">
        <f>IFERROR(VLOOKUP(D311,Listas!$A$2:$B$20,2,FALSE()),999)</f>
        <v>1</v>
      </c>
      <c r="H311" s="9" t="str">
        <f t="shared" ca="1" si="4"/>
        <v>Sin fecha</v>
      </c>
      <c r="J311" s="11">
        <v>60</v>
      </c>
      <c r="K311" s="11">
        <v>39</v>
      </c>
      <c r="L311" s="12">
        <v>45078</v>
      </c>
      <c r="M311" t="s">
        <v>20</v>
      </c>
    </row>
    <row r="312" spans="1:13" ht="30" customHeight="1">
      <c r="A312" s="6" t="s">
        <v>576</v>
      </c>
      <c r="B312" s="7" t="s">
        <v>227</v>
      </c>
      <c r="C312" s="7" t="s">
        <v>577</v>
      </c>
      <c r="D312" s="6" t="s">
        <v>18</v>
      </c>
      <c r="E312" s="7" t="s">
        <v>570</v>
      </c>
      <c r="F312" s="8"/>
      <c r="G312" s="9">
        <f>IFERROR(VLOOKUP(D312,Listas!$A$2:$B$20,2,FALSE()),999)</f>
        <v>1</v>
      </c>
      <c r="H312" s="9" t="str">
        <f t="shared" ca="1" si="4"/>
        <v>Sin fecha</v>
      </c>
      <c r="J312" s="11">
        <v>60</v>
      </c>
      <c r="K312" s="11">
        <v>17</v>
      </c>
      <c r="L312" s="12">
        <v>45748</v>
      </c>
      <c r="M312" t="s">
        <v>20</v>
      </c>
    </row>
    <row r="313" spans="1:13" ht="30" customHeight="1">
      <c r="A313" s="6" t="s">
        <v>578</v>
      </c>
      <c r="B313" s="7" t="s">
        <v>227</v>
      </c>
      <c r="C313" s="7" t="s">
        <v>577</v>
      </c>
      <c r="D313" s="6" t="s">
        <v>18</v>
      </c>
      <c r="E313" s="7" t="s">
        <v>570</v>
      </c>
      <c r="F313" s="8"/>
      <c r="G313" s="9">
        <f>IFERROR(VLOOKUP(D313,Listas!$A$2:$B$20,2,FALSE()),999)</f>
        <v>1</v>
      </c>
      <c r="H313" s="9" t="str">
        <f t="shared" ca="1" si="4"/>
        <v>Sin fecha</v>
      </c>
      <c r="J313" s="11">
        <v>60</v>
      </c>
      <c r="K313" s="11">
        <v>17</v>
      </c>
      <c r="L313" s="12">
        <v>45748</v>
      </c>
      <c r="M313" t="s">
        <v>20</v>
      </c>
    </row>
    <row r="314" spans="1:13" ht="30" customHeight="1">
      <c r="A314" s="6" t="s">
        <v>579</v>
      </c>
      <c r="B314" s="7" t="s">
        <v>227</v>
      </c>
      <c r="C314" s="7" t="s">
        <v>577</v>
      </c>
      <c r="D314" s="6" t="s">
        <v>18</v>
      </c>
      <c r="E314" s="7" t="s">
        <v>570</v>
      </c>
      <c r="F314" s="8"/>
      <c r="G314" s="9">
        <f>IFERROR(VLOOKUP(D314,Listas!$A$2:$B$20,2,FALSE()),999)</f>
        <v>1</v>
      </c>
      <c r="H314" s="9" t="str">
        <f t="shared" ca="1" si="4"/>
        <v>Sin fecha</v>
      </c>
      <c r="J314" s="11">
        <v>60</v>
      </c>
      <c r="K314" s="11">
        <v>17</v>
      </c>
      <c r="L314" s="12">
        <v>45748</v>
      </c>
      <c r="M314" t="s">
        <v>20</v>
      </c>
    </row>
    <row r="315" spans="1:13" ht="30" customHeight="1">
      <c r="A315" s="6" t="s">
        <v>580</v>
      </c>
      <c r="B315" s="7" t="s">
        <v>227</v>
      </c>
      <c r="C315" s="7" t="s">
        <v>577</v>
      </c>
      <c r="D315" s="6" t="s">
        <v>18</v>
      </c>
      <c r="E315" s="7" t="s">
        <v>570</v>
      </c>
      <c r="F315" s="8"/>
      <c r="G315" s="9">
        <f>IFERROR(VLOOKUP(D315,Listas!$A$2:$B$20,2,FALSE()),999)</f>
        <v>1</v>
      </c>
      <c r="H315" s="9" t="str">
        <f t="shared" ca="1" si="4"/>
        <v>Sin fecha</v>
      </c>
      <c r="J315" s="11">
        <v>60</v>
      </c>
      <c r="K315" s="11">
        <v>17</v>
      </c>
      <c r="L315" s="12">
        <v>45748</v>
      </c>
      <c r="M315" t="s">
        <v>20</v>
      </c>
    </row>
    <row r="316" spans="1:13" ht="30" customHeight="1">
      <c r="A316" s="6" t="s">
        <v>581</v>
      </c>
      <c r="B316" s="7" t="s">
        <v>227</v>
      </c>
      <c r="C316" s="7" t="s">
        <v>577</v>
      </c>
      <c r="D316" s="6" t="s">
        <v>18</v>
      </c>
      <c r="E316" s="7" t="s">
        <v>570</v>
      </c>
      <c r="F316" s="8"/>
      <c r="G316" s="9">
        <f>IFERROR(VLOOKUP(D316,Listas!$A$2:$B$20,2,FALSE()),999)</f>
        <v>1</v>
      </c>
      <c r="H316" s="9" t="str">
        <f t="shared" ca="1" si="4"/>
        <v>Sin fecha</v>
      </c>
      <c r="J316" s="11">
        <v>60</v>
      </c>
      <c r="K316" s="11">
        <v>17</v>
      </c>
      <c r="L316" s="12">
        <v>45748</v>
      </c>
      <c r="M316" t="s">
        <v>20</v>
      </c>
    </row>
    <row r="317" spans="1:13" ht="30" customHeight="1">
      <c r="A317" s="6" t="s">
        <v>582</v>
      </c>
      <c r="B317" s="7" t="s">
        <v>227</v>
      </c>
      <c r="C317" s="7" t="s">
        <v>577</v>
      </c>
      <c r="D317" s="6" t="s">
        <v>18</v>
      </c>
      <c r="E317" s="7" t="s">
        <v>570</v>
      </c>
      <c r="F317" s="8"/>
      <c r="G317" s="9">
        <f>IFERROR(VLOOKUP(D317,Listas!$A$2:$B$20,2,FALSE()),999)</f>
        <v>1</v>
      </c>
      <c r="H317" s="9" t="str">
        <f t="shared" ca="1" si="4"/>
        <v>Sin fecha</v>
      </c>
      <c r="J317" s="11">
        <v>60</v>
      </c>
      <c r="K317" s="11">
        <v>17</v>
      </c>
      <c r="L317" s="12">
        <v>45748</v>
      </c>
      <c r="M317" t="s">
        <v>20</v>
      </c>
    </row>
    <row r="318" spans="1:13" ht="30" customHeight="1">
      <c r="A318" s="6" t="s">
        <v>583</v>
      </c>
      <c r="B318" s="7" t="s">
        <v>227</v>
      </c>
      <c r="C318" s="7" t="s">
        <v>577</v>
      </c>
      <c r="D318" s="6" t="s">
        <v>18</v>
      </c>
      <c r="E318" s="7" t="s">
        <v>570</v>
      </c>
      <c r="F318" s="8"/>
      <c r="G318" s="9">
        <f>IFERROR(VLOOKUP(D318,Listas!$A$2:$B$20,2,FALSE()),999)</f>
        <v>1</v>
      </c>
      <c r="H318" s="9" t="str">
        <f t="shared" ca="1" si="4"/>
        <v>Sin fecha</v>
      </c>
      <c r="J318" s="11">
        <v>60</v>
      </c>
      <c r="K318" s="11">
        <v>17</v>
      </c>
      <c r="L318" s="12">
        <v>45748</v>
      </c>
      <c r="M318" t="s">
        <v>20</v>
      </c>
    </row>
    <row r="319" spans="1:13" ht="30" customHeight="1">
      <c r="A319" s="6" t="s">
        <v>584</v>
      </c>
      <c r="B319" s="7" t="s">
        <v>227</v>
      </c>
      <c r="C319" s="7" t="s">
        <v>577</v>
      </c>
      <c r="D319" s="6" t="s">
        <v>18</v>
      </c>
      <c r="E319" s="7" t="s">
        <v>570</v>
      </c>
      <c r="F319" s="8"/>
      <c r="G319" s="9">
        <f>IFERROR(VLOOKUP(D319,Listas!$A$2:$B$20,2,FALSE()),999)</f>
        <v>1</v>
      </c>
      <c r="H319" s="9" t="str">
        <f t="shared" ca="1" si="4"/>
        <v>Sin fecha</v>
      </c>
      <c r="J319" s="11">
        <v>60</v>
      </c>
      <c r="K319" s="11">
        <v>17</v>
      </c>
      <c r="L319" s="12">
        <v>45748</v>
      </c>
      <c r="M319" t="s">
        <v>20</v>
      </c>
    </row>
    <row r="320" spans="1:13" ht="30" customHeight="1">
      <c r="A320" s="6" t="s">
        <v>585</v>
      </c>
      <c r="B320" s="7" t="s">
        <v>227</v>
      </c>
      <c r="C320" s="7" t="s">
        <v>577</v>
      </c>
      <c r="D320" s="6" t="s">
        <v>18</v>
      </c>
      <c r="E320" s="7" t="s">
        <v>570</v>
      </c>
      <c r="F320" s="8"/>
      <c r="G320" s="9">
        <f>IFERROR(VLOOKUP(D320,Listas!$A$2:$B$20,2,FALSE()),999)</f>
        <v>1</v>
      </c>
      <c r="H320" s="9" t="str">
        <f t="shared" ca="1" si="4"/>
        <v>Sin fecha</v>
      </c>
      <c r="J320" s="11">
        <v>60</v>
      </c>
      <c r="K320" s="11">
        <v>17</v>
      </c>
      <c r="L320" s="12">
        <v>45748</v>
      </c>
      <c r="M320" t="s">
        <v>20</v>
      </c>
    </row>
    <row r="321" spans="1:13" ht="30" customHeight="1">
      <c r="A321" s="6" t="s">
        <v>586</v>
      </c>
      <c r="B321" s="7" t="s">
        <v>227</v>
      </c>
      <c r="C321" s="7" t="s">
        <v>577</v>
      </c>
      <c r="D321" s="6" t="s">
        <v>18</v>
      </c>
      <c r="E321" s="7" t="s">
        <v>570</v>
      </c>
      <c r="F321" s="8"/>
      <c r="G321" s="9">
        <f>IFERROR(VLOOKUP(D321,Listas!$A$2:$B$20,2,FALSE()),999)</f>
        <v>1</v>
      </c>
      <c r="H321" s="9" t="str">
        <f t="shared" ca="1" si="4"/>
        <v>Sin fecha</v>
      </c>
      <c r="J321" s="11">
        <v>60</v>
      </c>
      <c r="K321" s="11">
        <v>17</v>
      </c>
      <c r="L321" s="12">
        <v>45748</v>
      </c>
      <c r="M321" t="s">
        <v>20</v>
      </c>
    </row>
    <row r="322" spans="1:13" ht="30" customHeight="1">
      <c r="A322" s="6" t="s">
        <v>587</v>
      </c>
      <c r="B322" s="7" t="s">
        <v>588</v>
      </c>
      <c r="C322" s="7" t="s">
        <v>589</v>
      </c>
      <c r="D322" s="6" t="s">
        <v>18</v>
      </c>
      <c r="E322" s="7" t="s">
        <v>590</v>
      </c>
      <c r="F322" s="13">
        <v>45839</v>
      </c>
      <c r="G322" s="9">
        <f>IFERROR(VLOOKUP(D322,Listas!$A$2:$B$20,2,FALSE()),999)</f>
        <v>1</v>
      </c>
      <c r="H322" s="9" t="str">
        <f t="shared" ca="1" si="4"/>
        <v>Revisar</v>
      </c>
      <c r="J322" s="11">
        <v>120</v>
      </c>
      <c r="K322" s="11">
        <v>120</v>
      </c>
      <c r="L322" s="12">
        <v>39263</v>
      </c>
      <c r="M322" t="s">
        <v>36</v>
      </c>
    </row>
    <row r="323" spans="1:13" ht="30" customHeight="1">
      <c r="A323" s="6" t="s">
        <v>591</v>
      </c>
      <c r="B323" s="7" t="s">
        <v>222</v>
      </c>
      <c r="C323" s="7" t="s">
        <v>592</v>
      </c>
      <c r="D323" s="6" t="s">
        <v>18</v>
      </c>
      <c r="E323" s="7" t="s">
        <v>590</v>
      </c>
      <c r="F323" s="13">
        <v>45839</v>
      </c>
      <c r="G323" s="9">
        <f>IFERROR(VLOOKUP(D323,Listas!$A$2:$B$20,2,FALSE()),999)</f>
        <v>1</v>
      </c>
      <c r="H323" s="9" t="str">
        <f t="shared" ca="1" si="4"/>
        <v>Revisar</v>
      </c>
      <c r="J323" s="11">
        <v>120</v>
      </c>
      <c r="K323" s="11">
        <v>120</v>
      </c>
      <c r="L323" s="12">
        <v>39263</v>
      </c>
      <c r="M323" t="s">
        <v>36</v>
      </c>
    </row>
    <row r="324" spans="1:13" ht="30" customHeight="1">
      <c r="A324" s="6" t="s">
        <v>593</v>
      </c>
      <c r="B324" s="7" t="s">
        <v>222</v>
      </c>
      <c r="C324" s="7" t="s">
        <v>594</v>
      </c>
      <c r="D324" s="6" t="s">
        <v>18</v>
      </c>
      <c r="E324" s="7" t="s">
        <v>590</v>
      </c>
      <c r="F324" s="13">
        <v>45839</v>
      </c>
      <c r="G324" s="9">
        <f>IFERROR(VLOOKUP(D324,Listas!$A$2:$B$20,2,FALSE()),999)</f>
        <v>1</v>
      </c>
      <c r="H324" s="9" t="str">
        <f t="shared" ca="1" si="4"/>
        <v>Revisar</v>
      </c>
      <c r="J324" s="11">
        <v>120</v>
      </c>
      <c r="K324" s="11">
        <v>120</v>
      </c>
      <c r="L324" s="12">
        <v>39263</v>
      </c>
      <c r="M324" t="s">
        <v>36</v>
      </c>
    </row>
    <row r="325" spans="1:13" ht="30" customHeight="1">
      <c r="A325" s="6" t="s">
        <v>595</v>
      </c>
      <c r="B325" s="7" t="s">
        <v>222</v>
      </c>
      <c r="C325" s="7" t="s">
        <v>596</v>
      </c>
      <c r="D325" s="6" t="s">
        <v>18</v>
      </c>
      <c r="E325" s="7" t="s">
        <v>590</v>
      </c>
      <c r="F325" s="13">
        <v>45839</v>
      </c>
      <c r="G325" s="9">
        <f>IFERROR(VLOOKUP(D325,Listas!$A$2:$B$20,2,FALSE()),999)</f>
        <v>1</v>
      </c>
      <c r="H325" s="9" t="str">
        <f t="shared" ref="H325:H388" ca="1" si="5">IF(F325="","Sin fecha",IF(TODAY()-F325&gt;180,"Revisar",IF(TODAY()-F325&gt;90,"Próximo","Vigente")))</f>
        <v>Revisar</v>
      </c>
      <c r="J325" s="11">
        <v>120</v>
      </c>
      <c r="K325" s="11">
        <v>120</v>
      </c>
      <c r="L325" s="12">
        <v>39263</v>
      </c>
      <c r="M325" t="s">
        <v>36</v>
      </c>
    </row>
    <row r="326" spans="1:13" ht="30" customHeight="1">
      <c r="A326" s="6" t="s">
        <v>597</v>
      </c>
      <c r="B326" s="7" t="s">
        <v>222</v>
      </c>
      <c r="C326" s="7" t="s">
        <v>598</v>
      </c>
      <c r="D326" s="6" t="s">
        <v>18</v>
      </c>
      <c r="E326" s="7" t="s">
        <v>590</v>
      </c>
      <c r="F326" s="13">
        <v>45839</v>
      </c>
      <c r="G326" s="9">
        <f>IFERROR(VLOOKUP(D326,Listas!$A$2:$B$20,2,FALSE()),999)</f>
        <v>1</v>
      </c>
      <c r="H326" s="9" t="str">
        <f t="shared" ca="1" si="5"/>
        <v>Revisar</v>
      </c>
      <c r="J326" s="11">
        <v>120</v>
      </c>
      <c r="K326" s="11">
        <v>120</v>
      </c>
      <c r="L326" s="12">
        <v>39263</v>
      </c>
      <c r="M326" t="s">
        <v>36</v>
      </c>
    </row>
    <row r="327" spans="1:13" ht="30" customHeight="1">
      <c r="A327" s="6" t="s">
        <v>599</v>
      </c>
      <c r="B327" s="7" t="s">
        <v>600</v>
      </c>
      <c r="C327" s="7" t="s">
        <v>601</v>
      </c>
      <c r="D327" s="6" t="s">
        <v>18</v>
      </c>
      <c r="E327" s="7" t="s">
        <v>590</v>
      </c>
      <c r="F327" s="13">
        <v>45839</v>
      </c>
      <c r="G327" s="9">
        <f>IFERROR(VLOOKUP(D327,Listas!$A$2:$B$20,2,FALSE()),999)</f>
        <v>1</v>
      </c>
      <c r="H327" s="9" t="str">
        <f t="shared" ca="1" si="5"/>
        <v>Revisar</v>
      </c>
      <c r="J327" s="11">
        <v>120</v>
      </c>
      <c r="K327" s="11">
        <v>120</v>
      </c>
      <c r="L327" s="12">
        <v>39263</v>
      </c>
      <c r="M327" t="s">
        <v>36</v>
      </c>
    </row>
    <row r="328" spans="1:13" ht="30" customHeight="1">
      <c r="A328" s="6" t="s">
        <v>602</v>
      </c>
      <c r="B328" s="7" t="s">
        <v>204</v>
      </c>
      <c r="C328" s="7" t="s">
        <v>252</v>
      </c>
      <c r="D328" s="6" t="s">
        <v>18</v>
      </c>
      <c r="E328" s="7" t="s">
        <v>590</v>
      </c>
      <c r="F328" s="13">
        <v>45839</v>
      </c>
      <c r="G328" s="9">
        <f>IFERROR(VLOOKUP(D328,Listas!$A$2:$B$20,2,FALSE()),999)</f>
        <v>1</v>
      </c>
      <c r="H328" s="9" t="str">
        <f t="shared" ca="1" si="5"/>
        <v>Revisar</v>
      </c>
      <c r="J328" s="11">
        <v>1</v>
      </c>
      <c r="K328" s="11">
        <v>1</v>
      </c>
      <c r="L328" s="12">
        <v>42886</v>
      </c>
      <c r="M328" t="s">
        <v>36</v>
      </c>
    </row>
    <row r="329" spans="1:13" ht="30" customHeight="1">
      <c r="A329" s="6" t="s">
        <v>603</v>
      </c>
      <c r="B329" s="7" t="s">
        <v>204</v>
      </c>
      <c r="C329" s="7" t="s">
        <v>252</v>
      </c>
      <c r="D329" s="6" t="s">
        <v>18</v>
      </c>
      <c r="E329" s="7" t="s">
        <v>590</v>
      </c>
      <c r="F329" s="13">
        <v>45839</v>
      </c>
      <c r="G329" s="9">
        <f>IFERROR(VLOOKUP(D329,Listas!$A$2:$B$20,2,FALSE()),999)</f>
        <v>1</v>
      </c>
      <c r="H329" s="9" t="str">
        <f t="shared" ca="1" si="5"/>
        <v>Revisar</v>
      </c>
      <c r="J329" s="11">
        <v>1</v>
      </c>
      <c r="K329" s="11">
        <v>1</v>
      </c>
      <c r="L329" s="12">
        <v>42886</v>
      </c>
      <c r="M329" t="s">
        <v>36</v>
      </c>
    </row>
    <row r="330" spans="1:13" ht="30" customHeight="1">
      <c r="A330" s="6" t="s">
        <v>604</v>
      </c>
      <c r="B330" s="7" t="s">
        <v>204</v>
      </c>
      <c r="C330" s="7" t="s">
        <v>252</v>
      </c>
      <c r="D330" s="6" t="s">
        <v>18</v>
      </c>
      <c r="E330" s="7" t="s">
        <v>590</v>
      </c>
      <c r="F330" s="13">
        <v>45839</v>
      </c>
      <c r="G330" s="9">
        <f>IFERROR(VLOOKUP(D330,Listas!$A$2:$B$20,2,FALSE()),999)</f>
        <v>1</v>
      </c>
      <c r="H330" s="9" t="str">
        <f t="shared" ca="1" si="5"/>
        <v>Revisar</v>
      </c>
      <c r="J330" s="11">
        <v>1</v>
      </c>
      <c r="K330" s="11">
        <v>1</v>
      </c>
      <c r="L330" s="12">
        <v>42886</v>
      </c>
      <c r="M330" t="s">
        <v>36</v>
      </c>
    </row>
    <row r="331" spans="1:13" ht="30" customHeight="1">
      <c r="A331" s="6" t="s">
        <v>605</v>
      </c>
      <c r="B331" s="7" t="s">
        <v>279</v>
      </c>
      <c r="C331" s="7" t="s">
        <v>292</v>
      </c>
      <c r="D331" s="6" t="s">
        <v>18</v>
      </c>
      <c r="E331" s="7" t="s">
        <v>590</v>
      </c>
      <c r="F331" s="13">
        <v>45839</v>
      </c>
      <c r="G331" s="9">
        <f>IFERROR(VLOOKUP(D331,Listas!$A$2:$B$20,2,FALSE()),999)</f>
        <v>1</v>
      </c>
      <c r="H331" s="9" t="str">
        <f t="shared" ca="1" si="5"/>
        <v>Revisar</v>
      </c>
      <c r="J331" s="11">
        <v>120</v>
      </c>
      <c r="K331" s="11">
        <v>120</v>
      </c>
      <c r="L331" s="12">
        <v>39263</v>
      </c>
      <c r="M331" t="s">
        <v>36</v>
      </c>
    </row>
    <row r="332" spans="1:13" ht="30" customHeight="1">
      <c r="A332" s="6" t="s">
        <v>606</v>
      </c>
      <c r="B332" s="7" t="s">
        <v>279</v>
      </c>
      <c r="C332" s="7" t="s">
        <v>292</v>
      </c>
      <c r="D332" s="6" t="s">
        <v>18</v>
      </c>
      <c r="E332" s="7" t="s">
        <v>590</v>
      </c>
      <c r="F332" s="13">
        <v>45839</v>
      </c>
      <c r="G332" s="9">
        <f>IFERROR(VLOOKUP(D332,Listas!$A$2:$B$20,2,FALSE()),999)</f>
        <v>1</v>
      </c>
      <c r="H332" s="9" t="str">
        <f t="shared" ca="1" si="5"/>
        <v>Revisar</v>
      </c>
      <c r="J332" s="11">
        <v>120</v>
      </c>
      <c r="K332" s="11">
        <v>120</v>
      </c>
      <c r="L332" s="12">
        <v>39263</v>
      </c>
      <c r="M332" t="s">
        <v>36</v>
      </c>
    </row>
    <row r="333" spans="1:13" ht="30" customHeight="1">
      <c r="A333" s="6" t="s">
        <v>607</v>
      </c>
      <c r="B333" s="7" t="s">
        <v>279</v>
      </c>
      <c r="C333" s="7" t="s">
        <v>292</v>
      </c>
      <c r="D333" s="6" t="s">
        <v>18</v>
      </c>
      <c r="E333" s="7" t="s">
        <v>590</v>
      </c>
      <c r="F333" s="13">
        <v>45839</v>
      </c>
      <c r="G333" s="9">
        <f>IFERROR(VLOOKUP(D333,Listas!$A$2:$B$20,2,FALSE()),999)</f>
        <v>1</v>
      </c>
      <c r="H333" s="9" t="str">
        <f t="shared" ca="1" si="5"/>
        <v>Revisar</v>
      </c>
      <c r="J333" s="11">
        <v>120</v>
      </c>
      <c r="K333" s="11">
        <v>120</v>
      </c>
      <c r="L333" s="12">
        <v>39263</v>
      </c>
      <c r="M333" t="s">
        <v>36</v>
      </c>
    </row>
    <row r="334" spans="1:13" ht="30" customHeight="1">
      <c r="A334" s="6" t="s">
        <v>608</v>
      </c>
      <c r="B334" s="7" t="s">
        <v>279</v>
      </c>
      <c r="C334" s="7" t="s">
        <v>213</v>
      </c>
      <c r="D334" s="6" t="s">
        <v>18</v>
      </c>
      <c r="E334" s="7" t="s">
        <v>590</v>
      </c>
      <c r="F334" s="13">
        <v>45839</v>
      </c>
      <c r="G334" s="9">
        <f>IFERROR(VLOOKUP(D334,Listas!$A$2:$B$20,2,FALSE()),999)</f>
        <v>1</v>
      </c>
      <c r="H334" s="9" t="str">
        <f t="shared" ca="1" si="5"/>
        <v>Revisar</v>
      </c>
      <c r="J334" s="11">
        <v>120</v>
      </c>
      <c r="K334" s="11">
        <v>120</v>
      </c>
      <c r="L334" s="12">
        <v>39263</v>
      </c>
      <c r="M334" t="s">
        <v>36</v>
      </c>
    </row>
    <row r="335" spans="1:13" ht="30" customHeight="1">
      <c r="A335" s="6" t="s">
        <v>609</v>
      </c>
      <c r="B335" s="7" t="s">
        <v>279</v>
      </c>
      <c r="C335" s="7" t="s">
        <v>610</v>
      </c>
      <c r="D335" s="6" t="s">
        <v>18</v>
      </c>
      <c r="E335" s="7" t="s">
        <v>590</v>
      </c>
      <c r="F335" s="13">
        <v>45839</v>
      </c>
      <c r="G335" s="9">
        <f>IFERROR(VLOOKUP(D335,Listas!$A$2:$B$20,2,FALSE()),999)</f>
        <v>1</v>
      </c>
      <c r="H335" s="9" t="str">
        <f t="shared" ca="1" si="5"/>
        <v>Revisar</v>
      </c>
      <c r="J335" s="11">
        <v>1</v>
      </c>
      <c r="K335" s="11">
        <v>1</v>
      </c>
      <c r="L335" s="12">
        <v>42886</v>
      </c>
      <c r="M335" t="s">
        <v>36</v>
      </c>
    </row>
    <row r="336" spans="1:13" ht="30" customHeight="1">
      <c r="A336" s="6" t="s">
        <v>611</v>
      </c>
      <c r="B336" s="7" t="s">
        <v>279</v>
      </c>
      <c r="C336" s="7" t="s">
        <v>612</v>
      </c>
      <c r="D336" s="6" t="s">
        <v>18</v>
      </c>
      <c r="E336" s="7" t="s">
        <v>590</v>
      </c>
      <c r="F336" s="13">
        <v>45839</v>
      </c>
      <c r="G336" s="9">
        <f>IFERROR(VLOOKUP(D336,Listas!$A$2:$B$20,2,FALSE()),999)</f>
        <v>1</v>
      </c>
      <c r="H336" s="9" t="str">
        <f t="shared" ca="1" si="5"/>
        <v>Revisar</v>
      </c>
      <c r="J336" s="11">
        <v>120</v>
      </c>
      <c r="K336" s="11">
        <v>120</v>
      </c>
      <c r="L336" s="12">
        <v>39263</v>
      </c>
      <c r="M336" t="s">
        <v>36</v>
      </c>
    </row>
    <row r="337" spans="1:13" ht="30" customHeight="1">
      <c r="A337" s="6" t="s">
        <v>613</v>
      </c>
      <c r="B337" s="7" t="s">
        <v>212</v>
      </c>
      <c r="C337" s="7" t="s">
        <v>213</v>
      </c>
      <c r="D337" s="6" t="s">
        <v>18</v>
      </c>
      <c r="E337" s="7" t="s">
        <v>590</v>
      </c>
      <c r="F337" s="13">
        <v>45839</v>
      </c>
      <c r="G337" s="9">
        <f>IFERROR(VLOOKUP(D337,Listas!$A$2:$B$20,2,FALSE()),999)</f>
        <v>1</v>
      </c>
      <c r="H337" s="9" t="str">
        <f t="shared" ca="1" si="5"/>
        <v>Revisar</v>
      </c>
      <c r="J337" s="11">
        <v>120</v>
      </c>
      <c r="K337" s="11">
        <v>120</v>
      </c>
      <c r="L337" s="12">
        <v>41090</v>
      </c>
      <c r="M337" t="s">
        <v>36</v>
      </c>
    </row>
    <row r="338" spans="1:13" ht="30" customHeight="1">
      <c r="A338" s="6" t="s">
        <v>614</v>
      </c>
      <c r="B338" s="7" t="s">
        <v>615</v>
      </c>
      <c r="C338" s="7" t="s">
        <v>616</v>
      </c>
      <c r="D338" s="6" t="s">
        <v>18</v>
      </c>
      <c r="E338" s="7" t="s">
        <v>590</v>
      </c>
      <c r="F338" s="13">
        <v>45839</v>
      </c>
      <c r="G338" s="9">
        <f>IFERROR(VLOOKUP(D338,Listas!$A$2:$B$20,2,FALSE()),999)</f>
        <v>1</v>
      </c>
      <c r="H338" s="9" t="str">
        <f t="shared" ca="1" si="5"/>
        <v>Revisar</v>
      </c>
      <c r="J338" s="11">
        <v>120</v>
      </c>
      <c r="K338" s="11">
        <v>120</v>
      </c>
      <c r="L338" s="12">
        <v>41729</v>
      </c>
      <c r="M338" t="s">
        <v>36</v>
      </c>
    </row>
    <row r="339" spans="1:13" ht="30" customHeight="1">
      <c r="A339" s="6" t="s">
        <v>617</v>
      </c>
      <c r="B339" s="7" t="s">
        <v>618</v>
      </c>
      <c r="C339" s="7" t="s">
        <v>619</v>
      </c>
      <c r="D339" s="6" t="s">
        <v>18</v>
      </c>
      <c r="E339" s="7" t="s">
        <v>590</v>
      </c>
      <c r="F339" s="13">
        <v>45839</v>
      </c>
      <c r="G339" s="9">
        <f>IFERROR(VLOOKUP(D339,Listas!$A$2:$B$20,2,FALSE()),999)</f>
        <v>1</v>
      </c>
      <c r="H339" s="9" t="str">
        <f t="shared" ca="1" si="5"/>
        <v>Revisar</v>
      </c>
      <c r="J339" s="11">
        <v>120</v>
      </c>
      <c r="K339" s="11">
        <v>120</v>
      </c>
      <c r="L339" s="12">
        <v>39325</v>
      </c>
      <c r="M339" t="s">
        <v>36</v>
      </c>
    </row>
    <row r="340" spans="1:13" ht="30" customHeight="1">
      <c r="A340" s="6" t="s">
        <v>620</v>
      </c>
      <c r="B340" s="7" t="s">
        <v>618</v>
      </c>
      <c r="C340" s="7" t="s">
        <v>621</v>
      </c>
      <c r="D340" s="6" t="s">
        <v>18</v>
      </c>
      <c r="E340" s="7" t="s">
        <v>590</v>
      </c>
      <c r="F340" s="13">
        <v>45839</v>
      </c>
      <c r="G340" s="9">
        <f>IFERROR(VLOOKUP(D340,Listas!$A$2:$B$20,2,FALSE()),999)</f>
        <v>1</v>
      </c>
      <c r="H340" s="9" t="str">
        <f t="shared" ca="1" si="5"/>
        <v>Revisar</v>
      </c>
      <c r="J340" s="11">
        <v>120</v>
      </c>
      <c r="K340" s="11">
        <v>120</v>
      </c>
      <c r="L340" s="12">
        <v>39325</v>
      </c>
      <c r="M340" t="s">
        <v>36</v>
      </c>
    </row>
    <row r="341" spans="1:13" ht="30" customHeight="1">
      <c r="A341" s="6" t="s">
        <v>622</v>
      </c>
      <c r="B341" s="7" t="s">
        <v>618</v>
      </c>
      <c r="C341" s="7" t="s">
        <v>619</v>
      </c>
      <c r="D341" s="6" t="s">
        <v>18</v>
      </c>
      <c r="E341" s="7" t="s">
        <v>590</v>
      </c>
      <c r="F341" s="13">
        <v>45839</v>
      </c>
      <c r="G341" s="9">
        <f>IFERROR(VLOOKUP(D341,Listas!$A$2:$B$20,2,FALSE()),999)</f>
        <v>1</v>
      </c>
      <c r="H341" s="9" t="str">
        <f t="shared" ca="1" si="5"/>
        <v>Revisar</v>
      </c>
      <c r="J341" s="11">
        <v>120</v>
      </c>
      <c r="K341" s="11">
        <v>120</v>
      </c>
      <c r="L341" s="12">
        <v>39325</v>
      </c>
      <c r="M341" t="s">
        <v>36</v>
      </c>
    </row>
    <row r="342" spans="1:13" ht="30" customHeight="1">
      <c r="A342" s="6" t="s">
        <v>623</v>
      </c>
      <c r="B342" s="7" t="s">
        <v>189</v>
      </c>
      <c r="C342" s="7" t="s">
        <v>379</v>
      </c>
      <c r="D342" s="6" t="s">
        <v>18</v>
      </c>
      <c r="E342" s="7" t="s">
        <v>590</v>
      </c>
      <c r="F342" s="13">
        <v>45839</v>
      </c>
      <c r="G342" s="9">
        <f>IFERROR(VLOOKUP(D342,Listas!$A$2:$B$20,2,FALSE()),999)</f>
        <v>1</v>
      </c>
      <c r="H342" s="9" t="str">
        <f t="shared" ca="1" si="5"/>
        <v>Revisar</v>
      </c>
      <c r="J342" s="11">
        <v>120</v>
      </c>
      <c r="K342" s="11">
        <v>120</v>
      </c>
      <c r="L342" s="12">
        <v>41090</v>
      </c>
      <c r="M342" t="s">
        <v>36</v>
      </c>
    </row>
    <row r="343" spans="1:13" ht="30" customHeight="1">
      <c r="A343" s="6" t="s">
        <v>624</v>
      </c>
      <c r="B343" s="7" t="s">
        <v>189</v>
      </c>
      <c r="C343" s="7" t="s">
        <v>379</v>
      </c>
      <c r="D343" s="6" t="s">
        <v>18</v>
      </c>
      <c r="E343" s="7" t="s">
        <v>590</v>
      </c>
      <c r="F343" s="13">
        <v>45839</v>
      </c>
      <c r="G343" s="9">
        <f>IFERROR(VLOOKUP(D343,Listas!$A$2:$B$20,2,FALSE()),999)</f>
        <v>1</v>
      </c>
      <c r="H343" s="9" t="str">
        <f t="shared" ca="1" si="5"/>
        <v>Revisar</v>
      </c>
      <c r="J343" s="11">
        <v>120</v>
      </c>
      <c r="K343" s="11">
        <v>120</v>
      </c>
      <c r="L343" s="12">
        <v>41090</v>
      </c>
      <c r="M343" t="s">
        <v>36</v>
      </c>
    </row>
    <row r="344" spans="1:13" ht="30" customHeight="1">
      <c r="A344" s="6" t="s">
        <v>625</v>
      </c>
      <c r="B344" s="7" t="s">
        <v>189</v>
      </c>
      <c r="C344" s="7" t="s">
        <v>539</v>
      </c>
      <c r="D344" s="6" t="s">
        <v>18</v>
      </c>
      <c r="E344" s="7" t="s">
        <v>590</v>
      </c>
      <c r="F344" s="8"/>
      <c r="G344" s="9">
        <f>IFERROR(VLOOKUP(D344,Listas!$A$2:$B$20,2,FALSE()),999)</f>
        <v>1</v>
      </c>
      <c r="H344" s="9" t="str">
        <f t="shared" ca="1" si="5"/>
        <v>Sin fecha</v>
      </c>
      <c r="J344" s="11">
        <v>120</v>
      </c>
      <c r="K344" s="11">
        <v>120</v>
      </c>
      <c r="L344" s="12">
        <v>41090</v>
      </c>
      <c r="M344" t="s">
        <v>36</v>
      </c>
    </row>
    <row r="345" spans="1:13" ht="30" customHeight="1">
      <c r="A345" s="6" t="s">
        <v>626</v>
      </c>
      <c r="B345" s="7" t="s">
        <v>627</v>
      </c>
      <c r="C345" s="7" t="s">
        <v>628</v>
      </c>
      <c r="D345" s="6" t="s">
        <v>18</v>
      </c>
      <c r="E345" s="7" t="s">
        <v>590</v>
      </c>
      <c r="F345" s="13">
        <v>45839</v>
      </c>
      <c r="G345" s="9">
        <f>IFERROR(VLOOKUP(D345,Listas!$A$2:$B$20,2,FALSE()),999)</f>
        <v>1</v>
      </c>
      <c r="H345" s="9" t="str">
        <f t="shared" ca="1" si="5"/>
        <v>Revisar</v>
      </c>
      <c r="J345" s="11">
        <v>120</v>
      </c>
      <c r="K345" s="11">
        <v>27</v>
      </c>
      <c r="L345" s="12">
        <v>45444</v>
      </c>
      <c r="M345" t="s">
        <v>20</v>
      </c>
    </row>
    <row r="346" spans="1:13" ht="30" customHeight="1">
      <c r="A346" s="6" t="s">
        <v>629</v>
      </c>
      <c r="B346" s="7" t="s">
        <v>630</v>
      </c>
      <c r="C346" s="7" t="s">
        <v>631</v>
      </c>
      <c r="D346" s="6" t="s">
        <v>18</v>
      </c>
      <c r="E346" s="7" t="s">
        <v>632</v>
      </c>
      <c r="F346" s="8"/>
      <c r="G346" s="9">
        <f>IFERROR(VLOOKUP(D346,Listas!$A$2:$B$20,2,FALSE()),999)</f>
        <v>1</v>
      </c>
      <c r="H346" s="9" t="str">
        <f t="shared" ca="1" si="5"/>
        <v>Sin fecha</v>
      </c>
      <c r="J346" s="11">
        <v>120</v>
      </c>
      <c r="K346" s="11">
        <v>120</v>
      </c>
      <c r="L346" s="12">
        <v>42216</v>
      </c>
      <c r="M346" t="s">
        <v>36</v>
      </c>
    </row>
    <row r="347" spans="1:13" ht="30" customHeight="1">
      <c r="A347" s="6" t="s">
        <v>633</v>
      </c>
      <c r="B347" s="7" t="s">
        <v>634</v>
      </c>
      <c r="C347" s="7" t="s">
        <v>635</v>
      </c>
      <c r="D347" s="6" t="s">
        <v>18</v>
      </c>
      <c r="E347" s="7" t="s">
        <v>632</v>
      </c>
      <c r="F347" s="8"/>
      <c r="G347" s="9">
        <f>IFERROR(VLOOKUP(D347,Listas!$A$2:$B$20,2,FALSE()),999)</f>
        <v>1</v>
      </c>
      <c r="H347" s="9" t="str">
        <f t="shared" ca="1" si="5"/>
        <v>Sin fecha</v>
      </c>
      <c r="J347" s="11">
        <v>120</v>
      </c>
      <c r="K347" s="11">
        <v>120</v>
      </c>
      <c r="L347" s="12">
        <v>42216</v>
      </c>
      <c r="M347" t="s">
        <v>36</v>
      </c>
    </row>
    <row r="348" spans="1:13" ht="30" customHeight="1">
      <c r="A348" s="6" t="s">
        <v>636</v>
      </c>
      <c r="B348" s="7" t="s">
        <v>637</v>
      </c>
      <c r="C348" s="7" t="s">
        <v>638</v>
      </c>
      <c r="D348" s="6" t="s">
        <v>18</v>
      </c>
      <c r="E348" s="7" t="s">
        <v>632</v>
      </c>
      <c r="F348" s="8"/>
      <c r="G348" s="9">
        <f>IFERROR(VLOOKUP(D348,Listas!$A$2:$B$20,2,FALSE()),999)</f>
        <v>1</v>
      </c>
      <c r="H348" s="9" t="str">
        <f t="shared" ca="1" si="5"/>
        <v>Sin fecha</v>
      </c>
      <c r="J348" s="11">
        <v>120</v>
      </c>
      <c r="K348" s="11">
        <v>120</v>
      </c>
      <c r="L348" s="12">
        <v>42216</v>
      </c>
      <c r="M348" t="s">
        <v>36</v>
      </c>
    </row>
    <row r="349" spans="1:13" ht="30" customHeight="1">
      <c r="A349" s="6" t="s">
        <v>639</v>
      </c>
      <c r="B349" s="7" t="s">
        <v>640</v>
      </c>
      <c r="C349" s="7" t="s">
        <v>641</v>
      </c>
      <c r="D349" s="6" t="s">
        <v>18</v>
      </c>
      <c r="E349" s="7" t="s">
        <v>632</v>
      </c>
      <c r="F349" s="8"/>
      <c r="G349" s="9">
        <f>IFERROR(VLOOKUP(D349,Listas!$A$2:$B$20,2,FALSE()),999)</f>
        <v>1</v>
      </c>
      <c r="H349" s="9" t="str">
        <f t="shared" ca="1" si="5"/>
        <v>Sin fecha</v>
      </c>
      <c r="J349" s="11">
        <v>120</v>
      </c>
      <c r="K349" s="11">
        <v>120</v>
      </c>
      <c r="L349" s="12">
        <v>41090</v>
      </c>
      <c r="M349" t="s">
        <v>36</v>
      </c>
    </row>
    <row r="350" spans="1:13" ht="30" customHeight="1">
      <c r="A350" s="6" t="s">
        <v>642</v>
      </c>
      <c r="B350" s="7" t="s">
        <v>640</v>
      </c>
      <c r="C350" s="7" t="s">
        <v>641</v>
      </c>
      <c r="D350" s="6" t="s">
        <v>18</v>
      </c>
      <c r="E350" s="7" t="s">
        <v>632</v>
      </c>
      <c r="F350" s="8"/>
      <c r="G350" s="9">
        <f>IFERROR(VLOOKUP(D350,Listas!$A$2:$B$20,2,FALSE()),999)</f>
        <v>1</v>
      </c>
      <c r="H350" s="9" t="str">
        <f t="shared" ca="1" si="5"/>
        <v>Sin fecha</v>
      </c>
      <c r="J350" s="11">
        <v>120</v>
      </c>
      <c r="K350" s="11">
        <v>120</v>
      </c>
      <c r="L350" s="12">
        <v>41090</v>
      </c>
      <c r="M350" t="s">
        <v>36</v>
      </c>
    </row>
    <row r="351" spans="1:13" ht="30" customHeight="1">
      <c r="A351" s="6" t="s">
        <v>643</v>
      </c>
      <c r="B351" s="7" t="s">
        <v>640</v>
      </c>
      <c r="C351" s="7" t="s">
        <v>641</v>
      </c>
      <c r="D351" s="6" t="s">
        <v>18</v>
      </c>
      <c r="E351" s="7" t="s">
        <v>632</v>
      </c>
      <c r="F351" s="8"/>
      <c r="G351" s="9">
        <f>IFERROR(VLOOKUP(D351,Listas!$A$2:$B$20,2,FALSE()),999)</f>
        <v>1</v>
      </c>
      <c r="H351" s="9" t="str">
        <f t="shared" ca="1" si="5"/>
        <v>Sin fecha</v>
      </c>
      <c r="J351" s="11">
        <v>120</v>
      </c>
      <c r="K351" s="11">
        <v>120</v>
      </c>
      <c r="L351" s="12">
        <v>41090</v>
      </c>
      <c r="M351" t="s">
        <v>36</v>
      </c>
    </row>
    <row r="352" spans="1:13" ht="30" customHeight="1">
      <c r="A352" s="6" t="s">
        <v>644</v>
      </c>
      <c r="B352" s="7" t="s">
        <v>640</v>
      </c>
      <c r="C352" s="7" t="s">
        <v>641</v>
      </c>
      <c r="D352" s="6" t="s">
        <v>18</v>
      </c>
      <c r="E352" s="7" t="s">
        <v>632</v>
      </c>
      <c r="F352" s="8"/>
      <c r="G352" s="9">
        <f>IFERROR(VLOOKUP(D352,Listas!$A$2:$B$20,2,FALSE()),999)</f>
        <v>1</v>
      </c>
      <c r="H352" s="9" t="str">
        <f t="shared" ca="1" si="5"/>
        <v>Sin fecha</v>
      </c>
      <c r="J352" s="11">
        <v>120</v>
      </c>
      <c r="K352" s="11">
        <v>120</v>
      </c>
      <c r="L352" s="12">
        <v>41090</v>
      </c>
      <c r="M352" t="s">
        <v>36</v>
      </c>
    </row>
    <row r="353" spans="1:13" ht="30" customHeight="1">
      <c r="A353" s="6" t="s">
        <v>645</v>
      </c>
      <c r="B353" s="7" t="s">
        <v>646</v>
      </c>
      <c r="C353" s="7" t="s">
        <v>647</v>
      </c>
      <c r="D353" s="6" t="s">
        <v>18</v>
      </c>
      <c r="E353" s="7" t="s">
        <v>632</v>
      </c>
      <c r="F353" s="8"/>
      <c r="G353" s="9">
        <f>IFERROR(VLOOKUP(D353,Listas!$A$2:$B$20,2,FALSE()),999)</f>
        <v>1</v>
      </c>
      <c r="H353" s="9" t="str">
        <f t="shared" ca="1" si="5"/>
        <v>Sin fecha</v>
      </c>
      <c r="J353" s="11">
        <v>120</v>
      </c>
      <c r="K353" s="11">
        <v>120</v>
      </c>
      <c r="L353" s="12">
        <v>41090</v>
      </c>
      <c r="M353" t="s">
        <v>36</v>
      </c>
    </row>
    <row r="354" spans="1:13" ht="30" customHeight="1">
      <c r="A354" s="6" t="s">
        <v>648</v>
      </c>
      <c r="B354" s="7" t="s">
        <v>646</v>
      </c>
      <c r="C354" s="7" t="s">
        <v>647</v>
      </c>
      <c r="D354" s="6" t="s">
        <v>18</v>
      </c>
      <c r="E354" s="7" t="s">
        <v>632</v>
      </c>
      <c r="F354" s="8"/>
      <c r="G354" s="9">
        <f>IFERROR(VLOOKUP(D354,Listas!$A$2:$B$20,2,FALSE()),999)</f>
        <v>1</v>
      </c>
      <c r="H354" s="9" t="str">
        <f t="shared" ca="1" si="5"/>
        <v>Sin fecha</v>
      </c>
      <c r="J354" s="11">
        <v>120</v>
      </c>
      <c r="K354" s="11">
        <v>120</v>
      </c>
      <c r="L354" s="12">
        <v>41090</v>
      </c>
      <c r="M354" t="s">
        <v>36</v>
      </c>
    </row>
    <row r="355" spans="1:13" ht="30" customHeight="1">
      <c r="A355" s="6" t="s">
        <v>649</v>
      </c>
      <c r="B355" s="7" t="s">
        <v>650</v>
      </c>
      <c r="C355" s="7" t="s">
        <v>651</v>
      </c>
      <c r="D355" s="6" t="s">
        <v>18</v>
      </c>
      <c r="E355" s="7" t="s">
        <v>632</v>
      </c>
      <c r="F355" s="8"/>
      <c r="G355" s="9">
        <f>IFERROR(VLOOKUP(D355,Listas!$A$2:$B$20,2,FALSE()),999)</f>
        <v>1</v>
      </c>
      <c r="H355" s="9" t="str">
        <f t="shared" ca="1" si="5"/>
        <v>Sin fecha</v>
      </c>
      <c r="J355" s="11">
        <v>120</v>
      </c>
      <c r="K355" s="11">
        <v>120</v>
      </c>
      <c r="L355" s="12">
        <v>41090</v>
      </c>
      <c r="M355" t="s">
        <v>36</v>
      </c>
    </row>
    <row r="356" spans="1:13" ht="30" customHeight="1">
      <c r="A356" s="6" t="s">
        <v>652</v>
      </c>
      <c r="B356" s="7" t="s">
        <v>653</v>
      </c>
      <c r="C356" s="7" t="s">
        <v>654</v>
      </c>
      <c r="D356" s="6" t="s">
        <v>18</v>
      </c>
      <c r="E356" s="7" t="s">
        <v>632</v>
      </c>
      <c r="F356" s="8"/>
      <c r="G356" s="9">
        <f>IFERROR(VLOOKUP(D356,Listas!$A$2:$B$20,2,FALSE()),999)</f>
        <v>1</v>
      </c>
      <c r="H356" s="9" t="str">
        <f t="shared" ca="1" si="5"/>
        <v>Sin fecha</v>
      </c>
      <c r="J356" s="11">
        <v>120</v>
      </c>
      <c r="K356" s="11">
        <v>120</v>
      </c>
      <c r="L356" s="12">
        <v>41090</v>
      </c>
      <c r="M356" t="s">
        <v>36</v>
      </c>
    </row>
    <row r="357" spans="1:13" ht="30" customHeight="1">
      <c r="A357" s="6" t="s">
        <v>655</v>
      </c>
      <c r="B357" s="7" t="s">
        <v>653</v>
      </c>
      <c r="C357" s="7" t="s">
        <v>654</v>
      </c>
      <c r="D357" s="6" t="s">
        <v>18</v>
      </c>
      <c r="E357" s="7" t="s">
        <v>632</v>
      </c>
      <c r="F357" s="8"/>
      <c r="G357" s="9">
        <f>IFERROR(VLOOKUP(D357,Listas!$A$2:$B$20,2,FALSE()),999)</f>
        <v>1</v>
      </c>
      <c r="H357" s="9" t="str">
        <f t="shared" ca="1" si="5"/>
        <v>Sin fecha</v>
      </c>
      <c r="J357" s="11">
        <v>120</v>
      </c>
      <c r="K357" s="11">
        <v>120</v>
      </c>
      <c r="L357" s="12">
        <v>41090</v>
      </c>
      <c r="M357" t="s">
        <v>36</v>
      </c>
    </row>
    <row r="358" spans="1:13" ht="30" customHeight="1">
      <c r="A358" s="6" t="s">
        <v>656</v>
      </c>
      <c r="B358" s="7" t="s">
        <v>657</v>
      </c>
      <c r="C358" s="7" t="s">
        <v>658</v>
      </c>
      <c r="D358" s="6" t="s">
        <v>18</v>
      </c>
      <c r="E358" s="7" t="s">
        <v>632</v>
      </c>
      <c r="F358" s="8"/>
      <c r="G358" s="9">
        <f>IFERROR(VLOOKUP(D358,Listas!$A$2:$B$20,2,FALSE()),999)</f>
        <v>1</v>
      </c>
      <c r="H358" s="9" t="str">
        <f t="shared" ca="1" si="5"/>
        <v>Sin fecha</v>
      </c>
      <c r="J358" s="11">
        <v>120</v>
      </c>
      <c r="K358" s="11">
        <v>120</v>
      </c>
      <c r="L358" s="12">
        <v>41090</v>
      </c>
      <c r="M358" t="s">
        <v>36</v>
      </c>
    </row>
    <row r="359" spans="1:13" ht="30" customHeight="1">
      <c r="A359" s="6" t="s">
        <v>659</v>
      </c>
      <c r="B359" s="7" t="s">
        <v>657</v>
      </c>
      <c r="C359" s="7" t="s">
        <v>658</v>
      </c>
      <c r="D359" s="6" t="s">
        <v>18</v>
      </c>
      <c r="E359" s="7" t="s">
        <v>632</v>
      </c>
      <c r="F359" s="8"/>
      <c r="G359" s="9">
        <f>IFERROR(VLOOKUP(D359,Listas!$A$2:$B$20,2,FALSE()),999)</f>
        <v>1</v>
      </c>
      <c r="H359" s="9" t="str">
        <f t="shared" ca="1" si="5"/>
        <v>Sin fecha</v>
      </c>
      <c r="J359" s="11">
        <v>120</v>
      </c>
      <c r="K359" s="11">
        <v>120</v>
      </c>
      <c r="L359" s="12">
        <v>41090</v>
      </c>
      <c r="M359" t="s">
        <v>36</v>
      </c>
    </row>
    <row r="360" spans="1:13" ht="30" customHeight="1">
      <c r="A360" s="6" t="s">
        <v>660</v>
      </c>
      <c r="B360" s="7" t="s">
        <v>657</v>
      </c>
      <c r="C360" s="7" t="s">
        <v>658</v>
      </c>
      <c r="D360" s="6" t="s">
        <v>18</v>
      </c>
      <c r="E360" s="7" t="s">
        <v>632</v>
      </c>
      <c r="F360" s="8"/>
      <c r="G360" s="9">
        <f>IFERROR(VLOOKUP(D360,Listas!$A$2:$B$20,2,FALSE()),999)</f>
        <v>1</v>
      </c>
      <c r="H360" s="9" t="str">
        <f t="shared" ca="1" si="5"/>
        <v>Sin fecha</v>
      </c>
      <c r="J360" s="11">
        <v>120</v>
      </c>
      <c r="K360" s="11">
        <v>120</v>
      </c>
      <c r="L360" s="12">
        <v>41090</v>
      </c>
      <c r="M360" t="s">
        <v>36</v>
      </c>
    </row>
    <row r="361" spans="1:13" ht="30" customHeight="1">
      <c r="A361" s="6" t="s">
        <v>661</v>
      </c>
      <c r="B361" s="7" t="s">
        <v>657</v>
      </c>
      <c r="C361" s="7" t="s">
        <v>658</v>
      </c>
      <c r="D361" s="6" t="s">
        <v>18</v>
      </c>
      <c r="E361" s="7" t="s">
        <v>632</v>
      </c>
      <c r="F361" s="8"/>
      <c r="G361" s="9">
        <f>IFERROR(VLOOKUP(D361,Listas!$A$2:$B$20,2,FALSE()),999)</f>
        <v>1</v>
      </c>
      <c r="H361" s="9" t="str">
        <f t="shared" ca="1" si="5"/>
        <v>Sin fecha</v>
      </c>
      <c r="J361" s="11">
        <v>120</v>
      </c>
      <c r="K361" s="11">
        <v>120</v>
      </c>
      <c r="L361" s="12">
        <v>41090</v>
      </c>
      <c r="M361" t="s">
        <v>36</v>
      </c>
    </row>
    <row r="362" spans="1:13" ht="30" customHeight="1">
      <c r="A362" s="6" t="s">
        <v>662</v>
      </c>
      <c r="B362" s="7" t="s">
        <v>663</v>
      </c>
      <c r="C362" s="7" t="s">
        <v>664</v>
      </c>
      <c r="D362" s="6" t="s">
        <v>18</v>
      </c>
      <c r="E362" s="7" t="s">
        <v>632</v>
      </c>
      <c r="F362" s="8"/>
      <c r="G362" s="9">
        <f>IFERROR(VLOOKUP(D362,Listas!$A$2:$B$20,2,FALSE()),999)</f>
        <v>1</v>
      </c>
      <c r="H362" s="9" t="str">
        <f t="shared" ca="1" si="5"/>
        <v>Sin fecha</v>
      </c>
      <c r="J362" s="11">
        <v>120</v>
      </c>
      <c r="K362" s="11">
        <v>120</v>
      </c>
      <c r="L362" s="12">
        <v>42216</v>
      </c>
      <c r="M362" t="s">
        <v>36</v>
      </c>
    </row>
    <row r="363" spans="1:13" ht="30" customHeight="1">
      <c r="A363" s="6" t="s">
        <v>665</v>
      </c>
      <c r="B363" s="7" t="s">
        <v>663</v>
      </c>
      <c r="C363" s="7" t="s">
        <v>664</v>
      </c>
      <c r="D363" s="6" t="s">
        <v>18</v>
      </c>
      <c r="E363" s="7" t="s">
        <v>632</v>
      </c>
      <c r="F363" s="8"/>
      <c r="G363" s="9">
        <f>IFERROR(VLOOKUP(D363,Listas!$A$2:$B$20,2,FALSE()),999)</f>
        <v>1</v>
      </c>
      <c r="H363" s="9" t="str">
        <f t="shared" ca="1" si="5"/>
        <v>Sin fecha</v>
      </c>
      <c r="J363" s="11">
        <v>120</v>
      </c>
      <c r="K363" s="11">
        <v>120</v>
      </c>
      <c r="L363" s="12">
        <v>42216</v>
      </c>
      <c r="M363" t="s">
        <v>36</v>
      </c>
    </row>
    <row r="364" spans="1:13" ht="30" customHeight="1">
      <c r="A364" s="6" t="s">
        <v>666</v>
      </c>
      <c r="B364" s="7" t="s">
        <v>663</v>
      </c>
      <c r="C364" s="7" t="s">
        <v>664</v>
      </c>
      <c r="D364" s="6" t="s">
        <v>18</v>
      </c>
      <c r="E364" s="7" t="s">
        <v>632</v>
      </c>
      <c r="F364" s="8"/>
      <c r="G364" s="9">
        <f>IFERROR(VLOOKUP(D364,Listas!$A$2:$B$20,2,FALSE()),999)</f>
        <v>1</v>
      </c>
      <c r="H364" s="9" t="str">
        <f t="shared" ca="1" si="5"/>
        <v>Sin fecha</v>
      </c>
      <c r="J364" s="11">
        <v>120</v>
      </c>
      <c r="K364" s="11">
        <v>120</v>
      </c>
      <c r="L364" s="12">
        <v>42216</v>
      </c>
      <c r="M364" t="s">
        <v>36</v>
      </c>
    </row>
    <row r="365" spans="1:13" ht="30" customHeight="1">
      <c r="A365" s="6" t="s">
        <v>667</v>
      </c>
      <c r="B365" s="7" t="s">
        <v>663</v>
      </c>
      <c r="C365" s="7" t="s">
        <v>664</v>
      </c>
      <c r="D365" s="6" t="s">
        <v>18</v>
      </c>
      <c r="E365" s="7" t="s">
        <v>632</v>
      </c>
      <c r="F365" s="8"/>
      <c r="G365" s="9">
        <f>IFERROR(VLOOKUP(D365,Listas!$A$2:$B$20,2,FALSE()),999)</f>
        <v>1</v>
      </c>
      <c r="H365" s="9" t="str">
        <f t="shared" ca="1" si="5"/>
        <v>Sin fecha</v>
      </c>
      <c r="J365" s="11">
        <v>120</v>
      </c>
      <c r="K365" s="11">
        <v>120</v>
      </c>
      <c r="L365" s="12">
        <v>42216</v>
      </c>
      <c r="M365" t="s">
        <v>36</v>
      </c>
    </row>
    <row r="366" spans="1:13" ht="30" customHeight="1">
      <c r="A366" s="6" t="s">
        <v>668</v>
      </c>
      <c r="B366" s="7" t="s">
        <v>669</v>
      </c>
      <c r="C366" s="7" t="s">
        <v>670</v>
      </c>
      <c r="D366" s="6" t="s">
        <v>18</v>
      </c>
      <c r="E366" s="7" t="s">
        <v>632</v>
      </c>
      <c r="F366" s="8"/>
      <c r="G366" s="9">
        <f>IFERROR(VLOOKUP(D366,Listas!$A$2:$B$20,2,FALSE()),999)</f>
        <v>1</v>
      </c>
      <c r="H366" s="9" t="str">
        <f t="shared" ca="1" si="5"/>
        <v>Sin fecha</v>
      </c>
      <c r="J366" s="11">
        <v>120</v>
      </c>
      <c r="K366" s="11">
        <v>120</v>
      </c>
      <c r="L366" s="12">
        <v>41090</v>
      </c>
      <c r="M366" t="s">
        <v>36</v>
      </c>
    </row>
    <row r="367" spans="1:13" ht="30" customHeight="1">
      <c r="A367" s="6" t="s">
        <v>671</v>
      </c>
      <c r="B367" s="7" t="s">
        <v>669</v>
      </c>
      <c r="C367" s="7" t="s">
        <v>670</v>
      </c>
      <c r="D367" s="6" t="s">
        <v>18</v>
      </c>
      <c r="E367" s="7" t="s">
        <v>632</v>
      </c>
      <c r="F367" s="8"/>
      <c r="G367" s="9">
        <f>IFERROR(VLOOKUP(D367,Listas!$A$2:$B$20,2,FALSE()),999)</f>
        <v>1</v>
      </c>
      <c r="H367" s="9" t="str">
        <f t="shared" ca="1" si="5"/>
        <v>Sin fecha</v>
      </c>
      <c r="J367" s="11">
        <v>120</v>
      </c>
      <c r="K367" s="11">
        <v>120</v>
      </c>
      <c r="L367" s="12">
        <v>41090</v>
      </c>
      <c r="M367" t="s">
        <v>36</v>
      </c>
    </row>
    <row r="368" spans="1:13" ht="30" customHeight="1">
      <c r="A368" s="6" t="s">
        <v>672</v>
      </c>
      <c r="B368" s="7" t="s">
        <v>669</v>
      </c>
      <c r="C368" s="7" t="s">
        <v>670</v>
      </c>
      <c r="D368" s="6" t="s">
        <v>18</v>
      </c>
      <c r="E368" s="7" t="s">
        <v>632</v>
      </c>
      <c r="F368" s="8"/>
      <c r="G368" s="9">
        <f>IFERROR(VLOOKUP(D368,Listas!$A$2:$B$20,2,FALSE()),999)</f>
        <v>1</v>
      </c>
      <c r="H368" s="9" t="str">
        <f t="shared" ca="1" si="5"/>
        <v>Sin fecha</v>
      </c>
      <c r="J368" s="11">
        <v>120</v>
      </c>
      <c r="K368" s="11">
        <v>120</v>
      </c>
      <c r="L368" s="12">
        <v>41090</v>
      </c>
      <c r="M368" t="s">
        <v>36</v>
      </c>
    </row>
    <row r="369" spans="1:13" ht="30" customHeight="1">
      <c r="A369" s="6" t="s">
        <v>673</v>
      </c>
      <c r="B369" s="7" t="s">
        <v>669</v>
      </c>
      <c r="C369" s="7" t="s">
        <v>670</v>
      </c>
      <c r="D369" s="6" t="s">
        <v>18</v>
      </c>
      <c r="E369" s="7" t="s">
        <v>632</v>
      </c>
      <c r="F369" s="8"/>
      <c r="G369" s="9">
        <f>IFERROR(VLOOKUP(D369,Listas!$A$2:$B$20,2,FALSE()),999)</f>
        <v>1</v>
      </c>
      <c r="H369" s="9" t="str">
        <f t="shared" ca="1" si="5"/>
        <v>Sin fecha</v>
      </c>
      <c r="J369" s="11">
        <v>120</v>
      </c>
      <c r="K369" s="11">
        <v>120</v>
      </c>
      <c r="L369" s="12">
        <v>41090</v>
      </c>
      <c r="M369" t="s">
        <v>36</v>
      </c>
    </row>
    <row r="370" spans="1:13" ht="30" customHeight="1">
      <c r="A370" s="6" t="s">
        <v>674</v>
      </c>
      <c r="B370" s="7" t="s">
        <v>669</v>
      </c>
      <c r="C370" s="7" t="s">
        <v>670</v>
      </c>
      <c r="D370" s="6" t="s">
        <v>18</v>
      </c>
      <c r="E370" s="7" t="s">
        <v>632</v>
      </c>
      <c r="F370" s="8"/>
      <c r="G370" s="9">
        <f>IFERROR(VLOOKUP(D370,Listas!$A$2:$B$20,2,FALSE()),999)</f>
        <v>1</v>
      </c>
      <c r="H370" s="9" t="str">
        <f t="shared" ca="1" si="5"/>
        <v>Sin fecha</v>
      </c>
      <c r="J370" s="11">
        <v>120</v>
      </c>
      <c r="K370" s="11">
        <v>120</v>
      </c>
      <c r="L370" s="12">
        <v>41090</v>
      </c>
      <c r="M370" t="s">
        <v>36</v>
      </c>
    </row>
    <row r="371" spans="1:13" ht="30" customHeight="1">
      <c r="A371" s="6" t="s">
        <v>675</v>
      </c>
      <c r="B371" s="7" t="s">
        <v>669</v>
      </c>
      <c r="C371" s="7" t="s">
        <v>670</v>
      </c>
      <c r="D371" s="6" t="s">
        <v>18</v>
      </c>
      <c r="E371" s="7" t="s">
        <v>632</v>
      </c>
      <c r="F371" s="8"/>
      <c r="G371" s="9">
        <f>IFERROR(VLOOKUP(D371,Listas!$A$2:$B$20,2,FALSE()),999)</f>
        <v>1</v>
      </c>
      <c r="H371" s="9" t="str">
        <f t="shared" ca="1" si="5"/>
        <v>Sin fecha</v>
      </c>
      <c r="J371" s="11">
        <v>120</v>
      </c>
      <c r="K371" s="11">
        <v>120</v>
      </c>
      <c r="L371" s="12">
        <v>41090</v>
      </c>
      <c r="M371" t="s">
        <v>36</v>
      </c>
    </row>
    <row r="372" spans="1:13" ht="30" customHeight="1">
      <c r="A372" s="6" t="s">
        <v>676</v>
      </c>
      <c r="B372" s="7" t="s">
        <v>677</v>
      </c>
      <c r="C372" s="7" t="s">
        <v>678</v>
      </c>
      <c r="D372" s="6" t="s">
        <v>18</v>
      </c>
      <c r="E372" s="7" t="s">
        <v>632</v>
      </c>
      <c r="F372" s="8"/>
      <c r="G372" s="9">
        <f>IFERROR(VLOOKUP(D372,Listas!$A$2:$B$20,2,FALSE()),999)</f>
        <v>1</v>
      </c>
      <c r="H372" s="9" t="str">
        <f t="shared" ca="1" si="5"/>
        <v>Sin fecha</v>
      </c>
      <c r="J372" s="11">
        <v>120</v>
      </c>
      <c r="K372" s="11">
        <v>120</v>
      </c>
      <c r="L372" s="12">
        <v>39263</v>
      </c>
      <c r="M372" t="s">
        <v>36</v>
      </c>
    </row>
    <row r="373" spans="1:13" ht="30" customHeight="1">
      <c r="A373" s="6" t="s">
        <v>679</v>
      </c>
      <c r="B373" s="7" t="s">
        <v>677</v>
      </c>
      <c r="C373" s="7" t="s">
        <v>678</v>
      </c>
      <c r="D373" s="6" t="s">
        <v>18</v>
      </c>
      <c r="E373" s="7" t="s">
        <v>632</v>
      </c>
      <c r="F373" s="8"/>
      <c r="G373" s="9">
        <f>IFERROR(VLOOKUP(D373,Listas!$A$2:$B$20,2,FALSE()),999)</f>
        <v>1</v>
      </c>
      <c r="H373" s="9" t="str">
        <f t="shared" ca="1" si="5"/>
        <v>Sin fecha</v>
      </c>
      <c r="J373" s="11">
        <v>120</v>
      </c>
      <c r="K373" s="11">
        <v>120</v>
      </c>
      <c r="L373" s="12">
        <v>39263</v>
      </c>
      <c r="M373" t="s">
        <v>36</v>
      </c>
    </row>
    <row r="374" spans="1:13" ht="30" customHeight="1">
      <c r="A374" s="6" t="s">
        <v>680</v>
      </c>
      <c r="B374" s="7" t="s">
        <v>677</v>
      </c>
      <c r="C374" s="7" t="s">
        <v>678</v>
      </c>
      <c r="D374" s="6" t="s">
        <v>18</v>
      </c>
      <c r="E374" s="7" t="s">
        <v>632</v>
      </c>
      <c r="F374" s="8"/>
      <c r="G374" s="9">
        <f>IFERROR(VLOOKUP(D374,Listas!$A$2:$B$20,2,FALSE()),999)</f>
        <v>1</v>
      </c>
      <c r="H374" s="9" t="str">
        <f t="shared" ca="1" si="5"/>
        <v>Sin fecha</v>
      </c>
      <c r="J374" s="11">
        <v>120</v>
      </c>
      <c r="K374" s="11">
        <v>120</v>
      </c>
      <c r="L374" s="12">
        <v>39263</v>
      </c>
      <c r="M374" t="s">
        <v>36</v>
      </c>
    </row>
    <row r="375" spans="1:13" ht="30" customHeight="1">
      <c r="A375" s="6" t="s">
        <v>681</v>
      </c>
      <c r="B375" s="7" t="s">
        <v>677</v>
      </c>
      <c r="C375" s="7" t="s">
        <v>678</v>
      </c>
      <c r="D375" s="6" t="s">
        <v>18</v>
      </c>
      <c r="E375" s="7" t="s">
        <v>632</v>
      </c>
      <c r="F375" s="8"/>
      <c r="G375" s="9">
        <f>IFERROR(VLOOKUP(D375,Listas!$A$2:$B$20,2,FALSE()),999)</f>
        <v>1</v>
      </c>
      <c r="H375" s="9" t="str">
        <f t="shared" ca="1" si="5"/>
        <v>Sin fecha</v>
      </c>
      <c r="J375" s="11">
        <v>120</v>
      </c>
      <c r="K375" s="11">
        <v>120</v>
      </c>
      <c r="L375" s="12">
        <v>39263</v>
      </c>
      <c r="M375" t="s">
        <v>36</v>
      </c>
    </row>
    <row r="376" spans="1:13" ht="30" customHeight="1">
      <c r="A376" s="6" t="s">
        <v>682</v>
      </c>
      <c r="B376" s="7" t="s">
        <v>683</v>
      </c>
      <c r="C376" s="7" t="s">
        <v>684</v>
      </c>
      <c r="D376" s="6" t="s">
        <v>18</v>
      </c>
      <c r="E376" s="7" t="s">
        <v>632</v>
      </c>
      <c r="F376" s="8"/>
      <c r="G376" s="9">
        <f>IFERROR(VLOOKUP(D376,Listas!$A$2:$B$20,2,FALSE()),999)</f>
        <v>1</v>
      </c>
      <c r="H376" s="9" t="str">
        <f t="shared" ca="1" si="5"/>
        <v>Sin fecha</v>
      </c>
      <c r="J376" s="11">
        <v>120</v>
      </c>
      <c r="K376" s="11">
        <v>120</v>
      </c>
      <c r="L376" s="12">
        <v>41090</v>
      </c>
      <c r="M376" t="s">
        <v>36</v>
      </c>
    </row>
    <row r="377" spans="1:13" ht="30" customHeight="1">
      <c r="A377" s="6" t="s">
        <v>685</v>
      </c>
      <c r="B377" s="7" t="s">
        <v>686</v>
      </c>
      <c r="C377" s="7" t="s">
        <v>687</v>
      </c>
      <c r="D377" s="6" t="s">
        <v>18</v>
      </c>
      <c r="E377" s="7" t="s">
        <v>632</v>
      </c>
      <c r="F377" s="8"/>
      <c r="G377" s="9">
        <f>IFERROR(VLOOKUP(D377,Listas!$A$2:$B$20,2,FALSE()),999)</f>
        <v>1</v>
      </c>
      <c r="H377" s="9" t="str">
        <f t="shared" ca="1" si="5"/>
        <v>Sin fecha</v>
      </c>
      <c r="J377" s="11">
        <v>120</v>
      </c>
      <c r="K377" s="11">
        <v>120</v>
      </c>
      <c r="L377" s="12">
        <v>41090</v>
      </c>
      <c r="M377" t="s">
        <v>36</v>
      </c>
    </row>
    <row r="378" spans="1:13" ht="30" customHeight="1">
      <c r="A378" s="6" t="s">
        <v>688</v>
      </c>
      <c r="B378" s="7" t="s">
        <v>689</v>
      </c>
      <c r="C378" s="7" t="s">
        <v>690</v>
      </c>
      <c r="D378" s="6" t="s">
        <v>18</v>
      </c>
      <c r="E378" s="7" t="s">
        <v>632</v>
      </c>
      <c r="F378" s="8"/>
      <c r="G378" s="9">
        <f>IFERROR(VLOOKUP(D378,Listas!$A$2:$B$20,2,FALSE()),999)</f>
        <v>1</v>
      </c>
      <c r="H378" s="9" t="str">
        <f t="shared" ca="1" si="5"/>
        <v>Sin fecha</v>
      </c>
      <c r="J378" s="11">
        <v>120</v>
      </c>
      <c r="K378" s="11">
        <v>120</v>
      </c>
      <c r="L378" s="12">
        <v>41090</v>
      </c>
      <c r="M378" t="s">
        <v>36</v>
      </c>
    </row>
    <row r="379" spans="1:13" ht="30" customHeight="1">
      <c r="A379" s="6" t="s">
        <v>691</v>
      </c>
      <c r="B379" s="7" t="s">
        <v>692</v>
      </c>
      <c r="C379" s="7" t="s">
        <v>693</v>
      </c>
      <c r="D379" s="6" t="s">
        <v>18</v>
      </c>
      <c r="E379" s="7" t="s">
        <v>632</v>
      </c>
      <c r="F379" s="8"/>
      <c r="G379" s="9">
        <f>IFERROR(VLOOKUP(D379,Listas!$A$2:$B$20,2,FALSE()),999)</f>
        <v>1</v>
      </c>
      <c r="H379" s="9" t="str">
        <f t="shared" ca="1" si="5"/>
        <v>Sin fecha</v>
      </c>
      <c r="J379" s="11">
        <v>120</v>
      </c>
      <c r="K379" s="11">
        <v>120</v>
      </c>
      <c r="L379" s="12">
        <v>41090</v>
      </c>
      <c r="M379" t="s">
        <v>36</v>
      </c>
    </row>
    <row r="380" spans="1:13" ht="30" customHeight="1">
      <c r="A380" s="6" t="s">
        <v>694</v>
      </c>
      <c r="B380" s="7" t="s">
        <v>692</v>
      </c>
      <c r="C380" s="7" t="s">
        <v>693</v>
      </c>
      <c r="D380" s="6" t="s">
        <v>18</v>
      </c>
      <c r="E380" s="7" t="s">
        <v>632</v>
      </c>
      <c r="F380" s="8"/>
      <c r="G380" s="9">
        <f>IFERROR(VLOOKUP(D380,Listas!$A$2:$B$20,2,FALSE()),999)</f>
        <v>1</v>
      </c>
      <c r="H380" s="9" t="str">
        <f t="shared" ca="1" si="5"/>
        <v>Sin fecha</v>
      </c>
      <c r="J380" s="11">
        <v>120</v>
      </c>
      <c r="K380" s="11">
        <v>120</v>
      </c>
      <c r="L380" s="12">
        <v>41090</v>
      </c>
      <c r="M380" t="s">
        <v>36</v>
      </c>
    </row>
    <row r="381" spans="1:13" ht="30" customHeight="1">
      <c r="A381" s="6" t="s">
        <v>695</v>
      </c>
      <c r="B381" s="7" t="s">
        <v>692</v>
      </c>
      <c r="C381" s="7" t="s">
        <v>693</v>
      </c>
      <c r="D381" s="6" t="s">
        <v>18</v>
      </c>
      <c r="E381" s="7" t="s">
        <v>632</v>
      </c>
      <c r="F381" s="8"/>
      <c r="G381" s="9">
        <f>IFERROR(VLOOKUP(D381,Listas!$A$2:$B$20,2,FALSE()),999)</f>
        <v>1</v>
      </c>
      <c r="H381" s="9" t="str">
        <f t="shared" ca="1" si="5"/>
        <v>Sin fecha</v>
      </c>
      <c r="J381" s="11">
        <v>120</v>
      </c>
      <c r="K381" s="11">
        <v>120</v>
      </c>
      <c r="L381" s="12">
        <v>41090</v>
      </c>
      <c r="M381" t="s">
        <v>36</v>
      </c>
    </row>
    <row r="382" spans="1:13" ht="30" customHeight="1">
      <c r="A382" s="6" t="s">
        <v>696</v>
      </c>
      <c r="B382" s="7" t="s">
        <v>692</v>
      </c>
      <c r="C382" s="7" t="s">
        <v>693</v>
      </c>
      <c r="D382" s="6" t="s">
        <v>18</v>
      </c>
      <c r="E382" s="7" t="s">
        <v>632</v>
      </c>
      <c r="F382" s="8"/>
      <c r="G382" s="9">
        <f>IFERROR(VLOOKUP(D382,Listas!$A$2:$B$20,2,FALSE()),999)</f>
        <v>1</v>
      </c>
      <c r="H382" s="9" t="str">
        <f t="shared" ca="1" si="5"/>
        <v>Sin fecha</v>
      </c>
      <c r="J382" s="11">
        <v>120</v>
      </c>
      <c r="K382" s="11">
        <v>120</v>
      </c>
      <c r="L382" s="12">
        <v>41090</v>
      </c>
      <c r="M382" t="s">
        <v>36</v>
      </c>
    </row>
    <row r="383" spans="1:13" ht="30" customHeight="1">
      <c r="A383" s="6" t="s">
        <v>697</v>
      </c>
      <c r="B383" s="7" t="s">
        <v>698</v>
      </c>
      <c r="C383" s="7" t="s">
        <v>699</v>
      </c>
      <c r="D383" s="6" t="s">
        <v>18</v>
      </c>
      <c r="E383" s="7" t="s">
        <v>632</v>
      </c>
      <c r="F383" s="8"/>
      <c r="G383" s="9">
        <f>IFERROR(VLOOKUP(D383,Listas!$A$2:$B$20,2,FALSE()),999)</f>
        <v>1</v>
      </c>
      <c r="H383" s="9" t="str">
        <f t="shared" ca="1" si="5"/>
        <v>Sin fecha</v>
      </c>
      <c r="J383" s="11">
        <v>120</v>
      </c>
      <c r="K383" s="11">
        <v>120</v>
      </c>
      <c r="L383" s="12">
        <v>41090</v>
      </c>
      <c r="M383" t="s">
        <v>36</v>
      </c>
    </row>
    <row r="384" spans="1:13" ht="30" customHeight="1">
      <c r="A384" s="6" t="s">
        <v>700</v>
      </c>
      <c r="B384" s="7" t="s">
        <v>701</v>
      </c>
      <c r="C384" s="7" t="s">
        <v>702</v>
      </c>
      <c r="D384" s="6" t="s">
        <v>18</v>
      </c>
      <c r="E384" s="7" t="s">
        <v>632</v>
      </c>
      <c r="F384" s="8"/>
      <c r="G384" s="9">
        <f>IFERROR(VLOOKUP(D384,Listas!$A$2:$B$20,2,FALSE()),999)</f>
        <v>1</v>
      </c>
      <c r="H384" s="9" t="str">
        <f t="shared" ca="1" si="5"/>
        <v>Sin fecha</v>
      </c>
      <c r="J384" s="11">
        <v>1</v>
      </c>
      <c r="K384" s="11">
        <v>1</v>
      </c>
      <c r="L384" s="12">
        <v>42886</v>
      </c>
      <c r="M384" t="s">
        <v>36</v>
      </c>
    </row>
    <row r="385" spans="1:13" ht="30" customHeight="1">
      <c r="A385" s="6" t="s">
        <v>703</v>
      </c>
      <c r="B385" s="7" t="s">
        <v>701</v>
      </c>
      <c r="C385" s="7" t="s">
        <v>702</v>
      </c>
      <c r="D385" s="6" t="s">
        <v>18</v>
      </c>
      <c r="E385" s="7" t="s">
        <v>632</v>
      </c>
      <c r="F385" s="8"/>
      <c r="G385" s="9">
        <f>IFERROR(VLOOKUP(D385,Listas!$A$2:$B$20,2,FALSE()),999)</f>
        <v>1</v>
      </c>
      <c r="H385" s="9" t="str">
        <f t="shared" ca="1" si="5"/>
        <v>Sin fecha</v>
      </c>
      <c r="J385" s="11">
        <v>1</v>
      </c>
      <c r="K385" s="11">
        <v>1</v>
      </c>
      <c r="L385" s="12">
        <v>42886</v>
      </c>
      <c r="M385" t="s">
        <v>36</v>
      </c>
    </row>
    <row r="386" spans="1:13" ht="30" customHeight="1">
      <c r="A386" s="6" t="s">
        <v>704</v>
      </c>
      <c r="B386" s="7" t="s">
        <v>701</v>
      </c>
      <c r="C386" s="7" t="s">
        <v>702</v>
      </c>
      <c r="D386" s="6" t="s">
        <v>18</v>
      </c>
      <c r="E386" s="7" t="s">
        <v>632</v>
      </c>
      <c r="F386" s="8"/>
      <c r="G386" s="9">
        <f>IFERROR(VLOOKUP(D386,Listas!$A$2:$B$20,2,FALSE()),999)</f>
        <v>1</v>
      </c>
      <c r="H386" s="9" t="str">
        <f t="shared" ca="1" si="5"/>
        <v>Sin fecha</v>
      </c>
      <c r="J386" s="11">
        <v>1</v>
      </c>
      <c r="K386" s="11">
        <v>1</v>
      </c>
      <c r="L386" s="12">
        <v>42886</v>
      </c>
      <c r="M386" t="s">
        <v>36</v>
      </c>
    </row>
    <row r="387" spans="1:13" ht="30" customHeight="1">
      <c r="A387" s="6" t="s">
        <v>705</v>
      </c>
      <c r="B387" s="7" t="s">
        <v>701</v>
      </c>
      <c r="C387" s="7" t="s">
        <v>702</v>
      </c>
      <c r="D387" s="6" t="s">
        <v>18</v>
      </c>
      <c r="E387" s="7" t="s">
        <v>632</v>
      </c>
      <c r="F387" s="8"/>
      <c r="G387" s="9">
        <f>IFERROR(VLOOKUP(D387,Listas!$A$2:$B$20,2,FALSE()),999)</f>
        <v>1</v>
      </c>
      <c r="H387" s="9" t="str">
        <f t="shared" ca="1" si="5"/>
        <v>Sin fecha</v>
      </c>
      <c r="J387" s="11">
        <v>1</v>
      </c>
      <c r="K387" s="11">
        <v>1</v>
      </c>
      <c r="L387" s="12">
        <v>42886</v>
      </c>
      <c r="M387" t="s">
        <v>36</v>
      </c>
    </row>
    <row r="388" spans="1:13" ht="30" customHeight="1">
      <c r="A388" s="6" t="s">
        <v>706</v>
      </c>
      <c r="B388" s="7" t="s">
        <v>701</v>
      </c>
      <c r="C388" s="7" t="s">
        <v>702</v>
      </c>
      <c r="D388" s="6" t="s">
        <v>18</v>
      </c>
      <c r="E388" s="7" t="s">
        <v>632</v>
      </c>
      <c r="F388" s="8"/>
      <c r="G388" s="9">
        <f>IFERROR(VLOOKUP(D388,Listas!$A$2:$B$20,2,FALSE()),999)</f>
        <v>1</v>
      </c>
      <c r="H388" s="9" t="str">
        <f t="shared" ca="1" si="5"/>
        <v>Sin fecha</v>
      </c>
      <c r="J388" s="11">
        <v>1</v>
      </c>
      <c r="K388" s="11">
        <v>1</v>
      </c>
      <c r="L388" s="12">
        <v>42886</v>
      </c>
      <c r="M388" t="s">
        <v>36</v>
      </c>
    </row>
    <row r="389" spans="1:13" ht="30" customHeight="1">
      <c r="A389" s="6" t="s">
        <v>707</v>
      </c>
      <c r="B389" s="7" t="s">
        <v>701</v>
      </c>
      <c r="C389" s="7" t="s">
        <v>708</v>
      </c>
      <c r="D389" s="6" t="s">
        <v>18</v>
      </c>
      <c r="E389" s="7" t="s">
        <v>632</v>
      </c>
      <c r="F389" s="8"/>
      <c r="G389" s="9">
        <f>IFERROR(VLOOKUP(D389,Listas!$A$2:$B$20,2,FALSE()),999)</f>
        <v>1</v>
      </c>
      <c r="H389" s="9" t="str">
        <f t="shared" ref="H389:H452" ca="1" si="6">IF(F389="","Sin fecha",IF(TODAY()-F389&gt;180,"Revisar",IF(TODAY()-F389&gt;90,"Próximo","Vigente")))</f>
        <v>Sin fecha</v>
      </c>
      <c r="J389" s="11">
        <v>1</v>
      </c>
      <c r="K389" s="11">
        <v>1</v>
      </c>
      <c r="L389" s="12">
        <v>42886</v>
      </c>
      <c r="M389" t="s">
        <v>36</v>
      </c>
    </row>
    <row r="390" spans="1:13" ht="30" customHeight="1">
      <c r="A390" s="6" t="s">
        <v>709</v>
      </c>
      <c r="B390" s="7" t="s">
        <v>701</v>
      </c>
      <c r="C390" s="7" t="s">
        <v>702</v>
      </c>
      <c r="D390" s="6" t="s">
        <v>18</v>
      </c>
      <c r="E390" s="7" t="s">
        <v>632</v>
      </c>
      <c r="F390" s="8"/>
      <c r="G390" s="9">
        <f>IFERROR(VLOOKUP(D390,Listas!$A$2:$B$20,2,FALSE()),999)</f>
        <v>1</v>
      </c>
      <c r="H390" s="9" t="str">
        <f t="shared" ca="1" si="6"/>
        <v>Sin fecha</v>
      </c>
      <c r="J390" s="11">
        <v>1</v>
      </c>
      <c r="K390" s="11">
        <v>1</v>
      </c>
      <c r="L390" s="12">
        <v>42886</v>
      </c>
      <c r="M390" t="s">
        <v>36</v>
      </c>
    </row>
    <row r="391" spans="1:13" ht="30" customHeight="1">
      <c r="A391" s="6" t="s">
        <v>710</v>
      </c>
      <c r="B391" s="7" t="s">
        <v>701</v>
      </c>
      <c r="C391" s="7" t="s">
        <v>702</v>
      </c>
      <c r="D391" s="6" t="s">
        <v>18</v>
      </c>
      <c r="E391" s="7" t="s">
        <v>632</v>
      </c>
      <c r="F391" s="8"/>
      <c r="G391" s="9">
        <f>IFERROR(VLOOKUP(D391,Listas!$A$2:$B$20,2,FALSE()),999)</f>
        <v>1</v>
      </c>
      <c r="H391" s="9" t="str">
        <f t="shared" ca="1" si="6"/>
        <v>Sin fecha</v>
      </c>
      <c r="J391" s="11">
        <v>1</v>
      </c>
      <c r="K391" s="11">
        <v>1</v>
      </c>
      <c r="L391" s="12">
        <v>42886</v>
      </c>
      <c r="M391" t="s">
        <v>36</v>
      </c>
    </row>
    <row r="392" spans="1:13" ht="30" customHeight="1">
      <c r="A392" s="6" t="s">
        <v>711</v>
      </c>
      <c r="B392" s="7" t="s">
        <v>712</v>
      </c>
      <c r="C392" s="7" t="s">
        <v>713</v>
      </c>
      <c r="D392" s="6" t="s">
        <v>18</v>
      </c>
      <c r="E392" s="7" t="s">
        <v>632</v>
      </c>
      <c r="F392" s="8"/>
      <c r="G392" s="9">
        <f>IFERROR(VLOOKUP(D392,Listas!$A$2:$B$20,2,FALSE()),999)</f>
        <v>1</v>
      </c>
      <c r="H392" s="9" t="str">
        <f t="shared" ca="1" si="6"/>
        <v>Sin fecha</v>
      </c>
      <c r="J392" s="11">
        <v>120</v>
      </c>
      <c r="K392" s="11">
        <v>120</v>
      </c>
      <c r="L392" s="12">
        <v>41090</v>
      </c>
      <c r="M392" t="s">
        <v>36</v>
      </c>
    </row>
    <row r="393" spans="1:13" ht="30" customHeight="1">
      <c r="A393" s="6" t="s">
        <v>714</v>
      </c>
      <c r="B393" s="7" t="s">
        <v>712</v>
      </c>
      <c r="C393" s="7" t="s">
        <v>713</v>
      </c>
      <c r="D393" s="6" t="s">
        <v>18</v>
      </c>
      <c r="E393" s="7" t="s">
        <v>632</v>
      </c>
      <c r="F393" s="8"/>
      <c r="G393" s="9">
        <f>IFERROR(VLOOKUP(D393,Listas!$A$2:$B$20,2,FALSE()),999)</f>
        <v>1</v>
      </c>
      <c r="H393" s="9" t="str">
        <f t="shared" ca="1" si="6"/>
        <v>Sin fecha</v>
      </c>
      <c r="J393" s="11">
        <v>120</v>
      </c>
      <c r="K393" s="11">
        <v>120</v>
      </c>
      <c r="L393" s="12">
        <v>41090</v>
      </c>
      <c r="M393" t="s">
        <v>36</v>
      </c>
    </row>
    <row r="394" spans="1:13" ht="30" customHeight="1">
      <c r="A394" s="6" t="s">
        <v>715</v>
      </c>
      <c r="B394" s="7" t="s">
        <v>716</v>
      </c>
      <c r="C394" s="7" t="s">
        <v>717</v>
      </c>
      <c r="D394" s="6" t="s">
        <v>18</v>
      </c>
      <c r="E394" s="7" t="s">
        <v>632</v>
      </c>
      <c r="F394" s="8"/>
      <c r="G394" s="9">
        <f>IFERROR(VLOOKUP(D394,Listas!$A$2:$B$20,2,FALSE()),999)</f>
        <v>1</v>
      </c>
      <c r="H394" s="9" t="str">
        <f t="shared" ca="1" si="6"/>
        <v>Sin fecha</v>
      </c>
      <c r="J394" s="11">
        <v>120</v>
      </c>
      <c r="K394" s="11">
        <v>120</v>
      </c>
      <c r="L394" s="12">
        <v>42216</v>
      </c>
      <c r="M394" t="s">
        <v>36</v>
      </c>
    </row>
    <row r="395" spans="1:13" ht="30" customHeight="1">
      <c r="A395" s="6" t="s">
        <v>718</v>
      </c>
      <c r="B395" s="7" t="s">
        <v>719</v>
      </c>
      <c r="C395" s="7" t="s">
        <v>720</v>
      </c>
      <c r="D395" s="6" t="s">
        <v>18</v>
      </c>
      <c r="E395" s="7" t="s">
        <v>632</v>
      </c>
      <c r="F395" s="8"/>
      <c r="G395" s="9">
        <f>IFERROR(VLOOKUP(D395,Listas!$A$2:$B$20,2,FALSE()),999)</f>
        <v>1</v>
      </c>
      <c r="H395" s="9" t="str">
        <f t="shared" ca="1" si="6"/>
        <v>Sin fecha</v>
      </c>
      <c r="J395" s="11">
        <v>120</v>
      </c>
      <c r="K395" s="11">
        <v>120</v>
      </c>
      <c r="L395" s="12">
        <v>41090</v>
      </c>
      <c r="M395" t="s">
        <v>36</v>
      </c>
    </row>
    <row r="396" spans="1:13" ht="30" customHeight="1">
      <c r="A396" s="6" t="s">
        <v>721</v>
      </c>
      <c r="B396" s="7" t="s">
        <v>719</v>
      </c>
      <c r="C396" s="7" t="s">
        <v>720</v>
      </c>
      <c r="D396" s="6" t="s">
        <v>18</v>
      </c>
      <c r="E396" s="7" t="s">
        <v>632</v>
      </c>
      <c r="F396" s="8"/>
      <c r="G396" s="9">
        <f>IFERROR(VLOOKUP(D396,Listas!$A$2:$B$20,2,FALSE()),999)</f>
        <v>1</v>
      </c>
      <c r="H396" s="9" t="str">
        <f t="shared" ca="1" si="6"/>
        <v>Sin fecha</v>
      </c>
      <c r="J396" s="11">
        <v>120</v>
      </c>
      <c r="K396" s="11">
        <v>120</v>
      </c>
      <c r="L396" s="12">
        <v>41090</v>
      </c>
      <c r="M396" t="s">
        <v>36</v>
      </c>
    </row>
    <row r="397" spans="1:13" ht="30" customHeight="1">
      <c r="A397" s="6" t="s">
        <v>722</v>
      </c>
      <c r="B397" s="7" t="s">
        <v>719</v>
      </c>
      <c r="C397" s="7" t="s">
        <v>720</v>
      </c>
      <c r="D397" s="6" t="s">
        <v>18</v>
      </c>
      <c r="E397" s="7" t="s">
        <v>632</v>
      </c>
      <c r="F397" s="8"/>
      <c r="G397" s="9">
        <f>IFERROR(VLOOKUP(D397,Listas!$A$2:$B$20,2,FALSE()),999)</f>
        <v>1</v>
      </c>
      <c r="H397" s="9" t="str">
        <f t="shared" ca="1" si="6"/>
        <v>Sin fecha</v>
      </c>
      <c r="J397" s="11">
        <v>120</v>
      </c>
      <c r="K397" s="11">
        <v>120</v>
      </c>
      <c r="L397" s="12">
        <v>41090</v>
      </c>
      <c r="M397" t="s">
        <v>36</v>
      </c>
    </row>
    <row r="398" spans="1:13" ht="30" customHeight="1">
      <c r="A398" s="6" t="s">
        <v>723</v>
      </c>
      <c r="B398" s="7" t="s">
        <v>719</v>
      </c>
      <c r="C398" s="7" t="s">
        <v>720</v>
      </c>
      <c r="D398" s="6" t="s">
        <v>18</v>
      </c>
      <c r="E398" s="7" t="s">
        <v>632</v>
      </c>
      <c r="F398" s="8"/>
      <c r="G398" s="9">
        <f>IFERROR(VLOOKUP(D398,Listas!$A$2:$B$20,2,FALSE()),999)</f>
        <v>1</v>
      </c>
      <c r="H398" s="9" t="str">
        <f t="shared" ca="1" si="6"/>
        <v>Sin fecha</v>
      </c>
      <c r="J398" s="11">
        <v>120</v>
      </c>
      <c r="K398" s="11">
        <v>120</v>
      </c>
      <c r="L398" s="12">
        <v>41090</v>
      </c>
      <c r="M398" t="s">
        <v>36</v>
      </c>
    </row>
    <row r="399" spans="1:13" ht="30" customHeight="1">
      <c r="A399" s="6" t="s">
        <v>724</v>
      </c>
      <c r="B399" s="7" t="s">
        <v>725</v>
      </c>
      <c r="C399" s="7" t="s">
        <v>726</v>
      </c>
      <c r="D399" s="6" t="s">
        <v>18</v>
      </c>
      <c r="E399" s="7" t="s">
        <v>632</v>
      </c>
      <c r="F399" s="8"/>
      <c r="G399" s="9">
        <f>IFERROR(VLOOKUP(D399,Listas!$A$2:$B$20,2,FALSE()),999)</f>
        <v>1</v>
      </c>
      <c r="H399" s="9" t="str">
        <f t="shared" ca="1" si="6"/>
        <v>Sin fecha</v>
      </c>
      <c r="J399" s="11">
        <v>120</v>
      </c>
      <c r="K399" s="11">
        <v>120</v>
      </c>
      <c r="L399" s="12">
        <v>42247</v>
      </c>
      <c r="M399" t="s">
        <v>36</v>
      </c>
    </row>
    <row r="400" spans="1:13" ht="30" customHeight="1">
      <c r="A400" s="6" t="s">
        <v>727</v>
      </c>
      <c r="B400" s="7" t="s">
        <v>725</v>
      </c>
      <c r="C400" s="7" t="s">
        <v>726</v>
      </c>
      <c r="D400" s="6" t="s">
        <v>18</v>
      </c>
      <c r="E400" s="7" t="s">
        <v>632</v>
      </c>
      <c r="F400" s="8"/>
      <c r="G400" s="9">
        <f>IFERROR(VLOOKUP(D400,Listas!$A$2:$B$20,2,FALSE()),999)</f>
        <v>1</v>
      </c>
      <c r="H400" s="9" t="str">
        <f t="shared" ca="1" si="6"/>
        <v>Sin fecha</v>
      </c>
      <c r="J400" s="11">
        <v>120</v>
      </c>
      <c r="K400" s="11">
        <v>120</v>
      </c>
      <c r="L400" s="12">
        <v>42247</v>
      </c>
      <c r="M400" t="s">
        <v>36</v>
      </c>
    </row>
    <row r="401" spans="1:13" ht="30" customHeight="1">
      <c r="A401" s="6" t="s">
        <v>728</v>
      </c>
      <c r="B401" s="7" t="s">
        <v>725</v>
      </c>
      <c r="C401" s="7" t="s">
        <v>726</v>
      </c>
      <c r="D401" s="6" t="s">
        <v>18</v>
      </c>
      <c r="E401" s="7" t="s">
        <v>632</v>
      </c>
      <c r="F401" s="8"/>
      <c r="G401" s="9">
        <f>IFERROR(VLOOKUP(D401,Listas!$A$2:$B$20,2,FALSE()),999)</f>
        <v>1</v>
      </c>
      <c r="H401" s="9" t="str">
        <f t="shared" ca="1" si="6"/>
        <v>Sin fecha</v>
      </c>
      <c r="J401" s="11">
        <v>120</v>
      </c>
      <c r="K401" s="11">
        <v>120</v>
      </c>
      <c r="L401" s="12">
        <v>42247</v>
      </c>
      <c r="M401" t="s">
        <v>36</v>
      </c>
    </row>
    <row r="402" spans="1:13" ht="30" customHeight="1">
      <c r="A402" s="6" t="s">
        <v>729</v>
      </c>
      <c r="B402" s="7" t="s">
        <v>730</v>
      </c>
      <c r="C402" s="7" t="s">
        <v>731</v>
      </c>
      <c r="D402" s="6" t="s">
        <v>18</v>
      </c>
      <c r="E402" s="7" t="s">
        <v>632</v>
      </c>
      <c r="F402" s="8"/>
      <c r="G402" s="9">
        <f>IFERROR(VLOOKUP(D402,Listas!$A$2:$B$20,2,FALSE()),999)</f>
        <v>1</v>
      </c>
      <c r="H402" s="9" t="str">
        <f t="shared" ca="1" si="6"/>
        <v>Sin fecha</v>
      </c>
      <c r="J402" s="11">
        <v>120</v>
      </c>
      <c r="K402" s="11">
        <v>120</v>
      </c>
      <c r="L402" s="12">
        <v>42247</v>
      </c>
      <c r="M402" t="s">
        <v>36</v>
      </c>
    </row>
    <row r="403" spans="1:13" ht="30" customHeight="1">
      <c r="A403" s="6" t="s">
        <v>732</v>
      </c>
      <c r="B403" s="7" t="s">
        <v>730</v>
      </c>
      <c r="C403" s="7" t="s">
        <v>731</v>
      </c>
      <c r="D403" s="6" t="s">
        <v>18</v>
      </c>
      <c r="E403" s="7" t="s">
        <v>632</v>
      </c>
      <c r="F403" s="8"/>
      <c r="G403" s="9">
        <f>IFERROR(VLOOKUP(D403,Listas!$A$2:$B$20,2,FALSE()),999)</f>
        <v>1</v>
      </c>
      <c r="H403" s="9" t="str">
        <f t="shared" ca="1" si="6"/>
        <v>Sin fecha</v>
      </c>
      <c r="J403" s="11">
        <v>120</v>
      </c>
      <c r="K403" s="11">
        <v>120</v>
      </c>
      <c r="L403" s="12">
        <v>42094</v>
      </c>
      <c r="M403" t="s">
        <v>36</v>
      </c>
    </row>
    <row r="404" spans="1:13" ht="30" customHeight="1">
      <c r="A404" s="6" t="s">
        <v>733</v>
      </c>
      <c r="B404" s="7" t="s">
        <v>730</v>
      </c>
      <c r="C404" s="7" t="s">
        <v>731</v>
      </c>
      <c r="D404" s="6" t="s">
        <v>18</v>
      </c>
      <c r="E404" s="7" t="s">
        <v>632</v>
      </c>
      <c r="F404" s="8"/>
      <c r="G404" s="9">
        <f>IFERROR(VLOOKUP(D404,Listas!$A$2:$B$20,2,FALSE()),999)</f>
        <v>1</v>
      </c>
      <c r="H404" s="9" t="str">
        <f t="shared" ca="1" si="6"/>
        <v>Sin fecha</v>
      </c>
      <c r="J404" s="11">
        <v>120</v>
      </c>
      <c r="K404" s="11">
        <v>120</v>
      </c>
      <c r="L404" s="12">
        <v>42247</v>
      </c>
      <c r="M404" t="s">
        <v>36</v>
      </c>
    </row>
    <row r="405" spans="1:13" ht="30" customHeight="1">
      <c r="A405" s="6" t="s">
        <v>734</v>
      </c>
      <c r="B405" s="7" t="s">
        <v>730</v>
      </c>
      <c r="C405" s="7" t="s">
        <v>731</v>
      </c>
      <c r="D405" s="6" t="s">
        <v>18</v>
      </c>
      <c r="E405" s="7" t="s">
        <v>632</v>
      </c>
      <c r="F405" s="8"/>
      <c r="G405" s="9">
        <f>IFERROR(VLOOKUP(D405,Listas!$A$2:$B$20,2,FALSE()),999)</f>
        <v>1</v>
      </c>
      <c r="H405" s="9" t="str">
        <f t="shared" ca="1" si="6"/>
        <v>Sin fecha</v>
      </c>
      <c r="J405" s="11">
        <v>120</v>
      </c>
      <c r="K405" s="11">
        <v>120</v>
      </c>
      <c r="L405" s="12">
        <v>42247</v>
      </c>
      <c r="M405" t="s">
        <v>36</v>
      </c>
    </row>
    <row r="406" spans="1:13" ht="30" customHeight="1">
      <c r="A406" s="6" t="s">
        <v>735</v>
      </c>
      <c r="B406" s="7" t="s">
        <v>553</v>
      </c>
      <c r="C406" s="7" t="s">
        <v>736</v>
      </c>
      <c r="D406" s="6" t="s">
        <v>18</v>
      </c>
      <c r="E406" s="7" t="s">
        <v>632</v>
      </c>
      <c r="F406" s="8"/>
      <c r="G406" s="9">
        <f>IFERROR(VLOOKUP(D406,Listas!$A$2:$B$20,2,FALSE()),999)</f>
        <v>1</v>
      </c>
      <c r="H406" s="9" t="str">
        <f t="shared" ca="1" si="6"/>
        <v>Sin fecha</v>
      </c>
      <c r="J406" s="11">
        <v>120</v>
      </c>
      <c r="K406" s="11">
        <v>120</v>
      </c>
      <c r="L406" s="12">
        <v>39263</v>
      </c>
      <c r="M406" t="s">
        <v>36</v>
      </c>
    </row>
    <row r="407" spans="1:13" ht="30" customHeight="1">
      <c r="A407" s="6" t="s">
        <v>737</v>
      </c>
      <c r="B407" s="7" t="s">
        <v>553</v>
      </c>
      <c r="C407" s="7" t="s">
        <v>736</v>
      </c>
      <c r="D407" s="6" t="s">
        <v>18</v>
      </c>
      <c r="E407" s="7" t="s">
        <v>632</v>
      </c>
      <c r="F407" s="8"/>
      <c r="G407" s="9">
        <f>IFERROR(VLOOKUP(D407,Listas!$A$2:$B$20,2,FALSE()),999)</f>
        <v>1</v>
      </c>
      <c r="H407" s="9" t="str">
        <f t="shared" ca="1" si="6"/>
        <v>Sin fecha</v>
      </c>
      <c r="J407" s="11">
        <v>120</v>
      </c>
      <c r="K407" s="11">
        <v>120</v>
      </c>
      <c r="L407" s="12">
        <v>39263</v>
      </c>
      <c r="M407" t="s">
        <v>36</v>
      </c>
    </row>
    <row r="408" spans="1:13" ht="30" customHeight="1">
      <c r="A408" s="6" t="s">
        <v>738</v>
      </c>
      <c r="B408" s="7" t="s">
        <v>553</v>
      </c>
      <c r="C408" s="7" t="s">
        <v>736</v>
      </c>
      <c r="D408" s="6" t="s">
        <v>18</v>
      </c>
      <c r="E408" s="7" t="s">
        <v>632</v>
      </c>
      <c r="F408" s="8"/>
      <c r="G408" s="9">
        <f>IFERROR(VLOOKUP(D408,Listas!$A$2:$B$20,2,FALSE()),999)</f>
        <v>1</v>
      </c>
      <c r="H408" s="9" t="str">
        <f t="shared" ca="1" si="6"/>
        <v>Sin fecha</v>
      </c>
      <c r="J408" s="11">
        <v>120</v>
      </c>
      <c r="K408" s="11">
        <v>120</v>
      </c>
      <c r="L408" s="12">
        <v>39263</v>
      </c>
      <c r="M408" t="s">
        <v>36</v>
      </c>
    </row>
    <row r="409" spans="1:13" ht="30" customHeight="1">
      <c r="A409" s="6" t="s">
        <v>739</v>
      </c>
      <c r="B409" s="7" t="s">
        <v>553</v>
      </c>
      <c r="C409" s="7" t="s">
        <v>740</v>
      </c>
      <c r="D409" s="6" t="s">
        <v>18</v>
      </c>
      <c r="E409" s="7" t="s">
        <v>632</v>
      </c>
      <c r="F409" s="8"/>
      <c r="G409" s="9">
        <f>IFERROR(VLOOKUP(D409,Listas!$A$2:$B$20,2,FALSE()),999)</f>
        <v>1</v>
      </c>
      <c r="H409" s="9" t="str">
        <f t="shared" ca="1" si="6"/>
        <v>Sin fecha</v>
      </c>
      <c r="J409" s="11">
        <v>120</v>
      </c>
      <c r="K409" s="11">
        <v>120</v>
      </c>
      <c r="L409" s="12">
        <v>39263</v>
      </c>
      <c r="M409" t="s">
        <v>36</v>
      </c>
    </row>
    <row r="410" spans="1:13" ht="30" customHeight="1">
      <c r="A410" s="6" t="s">
        <v>741</v>
      </c>
      <c r="B410" s="7" t="s">
        <v>553</v>
      </c>
      <c r="C410" s="7" t="s">
        <v>740</v>
      </c>
      <c r="D410" s="6" t="s">
        <v>18</v>
      </c>
      <c r="E410" s="7" t="s">
        <v>632</v>
      </c>
      <c r="F410" s="8"/>
      <c r="G410" s="9">
        <f>IFERROR(VLOOKUP(D410,Listas!$A$2:$B$20,2,FALSE()),999)</f>
        <v>1</v>
      </c>
      <c r="H410" s="9" t="str">
        <f t="shared" ca="1" si="6"/>
        <v>Sin fecha</v>
      </c>
      <c r="J410" s="11">
        <v>120</v>
      </c>
      <c r="K410" s="11">
        <v>120</v>
      </c>
      <c r="L410" s="12">
        <v>39263</v>
      </c>
      <c r="M410" t="s">
        <v>36</v>
      </c>
    </row>
    <row r="411" spans="1:13" ht="30" customHeight="1">
      <c r="A411" s="6" t="s">
        <v>742</v>
      </c>
      <c r="B411" s="7" t="s">
        <v>553</v>
      </c>
      <c r="C411" s="7" t="s">
        <v>740</v>
      </c>
      <c r="D411" s="6" t="s">
        <v>18</v>
      </c>
      <c r="E411" s="7" t="s">
        <v>632</v>
      </c>
      <c r="F411" s="8"/>
      <c r="G411" s="9">
        <f>IFERROR(VLOOKUP(D411,Listas!$A$2:$B$20,2,FALSE()),999)</f>
        <v>1</v>
      </c>
      <c r="H411" s="9" t="str">
        <f t="shared" ca="1" si="6"/>
        <v>Sin fecha</v>
      </c>
      <c r="J411" s="11">
        <v>120</v>
      </c>
      <c r="K411" s="11">
        <v>120</v>
      </c>
      <c r="L411" s="12">
        <v>39263</v>
      </c>
      <c r="M411" t="s">
        <v>36</v>
      </c>
    </row>
    <row r="412" spans="1:13" ht="30" customHeight="1">
      <c r="A412" s="6" t="s">
        <v>743</v>
      </c>
      <c r="B412" s="7" t="s">
        <v>553</v>
      </c>
      <c r="C412" s="7" t="s">
        <v>740</v>
      </c>
      <c r="D412" s="6" t="s">
        <v>18</v>
      </c>
      <c r="E412" s="7" t="s">
        <v>632</v>
      </c>
      <c r="F412" s="8"/>
      <c r="G412" s="9">
        <f>IFERROR(VLOOKUP(D412,Listas!$A$2:$B$20,2,FALSE()),999)</f>
        <v>1</v>
      </c>
      <c r="H412" s="9" t="str">
        <f t="shared" ca="1" si="6"/>
        <v>Sin fecha</v>
      </c>
      <c r="J412" s="11">
        <v>120</v>
      </c>
      <c r="K412" s="11">
        <v>120</v>
      </c>
      <c r="L412" s="12">
        <v>39263</v>
      </c>
      <c r="M412" t="s">
        <v>36</v>
      </c>
    </row>
    <row r="413" spans="1:13" ht="30" customHeight="1">
      <c r="A413" s="6" t="s">
        <v>744</v>
      </c>
      <c r="B413" s="7" t="s">
        <v>553</v>
      </c>
      <c r="C413" s="7" t="s">
        <v>740</v>
      </c>
      <c r="D413" s="6" t="s">
        <v>18</v>
      </c>
      <c r="E413" s="7" t="s">
        <v>632</v>
      </c>
      <c r="F413" s="8"/>
      <c r="G413" s="9">
        <f>IFERROR(VLOOKUP(D413,Listas!$A$2:$B$20,2,FALSE()),999)</f>
        <v>1</v>
      </c>
      <c r="H413" s="9" t="str">
        <f t="shared" ca="1" si="6"/>
        <v>Sin fecha</v>
      </c>
      <c r="J413" s="11">
        <v>120</v>
      </c>
      <c r="K413" s="11">
        <v>120</v>
      </c>
      <c r="L413" s="12">
        <v>39263</v>
      </c>
      <c r="M413" t="s">
        <v>36</v>
      </c>
    </row>
    <row r="414" spans="1:13" ht="30" customHeight="1">
      <c r="A414" s="6" t="s">
        <v>745</v>
      </c>
      <c r="B414" s="7" t="s">
        <v>746</v>
      </c>
      <c r="C414" s="7" t="s">
        <v>747</v>
      </c>
      <c r="D414" s="6" t="s">
        <v>18</v>
      </c>
      <c r="E414" s="7" t="s">
        <v>632</v>
      </c>
      <c r="F414" s="8"/>
      <c r="G414" s="9">
        <f>IFERROR(VLOOKUP(D414,Listas!$A$2:$B$20,2,FALSE()),999)</f>
        <v>1</v>
      </c>
      <c r="H414" s="9" t="str">
        <f t="shared" ca="1" si="6"/>
        <v>Sin fecha</v>
      </c>
      <c r="J414" s="11">
        <v>120</v>
      </c>
      <c r="K414" s="11">
        <v>120</v>
      </c>
      <c r="L414" s="12">
        <v>41090</v>
      </c>
      <c r="M414" t="s">
        <v>36</v>
      </c>
    </row>
    <row r="415" spans="1:13" ht="30" customHeight="1">
      <c r="A415" s="6" t="s">
        <v>748</v>
      </c>
      <c r="B415" s="7" t="s">
        <v>746</v>
      </c>
      <c r="C415" s="7" t="s">
        <v>747</v>
      </c>
      <c r="D415" s="6" t="s">
        <v>18</v>
      </c>
      <c r="E415" s="7" t="s">
        <v>632</v>
      </c>
      <c r="F415" s="8"/>
      <c r="G415" s="9">
        <f>IFERROR(VLOOKUP(D415,Listas!$A$2:$B$20,2,FALSE()),999)</f>
        <v>1</v>
      </c>
      <c r="H415" s="9" t="str">
        <f t="shared" ca="1" si="6"/>
        <v>Sin fecha</v>
      </c>
      <c r="J415" s="11">
        <v>120</v>
      </c>
      <c r="K415" s="11">
        <v>120</v>
      </c>
      <c r="L415" s="12">
        <v>41090</v>
      </c>
      <c r="M415" t="s">
        <v>36</v>
      </c>
    </row>
    <row r="416" spans="1:13" ht="30" customHeight="1">
      <c r="A416" s="6" t="s">
        <v>749</v>
      </c>
      <c r="B416" s="7" t="s">
        <v>746</v>
      </c>
      <c r="C416" s="7" t="s">
        <v>747</v>
      </c>
      <c r="D416" s="6" t="s">
        <v>18</v>
      </c>
      <c r="E416" s="7" t="s">
        <v>632</v>
      </c>
      <c r="F416" s="8"/>
      <c r="G416" s="9">
        <f>IFERROR(VLOOKUP(D416,Listas!$A$2:$B$20,2,FALSE()),999)</f>
        <v>1</v>
      </c>
      <c r="H416" s="9" t="str">
        <f t="shared" ca="1" si="6"/>
        <v>Sin fecha</v>
      </c>
      <c r="J416" s="11">
        <v>120</v>
      </c>
      <c r="K416" s="11">
        <v>120</v>
      </c>
      <c r="L416" s="12">
        <v>41090</v>
      </c>
      <c r="M416" t="s">
        <v>36</v>
      </c>
    </row>
    <row r="417" spans="1:13" ht="30" customHeight="1">
      <c r="A417" s="6" t="s">
        <v>750</v>
      </c>
      <c r="B417" s="7" t="s">
        <v>746</v>
      </c>
      <c r="C417" s="7" t="s">
        <v>747</v>
      </c>
      <c r="D417" s="6" t="s">
        <v>18</v>
      </c>
      <c r="E417" s="7" t="s">
        <v>632</v>
      </c>
      <c r="F417" s="8"/>
      <c r="G417" s="9">
        <f>IFERROR(VLOOKUP(D417,Listas!$A$2:$B$20,2,FALSE()),999)</f>
        <v>1</v>
      </c>
      <c r="H417" s="9" t="str">
        <f t="shared" ca="1" si="6"/>
        <v>Sin fecha</v>
      </c>
      <c r="J417" s="11">
        <v>120</v>
      </c>
      <c r="K417" s="11">
        <v>120</v>
      </c>
      <c r="L417" s="12">
        <v>41090</v>
      </c>
      <c r="M417" t="s">
        <v>36</v>
      </c>
    </row>
    <row r="418" spans="1:13" ht="30" customHeight="1">
      <c r="A418" s="6" t="s">
        <v>751</v>
      </c>
      <c r="B418" s="7" t="s">
        <v>752</v>
      </c>
      <c r="C418" s="7" t="s">
        <v>753</v>
      </c>
      <c r="D418" s="6" t="s">
        <v>18</v>
      </c>
      <c r="E418" s="7" t="s">
        <v>754</v>
      </c>
      <c r="F418" s="8"/>
      <c r="G418" s="9">
        <f>IFERROR(VLOOKUP(D418,Listas!$A$2:$B$20,2,FALSE()),999)</f>
        <v>1</v>
      </c>
      <c r="H418" s="9" t="str">
        <f t="shared" ca="1" si="6"/>
        <v>Sin fecha</v>
      </c>
      <c r="J418" s="11">
        <v>120</v>
      </c>
      <c r="K418" s="11">
        <v>70</v>
      </c>
      <c r="L418" s="12">
        <v>44136</v>
      </c>
      <c r="M418" t="s">
        <v>20</v>
      </c>
    </row>
    <row r="419" spans="1:13" ht="30" customHeight="1">
      <c r="A419" s="6" t="s">
        <v>755</v>
      </c>
      <c r="B419" s="7" t="s">
        <v>756</v>
      </c>
      <c r="C419" s="7" t="s">
        <v>756</v>
      </c>
      <c r="D419" s="6" t="s">
        <v>18</v>
      </c>
      <c r="E419" s="7" t="s">
        <v>757</v>
      </c>
      <c r="F419" s="8"/>
      <c r="G419" s="9">
        <f>IFERROR(VLOOKUP(D419,Listas!$A$2:$B$20,2,FALSE()),999)</f>
        <v>1</v>
      </c>
      <c r="H419" s="9" t="str">
        <f t="shared" ca="1" si="6"/>
        <v>Sin fecha</v>
      </c>
      <c r="J419" s="11">
        <v>120</v>
      </c>
      <c r="K419" s="11">
        <v>96</v>
      </c>
      <c r="L419" s="12">
        <v>43365</v>
      </c>
      <c r="M419" t="s">
        <v>20</v>
      </c>
    </row>
    <row r="420" spans="1:13" ht="30" customHeight="1">
      <c r="A420" s="6" t="s">
        <v>758</v>
      </c>
      <c r="B420" s="7" t="s">
        <v>759</v>
      </c>
      <c r="C420" s="7" t="s">
        <v>760</v>
      </c>
      <c r="D420" s="6" t="s">
        <v>18</v>
      </c>
      <c r="E420" s="7" t="s">
        <v>757</v>
      </c>
      <c r="F420" s="8"/>
      <c r="G420" s="9">
        <f>IFERROR(VLOOKUP(D420,Listas!$A$2:$B$20,2,FALSE()),999)</f>
        <v>1</v>
      </c>
      <c r="H420" s="9" t="str">
        <f t="shared" ca="1" si="6"/>
        <v>Sin fecha</v>
      </c>
      <c r="J420" s="11">
        <v>120</v>
      </c>
      <c r="K420" s="11">
        <v>110</v>
      </c>
      <c r="L420" s="12">
        <v>42939</v>
      </c>
      <c r="M420" t="s">
        <v>20</v>
      </c>
    </row>
    <row r="421" spans="1:13" ht="30" customHeight="1">
      <c r="A421" s="6" t="s">
        <v>761</v>
      </c>
      <c r="B421" s="7" t="s">
        <v>760</v>
      </c>
      <c r="C421" s="7" t="s">
        <v>760</v>
      </c>
      <c r="D421" s="6" t="s">
        <v>18</v>
      </c>
      <c r="E421" s="7" t="s">
        <v>757</v>
      </c>
      <c r="F421" s="8"/>
      <c r="G421" s="9">
        <f>IFERROR(VLOOKUP(D421,Listas!$A$2:$B$20,2,FALSE()),999)</f>
        <v>1</v>
      </c>
      <c r="H421" s="9" t="str">
        <f t="shared" ca="1" si="6"/>
        <v>Sin fecha</v>
      </c>
      <c r="J421" s="11">
        <v>120</v>
      </c>
      <c r="K421" s="11">
        <v>110</v>
      </c>
      <c r="L421" s="12">
        <v>42939</v>
      </c>
      <c r="M421" t="s">
        <v>20</v>
      </c>
    </row>
    <row r="422" spans="1:13" ht="30" customHeight="1">
      <c r="A422" s="6" t="s">
        <v>762</v>
      </c>
      <c r="B422" s="7" t="s">
        <v>763</v>
      </c>
      <c r="C422" s="7" t="s">
        <v>764</v>
      </c>
      <c r="D422" s="6" t="s">
        <v>18</v>
      </c>
      <c r="E422" s="7" t="s">
        <v>757</v>
      </c>
      <c r="F422" s="8"/>
      <c r="G422" s="9">
        <f>IFERROR(VLOOKUP(D422,Listas!$A$2:$B$20,2,FALSE()),999)</f>
        <v>1</v>
      </c>
      <c r="H422" s="9" t="str">
        <f t="shared" ca="1" si="6"/>
        <v>Sin fecha</v>
      </c>
      <c r="J422" s="11">
        <v>120</v>
      </c>
      <c r="K422" s="11">
        <v>97</v>
      </c>
      <c r="L422" s="12">
        <v>43328</v>
      </c>
      <c r="M422" t="s">
        <v>20</v>
      </c>
    </row>
    <row r="423" spans="1:13" ht="30" customHeight="1">
      <c r="A423" s="6" t="s">
        <v>765</v>
      </c>
      <c r="B423" s="7" t="s">
        <v>763</v>
      </c>
      <c r="C423" s="7" t="s">
        <v>764</v>
      </c>
      <c r="D423" s="6" t="s">
        <v>18</v>
      </c>
      <c r="E423" s="7" t="s">
        <v>757</v>
      </c>
      <c r="F423" s="8"/>
      <c r="G423" s="9">
        <f>IFERROR(VLOOKUP(D423,Listas!$A$2:$B$20,2,FALSE()),999)</f>
        <v>1</v>
      </c>
      <c r="H423" s="9" t="str">
        <f t="shared" ca="1" si="6"/>
        <v>Sin fecha</v>
      </c>
      <c r="J423" s="11">
        <v>120</v>
      </c>
      <c r="K423" s="11">
        <v>97</v>
      </c>
      <c r="L423" s="12">
        <v>43328</v>
      </c>
      <c r="M423" t="s">
        <v>20</v>
      </c>
    </row>
    <row r="424" spans="1:13" ht="30" customHeight="1">
      <c r="A424" s="6" t="s">
        <v>766</v>
      </c>
      <c r="B424" s="7" t="s">
        <v>767</v>
      </c>
      <c r="C424" s="7" t="s">
        <v>767</v>
      </c>
      <c r="D424" s="6" t="s">
        <v>18</v>
      </c>
      <c r="E424" s="7" t="s">
        <v>757</v>
      </c>
      <c r="F424" s="8"/>
      <c r="G424" s="9">
        <f>IFERROR(VLOOKUP(D424,Listas!$A$2:$B$20,2,FALSE()),999)</f>
        <v>1</v>
      </c>
      <c r="H424" s="9" t="str">
        <f t="shared" ca="1" si="6"/>
        <v>Sin fecha</v>
      </c>
      <c r="J424" s="11">
        <v>120</v>
      </c>
      <c r="K424" s="11">
        <v>96</v>
      </c>
      <c r="L424" s="12">
        <v>43365</v>
      </c>
      <c r="M424" t="s">
        <v>20</v>
      </c>
    </row>
    <row r="425" spans="1:13" ht="30" customHeight="1">
      <c r="A425" s="6" t="s">
        <v>768</v>
      </c>
      <c r="B425" s="7" t="s">
        <v>769</v>
      </c>
      <c r="C425" s="7" t="s">
        <v>769</v>
      </c>
      <c r="D425" s="6" t="s">
        <v>18</v>
      </c>
      <c r="E425" s="7" t="s">
        <v>757</v>
      </c>
      <c r="F425" s="8"/>
      <c r="G425" s="9">
        <f>IFERROR(VLOOKUP(D425,Listas!$A$2:$B$20,2,FALSE()),999)</f>
        <v>1</v>
      </c>
      <c r="H425" s="9" t="str">
        <f t="shared" ca="1" si="6"/>
        <v>Sin fecha</v>
      </c>
      <c r="J425" s="11">
        <v>120</v>
      </c>
      <c r="K425" s="11">
        <v>92</v>
      </c>
      <c r="L425" s="12">
        <v>43478</v>
      </c>
      <c r="M425" t="s">
        <v>20</v>
      </c>
    </row>
    <row r="426" spans="1:13" ht="30" customHeight="1">
      <c r="A426" s="6" t="s">
        <v>770</v>
      </c>
      <c r="B426" s="7" t="s">
        <v>771</v>
      </c>
      <c r="C426" s="7" t="s">
        <v>771</v>
      </c>
      <c r="D426" s="6" t="s">
        <v>18</v>
      </c>
      <c r="E426" s="7" t="s">
        <v>757</v>
      </c>
      <c r="F426" s="8"/>
      <c r="G426" s="9">
        <f>IFERROR(VLOOKUP(D426,Listas!$A$2:$B$20,2,FALSE()),999)</f>
        <v>1</v>
      </c>
      <c r="H426" s="9" t="str">
        <f t="shared" ca="1" si="6"/>
        <v>Sin fecha</v>
      </c>
      <c r="J426" s="11">
        <v>60</v>
      </c>
      <c r="K426" s="11">
        <v>60</v>
      </c>
      <c r="L426" s="12">
        <v>43112</v>
      </c>
      <c r="M426" t="s">
        <v>36</v>
      </c>
    </row>
    <row r="427" spans="1:13" ht="30" customHeight="1">
      <c r="A427" s="6" t="s">
        <v>772</v>
      </c>
      <c r="B427" s="7" t="s">
        <v>773</v>
      </c>
      <c r="C427" s="7" t="s">
        <v>773</v>
      </c>
      <c r="D427" s="6" t="s">
        <v>18</v>
      </c>
      <c r="E427" s="7" t="s">
        <v>757</v>
      </c>
      <c r="F427" s="8"/>
      <c r="G427" s="9">
        <f>IFERROR(VLOOKUP(D427,Listas!$A$2:$B$20,2,FALSE()),999)</f>
        <v>1</v>
      </c>
      <c r="H427" s="9" t="str">
        <f t="shared" ca="1" si="6"/>
        <v>Sin fecha</v>
      </c>
      <c r="J427" s="11">
        <v>120</v>
      </c>
      <c r="K427" s="11">
        <v>105</v>
      </c>
      <c r="L427" s="12">
        <v>43084</v>
      </c>
      <c r="M427" t="s">
        <v>20</v>
      </c>
    </row>
    <row r="428" spans="1:13" ht="30" customHeight="1">
      <c r="A428" s="6" t="s">
        <v>774</v>
      </c>
      <c r="B428" s="7" t="s">
        <v>775</v>
      </c>
      <c r="C428" s="7" t="s">
        <v>776</v>
      </c>
      <c r="D428" s="6" t="s">
        <v>18</v>
      </c>
      <c r="E428" s="7" t="s">
        <v>757</v>
      </c>
      <c r="F428" s="8"/>
      <c r="G428" s="9">
        <f>IFERROR(VLOOKUP(D428,Listas!$A$2:$B$20,2,FALSE()),999)</f>
        <v>1</v>
      </c>
      <c r="H428" s="9" t="str">
        <f t="shared" ca="1" si="6"/>
        <v>Sin fecha</v>
      </c>
      <c r="J428" s="11">
        <v>120</v>
      </c>
      <c r="K428" s="11">
        <v>101</v>
      </c>
      <c r="L428" s="12">
        <v>43212</v>
      </c>
      <c r="M428" t="s">
        <v>20</v>
      </c>
    </row>
    <row r="429" spans="1:13" ht="30" customHeight="1">
      <c r="A429" s="6" t="s">
        <v>777</v>
      </c>
      <c r="B429" s="7" t="s">
        <v>778</v>
      </c>
      <c r="C429" s="7" t="s">
        <v>779</v>
      </c>
      <c r="D429" s="6" t="s">
        <v>18</v>
      </c>
      <c r="E429" s="7" t="s">
        <v>757</v>
      </c>
      <c r="F429" s="8"/>
      <c r="G429" s="9">
        <f>IFERROR(VLOOKUP(D429,Listas!$A$2:$B$20,2,FALSE()),999)</f>
        <v>1</v>
      </c>
      <c r="H429" s="9" t="str">
        <f t="shared" ca="1" si="6"/>
        <v>Sin fecha</v>
      </c>
      <c r="J429" s="11">
        <v>60</v>
      </c>
      <c r="K429" s="11">
        <v>60</v>
      </c>
      <c r="L429" s="12">
        <v>42986</v>
      </c>
      <c r="M429" t="s">
        <v>36</v>
      </c>
    </row>
    <row r="430" spans="1:13" ht="30" customHeight="1">
      <c r="A430" s="6" t="s">
        <v>780</v>
      </c>
      <c r="B430" s="7" t="s">
        <v>781</v>
      </c>
      <c r="C430" s="7" t="s">
        <v>781</v>
      </c>
      <c r="D430" s="6" t="s">
        <v>18</v>
      </c>
      <c r="E430" s="7" t="s">
        <v>757</v>
      </c>
      <c r="F430" s="8"/>
      <c r="G430" s="9">
        <f>IFERROR(VLOOKUP(D430,Listas!$A$2:$B$20,2,FALSE()),999)</f>
        <v>1</v>
      </c>
      <c r="H430" s="9" t="str">
        <f t="shared" ca="1" si="6"/>
        <v>Sin fecha</v>
      </c>
      <c r="J430" s="11">
        <v>120</v>
      </c>
      <c r="K430" s="11">
        <v>92</v>
      </c>
      <c r="L430" s="12">
        <v>43481</v>
      </c>
      <c r="M430" t="s">
        <v>20</v>
      </c>
    </row>
    <row r="431" spans="1:13" ht="30" customHeight="1">
      <c r="A431" s="6" t="s">
        <v>782</v>
      </c>
      <c r="B431" s="7" t="s">
        <v>783</v>
      </c>
      <c r="C431" s="7" t="s">
        <v>784</v>
      </c>
      <c r="D431" s="6" t="s">
        <v>18</v>
      </c>
      <c r="E431" s="7" t="s">
        <v>757</v>
      </c>
      <c r="F431" s="8"/>
      <c r="G431" s="9">
        <f>IFERROR(VLOOKUP(D431,Listas!$A$2:$B$20,2,FALSE()),999)</f>
        <v>1</v>
      </c>
      <c r="H431" s="9" t="str">
        <f t="shared" ca="1" si="6"/>
        <v>Sin fecha</v>
      </c>
      <c r="J431" s="11">
        <v>1</v>
      </c>
      <c r="K431" s="11">
        <v>1</v>
      </c>
      <c r="L431" s="12">
        <v>42886</v>
      </c>
      <c r="M431" t="s">
        <v>36</v>
      </c>
    </row>
    <row r="432" spans="1:13" ht="30" customHeight="1">
      <c r="A432" s="6" t="s">
        <v>785</v>
      </c>
      <c r="B432" s="7" t="s">
        <v>786</v>
      </c>
      <c r="C432" s="7" t="s">
        <v>787</v>
      </c>
      <c r="D432" s="6" t="s">
        <v>18</v>
      </c>
      <c r="E432" s="7" t="s">
        <v>757</v>
      </c>
      <c r="F432" s="8"/>
      <c r="G432" s="9">
        <f>IFERROR(VLOOKUP(D432,Listas!$A$2:$B$20,2,FALSE()),999)</f>
        <v>1</v>
      </c>
      <c r="H432" s="9" t="str">
        <f t="shared" ca="1" si="6"/>
        <v>Sin fecha</v>
      </c>
      <c r="J432" s="11">
        <v>120</v>
      </c>
      <c r="K432" s="11">
        <v>120</v>
      </c>
      <c r="L432" s="12">
        <v>42155</v>
      </c>
      <c r="M432" t="s">
        <v>36</v>
      </c>
    </row>
    <row r="433" spans="1:13" ht="30" customHeight="1">
      <c r="A433" s="6" t="s">
        <v>788</v>
      </c>
      <c r="B433" s="7" t="s">
        <v>789</v>
      </c>
      <c r="C433" s="7" t="s">
        <v>790</v>
      </c>
      <c r="D433" s="6" t="s">
        <v>18</v>
      </c>
      <c r="E433" s="7" t="s">
        <v>757</v>
      </c>
      <c r="F433" s="8"/>
      <c r="G433" s="9">
        <f>IFERROR(VLOOKUP(D433,Listas!$A$2:$B$20,2,FALSE()),999)</f>
        <v>1</v>
      </c>
      <c r="H433" s="9" t="str">
        <f t="shared" ca="1" si="6"/>
        <v>Sin fecha</v>
      </c>
      <c r="J433" s="11">
        <v>120</v>
      </c>
      <c r="K433" s="11">
        <v>98</v>
      </c>
      <c r="L433" s="12">
        <v>43296</v>
      </c>
      <c r="M433" t="s">
        <v>20</v>
      </c>
    </row>
    <row r="434" spans="1:13" ht="30" customHeight="1">
      <c r="A434" s="6" t="s">
        <v>791</v>
      </c>
      <c r="B434" s="7" t="s">
        <v>789</v>
      </c>
      <c r="C434" s="7" t="s">
        <v>790</v>
      </c>
      <c r="D434" s="6" t="s">
        <v>18</v>
      </c>
      <c r="E434" s="7" t="s">
        <v>757</v>
      </c>
      <c r="F434" s="8"/>
      <c r="G434" s="9">
        <f>IFERROR(VLOOKUP(D434,Listas!$A$2:$B$20,2,FALSE()),999)</f>
        <v>1</v>
      </c>
      <c r="H434" s="9" t="str">
        <f t="shared" ca="1" si="6"/>
        <v>Sin fecha</v>
      </c>
      <c r="J434" s="11">
        <v>120</v>
      </c>
      <c r="K434" s="11">
        <v>98</v>
      </c>
      <c r="L434" s="12">
        <v>43296</v>
      </c>
      <c r="M434" t="s">
        <v>20</v>
      </c>
    </row>
    <row r="435" spans="1:13" ht="30" customHeight="1">
      <c r="A435" s="6" t="s">
        <v>792</v>
      </c>
      <c r="B435" s="7" t="s">
        <v>789</v>
      </c>
      <c r="C435" s="7" t="s">
        <v>790</v>
      </c>
      <c r="D435" s="6" t="s">
        <v>18</v>
      </c>
      <c r="E435" s="7" t="s">
        <v>757</v>
      </c>
      <c r="F435" s="8"/>
      <c r="G435" s="9">
        <f>IFERROR(VLOOKUP(D435,Listas!$A$2:$B$20,2,FALSE()),999)</f>
        <v>1</v>
      </c>
      <c r="H435" s="9" t="str">
        <f t="shared" ca="1" si="6"/>
        <v>Sin fecha</v>
      </c>
      <c r="J435" s="11">
        <v>120</v>
      </c>
      <c r="K435" s="11">
        <v>98</v>
      </c>
      <c r="L435" s="12">
        <v>43296</v>
      </c>
      <c r="M435" t="s">
        <v>20</v>
      </c>
    </row>
    <row r="436" spans="1:13" ht="30" customHeight="1">
      <c r="A436" s="6" t="s">
        <v>793</v>
      </c>
      <c r="B436" s="7" t="s">
        <v>789</v>
      </c>
      <c r="C436" s="7" t="s">
        <v>790</v>
      </c>
      <c r="D436" s="6" t="s">
        <v>18</v>
      </c>
      <c r="E436" s="7" t="s">
        <v>757</v>
      </c>
      <c r="F436" s="8"/>
      <c r="G436" s="9">
        <f>IFERROR(VLOOKUP(D436,Listas!$A$2:$B$20,2,FALSE()),999)</f>
        <v>1</v>
      </c>
      <c r="H436" s="9" t="str">
        <f t="shared" ca="1" si="6"/>
        <v>Sin fecha</v>
      </c>
      <c r="J436" s="11">
        <v>120</v>
      </c>
      <c r="K436" s="11">
        <v>98</v>
      </c>
      <c r="L436" s="12">
        <v>43296</v>
      </c>
      <c r="M436" t="s">
        <v>20</v>
      </c>
    </row>
    <row r="437" spans="1:13" ht="30" customHeight="1">
      <c r="A437" s="6" t="s">
        <v>794</v>
      </c>
      <c r="B437" s="7" t="s">
        <v>795</v>
      </c>
      <c r="C437" s="7" t="s">
        <v>796</v>
      </c>
      <c r="D437" s="6" t="s">
        <v>18</v>
      </c>
      <c r="E437" s="7" t="s">
        <v>757</v>
      </c>
      <c r="F437" s="8"/>
      <c r="G437" s="9">
        <f>IFERROR(VLOOKUP(D437,Listas!$A$2:$B$20,2,FALSE()),999)</f>
        <v>1</v>
      </c>
      <c r="H437" s="9" t="str">
        <f t="shared" ca="1" si="6"/>
        <v>Sin fecha</v>
      </c>
      <c r="J437" s="11">
        <v>120</v>
      </c>
      <c r="K437" s="11">
        <v>93</v>
      </c>
      <c r="L437" s="12">
        <v>43462</v>
      </c>
      <c r="M437" t="s">
        <v>20</v>
      </c>
    </row>
    <row r="438" spans="1:13" ht="30" customHeight="1">
      <c r="A438" s="6" t="s">
        <v>797</v>
      </c>
      <c r="B438" s="7" t="s">
        <v>795</v>
      </c>
      <c r="C438" s="7" t="s">
        <v>796</v>
      </c>
      <c r="D438" s="6" t="s">
        <v>18</v>
      </c>
      <c r="E438" s="7" t="s">
        <v>757</v>
      </c>
      <c r="F438" s="8"/>
      <c r="G438" s="9">
        <f>IFERROR(VLOOKUP(D438,Listas!$A$2:$B$20,2,FALSE()),999)</f>
        <v>1</v>
      </c>
      <c r="H438" s="9" t="str">
        <f t="shared" ca="1" si="6"/>
        <v>Sin fecha</v>
      </c>
      <c r="J438" s="11">
        <v>120</v>
      </c>
      <c r="K438" s="11">
        <v>93</v>
      </c>
      <c r="L438" s="12">
        <v>43462</v>
      </c>
      <c r="M438" t="s">
        <v>20</v>
      </c>
    </row>
    <row r="439" spans="1:13" ht="30" customHeight="1">
      <c r="A439" s="6" t="s">
        <v>798</v>
      </c>
      <c r="B439" s="7" t="s">
        <v>795</v>
      </c>
      <c r="C439" s="7" t="s">
        <v>796</v>
      </c>
      <c r="D439" s="6" t="s">
        <v>18</v>
      </c>
      <c r="E439" s="7" t="s">
        <v>757</v>
      </c>
      <c r="F439" s="8"/>
      <c r="G439" s="9">
        <f>IFERROR(VLOOKUP(D439,Listas!$A$2:$B$20,2,FALSE()),999)</f>
        <v>1</v>
      </c>
      <c r="H439" s="9" t="str">
        <f t="shared" ca="1" si="6"/>
        <v>Sin fecha</v>
      </c>
      <c r="J439" s="11">
        <v>120</v>
      </c>
      <c r="K439" s="11">
        <v>93</v>
      </c>
      <c r="L439" s="12">
        <v>43462</v>
      </c>
      <c r="M439" t="s">
        <v>20</v>
      </c>
    </row>
    <row r="440" spans="1:13" ht="30" customHeight="1">
      <c r="A440" s="6" t="s">
        <v>799</v>
      </c>
      <c r="B440" s="7" t="s">
        <v>795</v>
      </c>
      <c r="C440" s="7" t="s">
        <v>796</v>
      </c>
      <c r="D440" s="6" t="s">
        <v>18</v>
      </c>
      <c r="E440" s="7" t="s">
        <v>757</v>
      </c>
      <c r="F440" s="8"/>
      <c r="G440" s="9">
        <f>IFERROR(VLOOKUP(D440,Listas!$A$2:$B$20,2,FALSE()),999)</f>
        <v>1</v>
      </c>
      <c r="H440" s="9" t="str">
        <f t="shared" ca="1" si="6"/>
        <v>Sin fecha</v>
      </c>
      <c r="J440" s="11">
        <v>120</v>
      </c>
      <c r="K440" s="11">
        <v>93</v>
      </c>
      <c r="L440" s="12">
        <v>43462</v>
      </c>
      <c r="M440" t="s">
        <v>20</v>
      </c>
    </row>
    <row r="441" spans="1:13" ht="30" customHeight="1">
      <c r="A441" s="6" t="s">
        <v>800</v>
      </c>
      <c r="B441" s="7" t="s">
        <v>801</v>
      </c>
      <c r="C441" s="7" t="s">
        <v>802</v>
      </c>
      <c r="D441" s="6" t="s">
        <v>18</v>
      </c>
      <c r="E441" s="7" t="s">
        <v>757</v>
      </c>
      <c r="F441" s="8"/>
      <c r="G441" s="9">
        <f>IFERROR(VLOOKUP(D441,Listas!$A$2:$B$20,2,FALSE()),999)</f>
        <v>1</v>
      </c>
      <c r="H441" s="9" t="str">
        <f t="shared" ca="1" si="6"/>
        <v>Sin fecha</v>
      </c>
      <c r="J441" s="11">
        <v>120</v>
      </c>
      <c r="K441" s="11">
        <v>105</v>
      </c>
      <c r="L441" s="12">
        <v>43084</v>
      </c>
      <c r="M441" t="s">
        <v>20</v>
      </c>
    </row>
    <row r="442" spans="1:13" ht="30" customHeight="1">
      <c r="A442" s="6" t="s">
        <v>803</v>
      </c>
      <c r="B442" s="7" t="s">
        <v>804</v>
      </c>
      <c r="C442" s="7" t="s">
        <v>805</v>
      </c>
      <c r="D442" s="6" t="s">
        <v>18</v>
      </c>
      <c r="E442" s="7" t="s">
        <v>757</v>
      </c>
      <c r="F442" s="8"/>
      <c r="G442" s="9">
        <f>IFERROR(VLOOKUP(D442,Listas!$A$2:$B$20,2,FALSE()),999)</f>
        <v>1</v>
      </c>
      <c r="H442" s="9" t="str">
        <f t="shared" ca="1" si="6"/>
        <v>Sin fecha</v>
      </c>
      <c r="J442" s="11">
        <v>120</v>
      </c>
      <c r="K442" s="11">
        <v>97</v>
      </c>
      <c r="L442" s="12">
        <v>43321</v>
      </c>
      <c r="M442" t="s">
        <v>20</v>
      </c>
    </row>
    <row r="443" spans="1:13" ht="30" customHeight="1">
      <c r="A443" s="6" t="s">
        <v>806</v>
      </c>
      <c r="B443" s="7" t="s">
        <v>807</v>
      </c>
      <c r="C443" s="7" t="s">
        <v>808</v>
      </c>
      <c r="D443" s="6" t="s">
        <v>18</v>
      </c>
      <c r="E443" s="7" t="s">
        <v>757</v>
      </c>
      <c r="F443" s="8"/>
      <c r="G443" s="9">
        <f>IFERROR(VLOOKUP(D443,Listas!$A$2:$B$20,2,FALSE()),999)</f>
        <v>1</v>
      </c>
      <c r="H443" s="9" t="str">
        <f t="shared" ca="1" si="6"/>
        <v>Sin fecha</v>
      </c>
      <c r="J443" s="11">
        <v>120</v>
      </c>
      <c r="K443" s="11">
        <v>93</v>
      </c>
      <c r="L443" s="12">
        <v>43462</v>
      </c>
      <c r="M443" t="s">
        <v>20</v>
      </c>
    </row>
    <row r="444" spans="1:13" ht="30" customHeight="1">
      <c r="A444" s="6" t="s">
        <v>809</v>
      </c>
      <c r="B444" s="7" t="s">
        <v>807</v>
      </c>
      <c r="C444" s="7" t="s">
        <v>808</v>
      </c>
      <c r="D444" s="6" t="s">
        <v>18</v>
      </c>
      <c r="E444" s="7" t="s">
        <v>757</v>
      </c>
      <c r="F444" s="8"/>
      <c r="G444" s="9">
        <f>IFERROR(VLOOKUP(D444,Listas!$A$2:$B$20,2,FALSE()),999)</f>
        <v>1</v>
      </c>
      <c r="H444" s="9" t="str">
        <f t="shared" ca="1" si="6"/>
        <v>Sin fecha</v>
      </c>
      <c r="J444" s="11">
        <v>120</v>
      </c>
      <c r="K444" s="11">
        <v>93</v>
      </c>
      <c r="L444" s="12">
        <v>43462</v>
      </c>
      <c r="M444" t="s">
        <v>20</v>
      </c>
    </row>
    <row r="445" spans="1:13" ht="30" customHeight="1">
      <c r="A445" s="6" t="s">
        <v>810</v>
      </c>
      <c r="B445" s="7" t="s">
        <v>807</v>
      </c>
      <c r="C445" s="7" t="s">
        <v>808</v>
      </c>
      <c r="D445" s="6" t="s">
        <v>18</v>
      </c>
      <c r="E445" s="7" t="s">
        <v>757</v>
      </c>
      <c r="F445" s="8"/>
      <c r="G445" s="9">
        <f>IFERROR(VLOOKUP(D445,Listas!$A$2:$B$20,2,FALSE()),999)</f>
        <v>1</v>
      </c>
      <c r="H445" s="9" t="str">
        <f t="shared" ca="1" si="6"/>
        <v>Sin fecha</v>
      </c>
      <c r="J445" s="11">
        <v>120</v>
      </c>
      <c r="K445" s="11">
        <v>93</v>
      </c>
      <c r="L445" s="12">
        <v>43462</v>
      </c>
      <c r="M445" t="s">
        <v>20</v>
      </c>
    </row>
    <row r="446" spans="1:13" ht="30" customHeight="1">
      <c r="A446" s="6" t="s">
        <v>811</v>
      </c>
      <c r="B446" s="7" t="s">
        <v>807</v>
      </c>
      <c r="C446" s="7" t="s">
        <v>808</v>
      </c>
      <c r="D446" s="6" t="s">
        <v>18</v>
      </c>
      <c r="E446" s="7" t="s">
        <v>757</v>
      </c>
      <c r="F446" s="8"/>
      <c r="G446" s="9">
        <f>IFERROR(VLOOKUP(D446,Listas!$A$2:$B$20,2,FALSE()),999)</f>
        <v>1</v>
      </c>
      <c r="H446" s="9" t="str">
        <f t="shared" ca="1" si="6"/>
        <v>Sin fecha</v>
      </c>
      <c r="J446" s="11">
        <v>120</v>
      </c>
      <c r="K446" s="11">
        <v>93</v>
      </c>
      <c r="L446" s="12">
        <v>43462</v>
      </c>
      <c r="M446" t="s">
        <v>20</v>
      </c>
    </row>
    <row r="447" spans="1:13" ht="30" customHeight="1">
      <c r="A447" s="6" t="s">
        <v>812</v>
      </c>
      <c r="B447" s="7" t="s">
        <v>807</v>
      </c>
      <c r="C447" s="7" t="s">
        <v>808</v>
      </c>
      <c r="D447" s="6" t="s">
        <v>18</v>
      </c>
      <c r="E447" s="7" t="s">
        <v>757</v>
      </c>
      <c r="F447" s="8"/>
      <c r="G447" s="9">
        <f>IFERROR(VLOOKUP(D447,Listas!$A$2:$B$20,2,FALSE()),999)</f>
        <v>1</v>
      </c>
      <c r="H447" s="9" t="str">
        <f t="shared" ca="1" si="6"/>
        <v>Sin fecha</v>
      </c>
      <c r="J447" s="11">
        <v>120</v>
      </c>
      <c r="K447" s="11">
        <v>93</v>
      </c>
      <c r="L447" s="12">
        <v>43462</v>
      </c>
      <c r="M447" t="s">
        <v>20</v>
      </c>
    </row>
    <row r="448" spans="1:13" ht="30" customHeight="1">
      <c r="A448" s="6" t="s">
        <v>813</v>
      </c>
      <c r="B448" s="7" t="s">
        <v>807</v>
      </c>
      <c r="C448" s="7" t="s">
        <v>808</v>
      </c>
      <c r="D448" s="6" t="s">
        <v>18</v>
      </c>
      <c r="E448" s="7" t="s">
        <v>757</v>
      </c>
      <c r="F448" s="8"/>
      <c r="G448" s="9">
        <f>IFERROR(VLOOKUP(D448,Listas!$A$2:$B$20,2,FALSE()),999)</f>
        <v>1</v>
      </c>
      <c r="H448" s="9" t="str">
        <f t="shared" ca="1" si="6"/>
        <v>Sin fecha</v>
      </c>
      <c r="J448" s="11">
        <v>120</v>
      </c>
      <c r="K448" s="11">
        <v>93</v>
      </c>
      <c r="L448" s="12">
        <v>43462</v>
      </c>
      <c r="M448" t="s">
        <v>20</v>
      </c>
    </row>
    <row r="449" spans="1:13" ht="30" customHeight="1">
      <c r="A449" s="6" t="s">
        <v>814</v>
      </c>
      <c r="B449" s="7" t="s">
        <v>807</v>
      </c>
      <c r="C449" s="7" t="s">
        <v>808</v>
      </c>
      <c r="D449" s="6" t="s">
        <v>18</v>
      </c>
      <c r="E449" s="7" t="s">
        <v>757</v>
      </c>
      <c r="F449" s="8"/>
      <c r="G449" s="9">
        <f>IFERROR(VLOOKUP(D449,Listas!$A$2:$B$20,2,FALSE()),999)</f>
        <v>1</v>
      </c>
      <c r="H449" s="9" t="str">
        <f t="shared" ca="1" si="6"/>
        <v>Sin fecha</v>
      </c>
      <c r="J449" s="11">
        <v>120</v>
      </c>
      <c r="K449" s="11">
        <v>93</v>
      </c>
      <c r="L449" s="12">
        <v>43462</v>
      </c>
      <c r="M449" t="s">
        <v>20</v>
      </c>
    </row>
    <row r="450" spans="1:13" ht="30" customHeight="1">
      <c r="A450" s="6" t="s">
        <v>815</v>
      </c>
      <c r="B450" s="7" t="s">
        <v>807</v>
      </c>
      <c r="C450" s="7" t="s">
        <v>808</v>
      </c>
      <c r="D450" s="6" t="s">
        <v>18</v>
      </c>
      <c r="E450" s="7" t="s">
        <v>757</v>
      </c>
      <c r="F450" s="8"/>
      <c r="G450" s="9">
        <f>IFERROR(VLOOKUP(D450,Listas!$A$2:$B$20,2,FALSE()),999)</f>
        <v>1</v>
      </c>
      <c r="H450" s="9" t="str">
        <f t="shared" ca="1" si="6"/>
        <v>Sin fecha</v>
      </c>
      <c r="J450" s="11">
        <v>120</v>
      </c>
      <c r="K450" s="11">
        <v>93</v>
      </c>
      <c r="L450" s="12">
        <v>43462</v>
      </c>
      <c r="M450" t="s">
        <v>20</v>
      </c>
    </row>
    <row r="451" spans="1:13" ht="30" customHeight="1">
      <c r="A451" s="6" t="s">
        <v>816</v>
      </c>
      <c r="B451" s="7" t="s">
        <v>807</v>
      </c>
      <c r="C451" s="7" t="s">
        <v>808</v>
      </c>
      <c r="D451" s="6" t="s">
        <v>18</v>
      </c>
      <c r="E451" s="7" t="s">
        <v>757</v>
      </c>
      <c r="F451" s="8"/>
      <c r="G451" s="9">
        <f>IFERROR(VLOOKUP(D451,Listas!$A$2:$B$20,2,FALSE()),999)</f>
        <v>1</v>
      </c>
      <c r="H451" s="9" t="str">
        <f t="shared" ca="1" si="6"/>
        <v>Sin fecha</v>
      </c>
      <c r="J451" s="11">
        <v>120</v>
      </c>
      <c r="K451" s="11">
        <v>93</v>
      </c>
      <c r="L451" s="12">
        <v>43462</v>
      </c>
      <c r="M451" t="s">
        <v>20</v>
      </c>
    </row>
    <row r="452" spans="1:13" ht="30" customHeight="1">
      <c r="A452" s="6" t="s">
        <v>817</v>
      </c>
      <c r="B452" s="7" t="s">
        <v>807</v>
      </c>
      <c r="C452" s="7" t="s">
        <v>808</v>
      </c>
      <c r="D452" s="6" t="s">
        <v>18</v>
      </c>
      <c r="E452" s="7" t="s">
        <v>757</v>
      </c>
      <c r="F452" s="8"/>
      <c r="G452" s="9">
        <f>IFERROR(VLOOKUP(D452,Listas!$A$2:$B$20,2,FALSE()),999)</f>
        <v>1</v>
      </c>
      <c r="H452" s="9" t="str">
        <f t="shared" ca="1" si="6"/>
        <v>Sin fecha</v>
      </c>
      <c r="J452" s="11">
        <v>120</v>
      </c>
      <c r="K452" s="11">
        <v>93</v>
      </c>
      <c r="L452" s="12">
        <v>43462</v>
      </c>
      <c r="M452" t="s">
        <v>20</v>
      </c>
    </row>
    <row r="453" spans="1:13" ht="30" customHeight="1">
      <c r="A453" s="6" t="s">
        <v>818</v>
      </c>
      <c r="B453" s="7" t="s">
        <v>819</v>
      </c>
      <c r="C453" s="7" t="s">
        <v>819</v>
      </c>
      <c r="D453" s="6" t="s">
        <v>18</v>
      </c>
      <c r="E453" s="7" t="s">
        <v>757</v>
      </c>
      <c r="F453" s="8"/>
      <c r="G453" s="9">
        <f>IFERROR(VLOOKUP(D453,Listas!$A$2:$B$20,2,FALSE()),999)</f>
        <v>1</v>
      </c>
      <c r="H453" s="9" t="str">
        <f t="shared" ref="H453:H516" ca="1" si="7">IF(F453="","Sin fecha",IF(TODAY()-F453&gt;180,"Revisar",IF(TODAY()-F453&gt;90,"Próximo","Vigente")))</f>
        <v>Sin fecha</v>
      </c>
      <c r="J453" s="11">
        <v>120</v>
      </c>
      <c r="K453" s="11">
        <v>45</v>
      </c>
      <c r="L453" s="12">
        <v>44896</v>
      </c>
      <c r="M453" t="s">
        <v>20</v>
      </c>
    </row>
    <row r="454" spans="1:13" ht="30" customHeight="1">
      <c r="A454" s="6" t="s">
        <v>820</v>
      </c>
      <c r="B454" s="7" t="s">
        <v>821</v>
      </c>
      <c r="C454" s="7" t="s">
        <v>822</v>
      </c>
      <c r="D454" s="6" t="s">
        <v>18</v>
      </c>
      <c r="E454" s="7" t="s">
        <v>757</v>
      </c>
      <c r="F454" s="8"/>
      <c r="G454" s="9">
        <f>IFERROR(VLOOKUP(D454,Listas!$A$2:$B$20,2,FALSE()),999)</f>
        <v>1</v>
      </c>
      <c r="H454" s="9" t="str">
        <f t="shared" ca="1" si="7"/>
        <v>Sin fecha</v>
      </c>
      <c r="J454" s="11">
        <v>120</v>
      </c>
      <c r="K454" s="11">
        <v>105</v>
      </c>
      <c r="L454" s="12">
        <v>43084</v>
      </c>
      <c r="M454" t="s">
        <v>20</v>
      </c>
    </row>
    <row r="455" spans="1:13" ht="30" customHeight="1">
      <c r="A455" s="6" t="s">
        <v>823</v>
      </c>
      <c r="B455" s="7" t="s">
        <v>824</v>
      </c>
      <c r="C455" s="7" t="s">
        <v>822</v>
      </c>
      <c r="D455" s="6" t="s">
        <v>18</v>
      </c>
      <c r="E455" s="7" t="s">
        <v>757</v>
      </c>
      <c r="F455" s="8"/>
      <c r="G455" s="9">
        <f>IFERROR(VLOOKUP(D455,Listas!$A$2:$B$20,2,FALSE()),999)</f>
        <v>1</v>
      </c>
      <c r="H455" s="9" t="str">
        <f t="shared" ca="1" si="7"/>
        <v>Sin fecha</v>
      </c>
      <c r="J455" s="11">
        <v>120</v>
      </c>
      <c r="K455" s="11">
        <v>105</v>
      </c>
      <c r="L455" s="12">
        <v>43084</v>
      </c>
      <c r="M455" t="s">
        <v>20</v>
      </c>
    </row>
    <row r="456" spans="1:13" ht="30" customHeight="1">
      <c r="A456" s="6" t="s">
        <v>825</v>
      </c>
      <c r="B456" s="7" t="s">
        <v>824</v>
      </c>
      <c r="C456" s="7" t="s">
        <v>822</v>
      </c>
      <c r="D456" s="6" t="s">
        <v>18</v>
      </c>
      <c r="E456" s="7" t="s">
        <v>757</v>
      </c>
      <c r="F456" s="8"/>
      <c r="G456" s="9">
        <f>IFERROR(VLOOKUP(D456,Listas!$A$2:$B$20,2,FALSE()),999)</f>
        <v>1</v>
      </c>
      <c r="H456" s="9" t="str">
        <f t="shared" ca="1" si="7"/>
        <v>Sin fecha</v>
      </c>
      <c r="J456" s="11">
        <v>120</v>
      </c>
      <c r="K456" s="11">
        <v>105</v>
      </c>
      <c r="L456" s="12">
        <v>43084</v>
      </c>
      <c r="M456" t="s">
        <v>20</v>
      </c>
    </row>
    <row r="457" spans="1:13" ht="30" customHeight="1">
      <c r="A457" s="6" t="s">
        <v>826</v>
      </c>
      <c r="B457" s="7" t="s">
        <v>824</v>
      </c>
      <c r="C457" s="7" t="s">
        <v>822</v>
      </c>
      <c r="D457" s="6" t="s">
        <v>18</v>
      </c>
      <c r="E457" s="7" t="s">
        <v>757</v>
      </c>
      <c r="F457" s="8"/>
      <c r="G457" s="9">
        <f>IFERROR(VLOOKUP(D457,Listas!$A$2:$B$20,2,FALSE()),999)</f>
        <v>1</v>
      </c>
      <c r="H457" s="9" t="str">
        <f t="shared" ca="1" si="7"/>
        <v>Sin fecha</v>
      </c>
      <c r="J457" s="11">
        <v>120</v>
      </c>
      <c r="K457" s="11">
        <v>105</v>
      </c>
      <c r="L457" s="12">
        <v>43084</v>
      </c>
      <c r="M457" t="s">
        <v>20</v>
      </c>
    </row>
    <row r="458" spans="1:13" ht="30" customHeight="1">
      <c r="A458" s="6" t="s">
        <v>827</v>
      </c>
      <c r="B458" s="7" t="s">
        <v>828</v>
      </c>
      <c r="C458" s="7" t="s">
        <v>829</v>
      </c>
      <c r="D458" s="6" t="s">
        <v>18</v>
      </c>
      <c r="E458" s="7" t="s">
        <v>757</v>
      </c>
      <c r="F458" s="8"/>
      <c r="G458" s="9">
        <f>IFERROR(VLOOKUP(D458,Listas!$A$2:$B$20,2,FALSE()),999)</f>
        <v>1</v>
      </c>
      <c r="H458" s="9" t="str">
        <f t="shared" ca="1" si="7"/>
        <v>Sin fecha</v>
      </c>
      <c r="J458" s="11">
        <v>120</v>
      </c>
      <c r="K458" s="11">
        <v>110</v>
      </c>
      <c r="L458" s="12">
        <v>42939</v>
      </c>
      <c r="M458" t="s">
        <v>20</v>
      </c>
    </row>
    <row r="459" spans="1:13" ht="30" customHeight="1">
      <c r="A459" s="6" t="s">
        <v>830</v>
      </c>
      <c r="B459" s="7" t="s">
        <v>831</v>
      </c>
      <c r="C459" s="7" t="s">
        <v>829</v>
      </c>
      <c r="D459" s="6" t="s">
        <v>18</v>
      </c>
      <c r="E459" s="7" t="s">
        <v>757</v>
      </c>
      <c r="F459" s="8"/>
      <c r="G459" s="9">
        <f>IFERROR(VLOOKUP(D459,Listas!$A$2:$B$20,2,FALSE()),999)</f>
        <v>1</v>
      </c>
      <c r="H459" s="9" t="str">
        <f t="shared" ca="1" si="7"/>
        <v>Sin fecha</v>
      </c>
      <c r="J459" s="11">
        <v>120</v>
      </c>
      <c r="K459" s="11">
        <v>110</v>
      </c>
      <c r="L459" s="12">
        <v>42939</v>
      </c>
      <c r="M459" t="s">
        <v>20</v>
      </c>
    </row>
    <row r="460" spans="1:13" ht="30" customHeight="1">
      <c r="A460" s="6" t="s">
        <v>832</v>
      </c>
      <c r="B460" s="7" t="s">
        <v>831</v>
      </c>
      <c r="C460" s="7" t="s">
        <v>829</v>
      </c>
      <c r="D460" s="6" t="s">
        <v>18</v>
      </c>
      <c r="E460" s="7" t="s">
        <v>757</v>
      </c>
      <c r="F460" s="8"/>
      <c r="G460" s="9">
        <f>IFERROR(VLOOKUP(D460,Listas!$A$2:$B$20,2,FALSE()),999)</f>
        <v>1</v>
      </c>
      <c r="H460" s="9" t="str">
        <f t="shared" ca="1" si="7"/>
        <v>Sin fecha</v>
      </c>
      <c r="J460" s="11">
        <v>120</v>
      </c>
      <c r="K460" s="11">
        <v>110</v>
      </c>
      <c r="L460" s="12">
        <v>42939</v>
      </c>
      <c r="M460" t="s">
        <v>20</v>
      </c>
    </row>
    <row r="461" spans="1:13" ht="30" customHeight="1">
      <c r="A461" s="6" t="s">
        <v>833</v>
      </c>
      <c r="B461" s="7" t="s">
        <v>831</v>
      </c>
      <c r="C461" s="7" t="s">
        <v>829</v>
      </c>
      <c r="D461" s="6" t="s">
        <v>18</v>
      </c>
      <c r="E461" s="7" t="s">
        <v>757</v>
      </c>
      <c r="F461" s="8"/>
      <c r="G461" s="9">
        <f>IFERROR(VLOOKUP(D461,Listas!$A$2:$B$20,2,FALSE()),999)</f>
        <v>1</v>
      </c>
      <c r="H461" s="9" t="str">
        <f t="shared" ca="1" si="7"/>
        <v>Sin fecha</v>
      </c>
      <c r="J461" s="11">
        <v>120</v>
      </c>
      <c r="K461" s="11">
        <v>110</v>
      </c>
      <c r="L461" s="12">
        <v>42939</v>
      </c>
      <c r="M461" t="s">
        <v>20</v>
      </c>
    </row>
    <row r="462" spans="1:13" ht="30" customHeight="1">
      <c r="A462" s="6" t="s">
        <v>834</v>
      </c>
      <c r="B462" s="7" t="s">
        <v>835</v>
      </c>
      <c r="C462" s="7" t="s">
        <v>835</v>
      </c>
      <c r="D462" s="6" t="s">
        <v>18</v>
      </c>
      <c r="E462" s="7" t="s">
        <v>757</v>
      </c>
      <c r="F462" s="8"/>
      <c r="G462" s="9">
        <f>IFERROR(VLOOKUP(D462,Listas!$A$2:$B$20,2,FALSE()),999)</f>
        <v>1</v>
      </c>
      <c r="H462" s="9" t="str">
        <f t="shared" ca="1" si="7"/>
        <v>Sin fecha</v>
      </c>
      <c r="J462" s="11">
        <v>120</v>
      </c>
      <c r="K462" s="11">
        <v>104</v>
      </c>
      <c r="L462" s="12">
        <v>43121</v>
      </c>
      <c r="M462" t="s">
        <v>20</v>
      </c>
    </row>
    <row r="463" spans="1:13" ht="30" customHeight="1">
      <c r="A463" s="6" t="s">
        <v>836</v>
      </c>
      <c r="B463" s="7" t="s">
        <v>837</v>
      </c>
      <c r="C463" s="7" t="s">
        <v>837</v>
      </c>
      <c r="D463" s="6" t="s">
        <v>18</v>
      </c>
      <c r="E463" s="7" t="s">
        <v>757</v>
      </c>
      <c r="F463" s="8"/>
      <c r="G463" s="9">
        <f>IFERROR(VLOOKUP(D463,Listas!$A$2:$B$20,2,FALSE()),999)</f>
        <v>1</v>
      </c>
      <c r="H463" s="9" t="str">
        <f t="shared" ca="1" si="7"/>
        <v>Sin fecha</v>
      </c>
      <c r="J463" s="11">
        <v>60</v>
      </c>
      <c r="K463" s="11">
        <v>60</v>
      </c>
      <c r="L463" s="12">
        <v>43952</v>
      </c>
      <c r="M463" t="s">
        <v>36</v>
      </c>
    </row>
    <row r="464" spans="1:13" ht="30" customHeight="1">
      <c r="A464" s="6" t="s">
        <v>838</v>
      </c>
      <c r="B464" s="7" t="s">
        <v>839</v>
      </c>
      <c r="C464" s="7" t="s">
        <v>840</v>
      </c>
      <c r="D464" s="6" t="s">
        <v>18</v>
      </c>
      <c r="E464" s="7" t="s">
        <v>757</v>
      </c>
      <c r="F464" s="8"/>
      <c r="G464" s="9">
        <f>IFERROR(VLOOKUP(D464,Listas!$A$2:$B$20,2,FALSE()),999)</f>
        <v>1</v>
      </c>
      <c r="H464" s="9" t="str">
        <f t="shared" ca="1" si="7"/>
        <v>Sin fecha</v>
      </c>
      <c r="J464" s="11">
        <v>120</v>
      </c>
      <c r="K464" s="11">
        <v>105</v>
      </c>
      <c r="L464" s="12">
        <v>43075</v>
      </c>
      <c r="M464" t="s">
        <v>20</v>
      </c>
    </row>
    <row r="465" spans="1:13" ht="30" customHeight="1">
      <c r="A465" s="6" t="s">
        <v>841</v>
      </c>
      <c r="B465" s="7" t="s">
        <v>839</v>
      </c>
      <c r="C465" s="7" t="s">
        <v>840</v>
      </c>
      <c r="D465" s="6" t="s">
        <v>18</v>
      </c>
      <c r="E465" s="7" t="s">
        <v>757</v>
      </c>
      <c r="F465" s="8"/>
      <c r="G465" s="9">
        <f>IFERROR(VLOOKUP(D465,Listas!$A$2:$B$20,2,FALSE()),999)</f>
        <v>1</v>
      </c>
      <c r="H465" s="9" t="str">
        <f t="shared" ca="1" si="7"/>
        <v>Sin fecha</v>
      </c>
      <c r="J465" s="11">
        <v>120</v>
      </c>
      <c r="K465" s="11">
        <v>105</v>
      </c>
      <c r="L465" s="12">
        <v>43075</v>
      </c>
      <c r="M465" t="s">
        <v>20</v>
      </c>
    </row>
    <row r="466" spans="1:13" ht="30" customHeight="1">
      <c r="A466" s="6" t="s">
        <v>842</v>
      </c>
      <c r="B466" s="7" t="s">
        <v>843</v>
      </c>
      <c r="C466" s="7" t="s">
        <v>843</v>
      </c>
      <c r="D466" s="6" t="s">
        <v>18</v>
      </c>
      <c r="E466" s="7" t="s">
        <v>757</v>
      </c>
      <c r="F466" s="8"/>
      <c r="G466" s="9">
        <f>IFERROR(VLOOKUP(D466,Listas!$A$2:$B$20,2,FALSE()),999)</f>
        <v>1</v>
      </c>
      <c r="H466" s="9" t="str">
        <f t="shared" ca="1" si="7"/>
        <v>Sin fecha</v>
      </c>
      <c r="J466" s="11">
        <v>120</v>
      </c>
      <c r="K466" s="11">
        <v>105</v>
      </c>
      <c r="L466" s="12">
        <v>43084</v>
      </c>
      <c r="M466" t="s">
        <v>20</v>
      </c>
    </row>
    <row r="467" spans="1:13" ht="30" customHeight="1">
      <c r="A467" s="6" t="s">
        <v>844</v>
      </c>
      <c r="B467" s="7" t="s">
        <v>843</v>
      </c>
      <c r="C467" s="7" t="s">
        <v>843</v>
      </c>
      <c r="D467" s="6" t="s">
        <v>18</v>
      </c>
      <c r="E467" s="7" t="s">
        <v>757</v>
      </c>
      <c r="F467" s="8"/>
      <c r="G467" s="9">
        <f>IFERROR(VLOOKUP(D467,Listas!$A$2:$B$20,2,FALSE()),999)</f>
        <v>1</v>
      </c>
      <c r="H467" s="9" t="str">
        <f t="shared" ca="1" si="7"/>
        <v>Sin fecha</v>
      </c>
      <c r="J467" s="11">
        <v>120</v>
      </c>
      <c r="K467" s="11">
        <v>105</v>
      </c>
      <c r="L467" s="12">
        <v>43084</v>
      </c>
      <c r="M467" t="s">
        <v>20</v>
      </c>
    </row>
    <row r="468" spans="1:13" ht="30" customHeight="1">
      <c r="A468" s="6" t="s">
        <v>845</v>
      </c>
      <c r="B468" s="7" t="s">
        <v>846</v>
      </c>
      <c r="C468" s="7" t="s">
        <v>846</v>
      </c>
      <c r="D468" s="6" t="s">
        <v>18</v>
      </c>
      <c r="E468" s="7" t="s">
        <v>847</v>
      </c>
      <c r="F468" s="8"/>
      <c r="G468" s="9">
        <f>IFERROR(VLOOKUP(D468,Listas!$A$2:$B$20,2,FALSE()),999)</f>
        <v>1</v>
      </c>
      <c r="H468" s="9" t="str">
        <f t="shared" ca="1" si="7"/>
        <v>Sin fecha</v>
      </c>
      <c r="J468" s="11">
        <v>120</v>
      </c>
      <c r="K468" s="11">
        <v>99</v>
      </c>
      <c r="L468" s="12">
        <v>43270</v>
      </c>
      <c r="M468" t="s">
        <v>20</v>
      </c>
    </row>
    <row r="469" spans="1:13" ht="30" customHeight="1">
      <c r="A469" s="6" t="s">
        <v>848</v>
      </c>
      <c r="B469" s="7" t="s">
        <v>849</v>
      </c>
      <c r="C469" s="7" t="s">
        <v>850</v>
      </c>
      <c r="D469" s="6" t="s">
        <v>18</v>
      </c>
      <c r="E469" s="7" t="s">
        <v>847</v>
      </c>
      <c r="F469" s="8"/>
      <c r="G469" s="9">
        <f>IFERROR(VLOOKUP(D469,Listas!$A$2:$B$20,2,FALSE()),999)</f>
        <v>1</v>
      </c>
      <c r="H469" s="9" t="str">
        <f t="shared" ca="1" si="7"/>
        <v>Sin fecha</v>
      </c>
      <c r="J469" s="11">
        <v>120</v>
      </c>
      <c r="K469" s="11">
        <v>120</v>
      </c>
      <c r="L469" s="12">
        <v>42155</v>
      </c>
      <c r="M469" t="s">
        <v>36</v>
      </c>
    </row>
    <row r="470" spans="1:13" ht="30" customHeight="1">
      <c r="A470" s="6" t="s">
        <v>851</v>
      </c>
      <c r="B470" s="7" t="s">
        <v>852</v>
      </c>
      <c r="C470" s="7" t="s">
        <v>853</v>
      </c>
      <c r="D470" s="6" t="s">
        <v>18</v>
      </c>
      <c r="E470" s="7" t="s">
        <v>847</v>
      </c>
      <c r="F470" s="8"/>
      <c r="G470" s="9">
        <f>IFERROR(VLOOKUP(D470,Listas!$A$2:$B$20,2,FALSE()),999)</f>
        <v>1</v>
      </c>
      <c r="H470" s="9" t="str">
        <f t="shared" ca="1" si="7"/>
        <v>Sin fecha</v>
      </c>
      <c r="J470" s="11">
        <v>1</v>
      </c>
      <c r="K470" s="11">
        <v>1</v>
      </c>
      <c r="L470" s="12">
        <v>42886</v>
      </c>
      <c r="M470" t="s">
        <v>36</v>
      </c>
    </row>
    <row r="471" spans="1:13" ht="30" customHeight="1">
      <c r="A471" s="6" t="s">
        <v>854</v>
      </c>
      <c r="B471" s="7" t="s">
        <v>855</v>
      </c>
      <c r="C471" s="7" t="s">
        <v>856</v>
      </c>
      <c r="D471" s="6" t="s">
        <v>18</v>
      </c>
      <c r="E471" s="7" t="s">
        <v>847</v>
      </c>
      <c r="F471" s="8"/>
      <c r="G471" s="9">
        <f>IFERROR(VLOOKUP(D471,Listas!$A$2:$B$20,2,FALSE()),999)</f>
        <v>1</v>
      </c>
      <c r="H471" s="9" t="str">
        <f t="shared" ca="1" si="7"/>
        <v>Sin fecha</v>
      </c>
      <c r="J471" s="11">
        <v>120</v>
      </c>
      <c r="K471" s="11">
        <v>120</v>
      </c>
      <c r="L471" s="12">
        <v>42185</v>
      </c>
      <c r="M471" t="s">
        <v>36</v>
      </c>
    </row>
    <row r="472" spans="1:13" ht="30" customHeight="1">
      <c r="A472" s="6" t="s">
        <v>857</v>
      </c>
      <c r="B472" s="7" t="s">
        <v>858</v>
      </c>
      <c r="C472" s="7" t="s">
        <v>859</v>
      </c>
      <c r="D472" s="6" t="s">
        <v>18</v>
      </c>
      <c r="E472" s="7" t="s">
        <v>847</v>
      </c>
      <c r="F472" s="8"/>
      <c r="G472" s="9">
        <f>IFERROR(VLOOKUP(D472,Listas!$A$2:$B$20,2,FALSE()),999)</f>
        <v>1</v>
      </c>
      <c r="H472" s="9" t="str">
        <f t="shared" ca="1" si="7"/>
        <v>Sin fecha</v>
      </c>
      <c r="J472" s="11">
        <v>1</v>
      </c>
      <c r="K472" s="11">
        <v>1</v>
      </c>
      <c r="L472" s="12">
        <v>42886</v>
      </c>
      <c r="M472" t="s">
        <v>36</v>
      </c>
    </row>
    <row r="473" spans="1:13" ht="30" customHeight="1">
      <c r="A473" s="6" t="s">
        <v>860</v>
      </c>
      <c r="B473" s="7" t="s">
        <v>861</v>
      </c>
      <c r="C473" s="7" t="s">
        <v>861</v>
      </c>
      <c r="D473" s="6" t="s">
        <v>18</v>
      </c>
      <c r="E473" s="7" t="s">
        <v>847</v>
      </c>
      <c r="F473" s="8"/>
      <c r="G473" s="9">
        <f>IFERROR(VLOOKUP(D473,Listas!$A$2:$B$20,2,FALSE()),999)</f>
        <v>1</v>
      </c>
      <c r="H473" s="9" t="str">
        <f t="shared" ca="1" si="7"/>
        <v>Sin fecha</v>
      </c>
      <c r="J473" s="11">
        <v>120</v>
      </c>
      <c r="K473" s="11">
        <v>68</v>
      </c>
      <c r="L473" s="12">
        <v>44197</v>
      </c>
      <c r="M473" t="s">
        <v>20</v>
      </c>
    </row>
    <row r="474" spans="1:13" ht="30" customHeight="1">
      <c r="A474" s="6" t="s">
        <v>862</v>
      </c>
      <c r="B474" s="7" t="s">
        <v>863</v>
      </c>
      <c r="C474" s="7" t="s">
        <v>863</v>
      </c>
      <c r="D474" s="6" t="s">
        <v>18</v>
      </c>
      <c r="E474" s="7" t="s">
        <v>847</v>
      </c>
      <c r="F474" s="8"/>
      <c r="G474" s="9">
        <f>IFERROR(VLOOKUP(D474,Listas!$A$2:$B$20,2,FALSE()),999)</f>
        <v>1</v>
      </c>
      <c r="H474" s="9" t="str">
        <f t="shared" ca="1" si="7"/>
        <v>Sin fecha</v>
      </c>
      <c r="J474" s="11">
        <v>120</v>
      </c>
      <c r="K474" s="11">
        <v>56</v>
      </c>
      <c r="L474" s="12">
        <v>44562</v>
      </c>
      <c r="M474" t="s">
        <v>20</v>
      </c>
    </row>
    <row r="475" spans="1:13" ht="30" customHeight="1">
      <c r="A475" s="6" t="s">
        <v>864</v>
      </c>
      <c r="B475" s="7" t="s">
        <v>863</v>
      </c>
      <c r="C475" s="7" t="s">
        <v>863</v>
      </c>
      <c r="D475" s="6" t="s">
        <v>18</v>
      </c>
      <c r="E475" s="7" t="s">
        <v>847</v>
      </c>
      <c r="F475" s="8"/>
      <c r="G475" s="9">
        <f>IFERROR(VLOOKUP(D475,Listas!$A$2:$B$20,2,FALSE()),999)</f>
        <v>1</v>
      </c>
      <c r="H475" s="9" t="str">
        <f t="shared" ca="1" si="7"/>
        <v>Sin fecha</v>
      </c>
      <c r="J475" s="11">
        <v>120</v>
      </c>
      <c r="K475" s="11">
        <v>56</v>
      </c>
      <c r="L475" s="12">
        <v>44562</v>
      </c>
      <c r="M475" t="s">
        <v>20</v>
      </c>
    </row>
    <row r="476" spans="1:13" ht="30" customHeight="1">
      <c r="A476" s="6" t="s">
        <v>865</v>
      </c>
      <c r="B476" s="7" t="s">
        <v>866</v>
      </c>
      <c r="C476" s="7" t="s">
        <v>866</v>
      </c>
      <c r="D476" s="6" t="s">
        <v>18</v>
      </c>
      <c r="E476" s="7" t="s">
        <v>847</v>
      </c>
      <c r="F476" s="8"/>
      <c r="G476" s="9">
        <f>IFERROR(VLOOKUP(D476,Listas!$A$2:$B$20,2,FALSE()),999)</f>
        <v>1</v>
      </c>
      <c r="H476" s="9" t="str">
        <f t="shared" ca="1" si="7"/>
        <v>Sin fecha</v>
      </c>
      <c r="J476" s="11">
        <v>120</v>
      </c>
      <c r="K476" s="11">
        <v>56</v>
      </c>
      <c r="L476" s="12">
        <v>44562</v>
      </c>
      <c r="M476" t="s">
        <v>20</v>
      </c>
    </row>
    <row r="477" spans="1:13" ht="30" customHeight="1">
      <c r="A477" s="6" t="s">
        <v>867</v>
      </c>
      <c r="B477" s="7" t="s">
        <v>868</v>
      </c>
      <c r="C477" s="7" t="s">
        <v>868</v>
      </c>
      <c r="D477" s="6" t="s">
        <v>18</v>
      </c>
      <c r="E477" s="7" t="s">
        <v>847</v>
      </c>
      <c r="F477" s="8"/>
      <c r="G477" s="9">
        <f>IFERROR(VLOOKUP(D477,Listas!$A$2:$B$20,2,FALSE()),999)</f>
        <v>1</v>
      </c>
      <c r="H477" s="9" t="str">
        <f t="shared" ca="1" si="7"/>
        <v>Sin fecha</v>
      </c>
      <c r="J477" s="11">
        <v>120</v>
      </c>
      <c r="K477" s="11">
        <v>91</v>
      </c>
      <c r="L477" s="12">
        <v>43516</v>
      </c>
      <c r="M477" t="s">
        <v>20</v>
      </c>
    </row>
    <row r="478" spans="1:13" ht="30" customHeight="1">
      <c r="A478" s="6" t="s">
        <v>869</v>
      </c>
      <c r="B478" s="7" t="s">
        <v>870</v>
      </c>
      <c r="C478" s="7" t="s">
        <v>870</v>
      </c>
      <c r="D478" s="6" t="s">
        <v>18</v>
      </c>
      <c r="E478" s="7" t="s">
        <v>847</v>
      </c>
      <c r="F478" s="8"/>
      <c r="G478" s="9">
        <f>IFERROR(VLOOKUP(D478,Listas!$A$2:$B$20,2,FALSE()),999)</f>
        <v>1</v>
      </c>
      <c r="H478" s="9" t="str">
        <f t="shared" ca="1" si="7"/>
        <v>Sin fecha</v>
      </c>
      <c r="J478" s="11">
        <v>120</v>
      </c>
      <c r="K478" s="11">
        <v>85</v>
      </c>
      <c r="L478" s="12">
        <v>43698</v>
      </c>
      <c r="M478" t="s">
        <v>20</v>
      </c>
    </row>
    <row r="479" spans="1:13" ht="30" customHeight="1">
      <c r="A479" s="6" t="s">
        <v>871</v>
      </c>
      <c r="B479" s="7" t="s">
        <v>872</v>
      </c>
      <c r="C479" s="7" t="s">
        <v>872</v>
      </c>
      <c r="D479" s="6" t="s">
        <v>18</v>
      </c>
      <c r="E479" s="7" t="s">
        <v>847</v>
      </c>
      <c r="F479" s="8"/>
      <c r="G479" s="9">
        <f>IFERROR(VLOOKUP(D479,Listas!$A$2:$B$20,2,FALSE()),999)</f>
        <v>1</v>
      </c>
      <c r="H479" s="9" t="str">
        <f t="shared" ca="1" si="7"/>
        <v>Sin fecha</v>
      </c>
      <c r="J479" s="11">
        <v>120</v>
      </c>
      <c r="K479" s="11">
        <v>105</v>
      </c>
      <c r="L479" s="12">
        <v>43084</v>
      </c>
      <c r="M479" t="s">
        <v>20</v>
      </c>
    </row>
    <row r="480" spans="1:13" ht="30" customHeight="1">
      <c r="A480" s="6" t="s">
        <v>873</v>
      </c>
      <c r="B480" s="7" t="s">
        <v>874</v>
      </c>
      <c r="C480" s="7" t="s">
        <v>875</v>
      </c>
      <c r="D480" s="6" t="s">
        <v>18</v>
      </c>
      <c r="E480" s="7" t="s">
        <v>847</v>
      </c>
      <c r="F480" s="8"/>
      <c r="G480" s="9">
        <f>IFERROR(VLOOKUP(D480,Listas!$A$2:$B$20,2,FALSE()),999)</f>
        <v>1</v>
      </c>
      <c r="H480" s="9" t="str">
        <f t="shared" ca="1" si="7"/>
        <v>Sin fecha</v>
      </c>
      <c r="J480" s="11">
        <v>120</v>
      </c>
      <c r="K480" s="11">
        <v>93</v>
      </c>
      <c r="L480" s="12">
        <v>43462</v>
      </c>
      <c r="M480" t="s">
        <v>20</v>
      </c>
    </row>
    <row r="481" spans="1:13" ht="30" customHeight="1">
      <c r="A481" s="6" t="s">
        <v>876</v>
      </c>
      <c r="B481" s="7" t="s">
        <v>877</v>
      </c>
      <c r="C481" s="7" t="s">
        <v>878</v>
      </c>
      <c r="D481" s="6" t="s">
        <v>18</v>
      </c>
      <c r="E481" s="7" t="s">
        <v>879</v>
      </c>
      <c r="F481" s="8"/>
      <c r="G481" s="9">
        <f>IFERROR(VLOOKUP(D481,Listas!$A$2:$B$20,2,FALSE()),999)</f>
        <v>1</v>
      </c>
      <c r="H481" s="9" t="str">
        <f t="shared" ca="1" si="7"/>
        <v>Sin fecha</v>
      </c>
      <c r="J481" s="11">
        <v>120</v>
      </c>
      <c r="K481" s="11">
        <v>120</v>
      </c>
      <c r="L481" s="12">
        <v>39263</v>
      </c>
      <c r="M481" t="s">
        <v>36</v>
      </c>
    </row>
    <row r="482" spans="1:13" ht="30" customHeight="1">
      <c r="A482" s="6" t="s">
        <v>880</v>
      </c>
      <c r="B482" s="7" t="s">
        <v>877</v>
      </c>
      <c r="C482" s="7" t="s">
        <v>881</v>
      </c>
      <c r="D482" s="6" t="s">
        <v>18</v>
      </c>
      <c r="E482" s="7" t="s">
        <v>879</v>
      </c>
      <c r="F482" s="8"/>
      <c r="G482" s="9">
        <f>IFERROR(VLOOKUP(D482,Listas!$A$2:$B$20,2,FALSE()),999)</f>
        <v>1</v>
      </c>
      <c r="H482" s="9" t="str">
        <f t="shared" ca="1" si="7"/>
        <v>Sin fecha</v>
      </c>
      <c r="J482" s="11">
        <v>120</v>
      </c>
      <c r="K482" s="11">
        <v>120</v>
      </c>
      <c r="L482" s="12">
        <v>41090</v>
      </c>
      <c r="M482" t="s">
        <v>36</v>
      </c>
    </row>
    <row r="483" spans="1:13" ht="30" customHeight="1">
      <c r="A483" s="6" t="s">
        <v>882</v>
      </c>
      <c r="B483" s="7" t="s">
        <v>883</v>
      </c>
      <c r="C483" s="7" t="s">
        <v>884</v>
      </c>
      <c r="D483" s="6" t="s">
        <v>18</v>
      </c>
      <c r="E483" s="7" t="s">
        <v>879</v>
      </c>
      <c r="F483" s="8"/>
      <c r="G483" s="9">
        <f>IFERROR(VLOOKUP(D483,Listas!$A$2:$B$20,2,FALSE()),999)</f>
        <v>1</v>
      </c>
      <c r="H483" s="9" t="str">
        <f t="shared" ca="1" si="7"/>
        <v>Sin fecha</v>
      </c>
      <c r="J483" s="11">
        <v>1</v>
      </c>
      <c r="K483" s="11">
        <v>1</v>
      </c>
      <c r="L483" s="12">
        <v>42886</v>
      </c>
      <c r="M483" t="s">
        <v>36</v>
      </c>
    </row>
    <row r="484" spans="1:13" ht="30" customHeight="1">
      <c r="A484" s="6" t="s">
        <v>885</v>
      </c>
      <c r="B484" s="7" t="s">
        <v>886</v>
      </c>
      <c r="C484" s="7" t="s">
        <v>887</v>
      </c>
      <c r="D484" s="6" t="s">
        <v>18</v>
      </c>
      <c r="E484" s="7" t="s">
        <v>879</v>
      </c>
      <c r="F484" s="8"/>
      <c r="G484" s="9">
        <f>IFERROR(VLOOKUP(D484,Listas!$A$2:$B$20,2,FALSE()),999)</f>
        <v>1</v>
      </c>
      <c r="H484" s="9" t="str">
        <f t="shared" ca="1" si="7"/>
        <v>Sin fecha</v>
      </c>
      <c r="J484" s="11">
        <v>120</v>
      </c>
      <c r="K484" s="11">
        <v>120</v>
      </c>
      <c r="L484" s="12">
        <v>39263</v>
      </c>
      <c r="M484" t="s">
        <v>36</v>
      </c>
    </row>
    <row r="485" spans="1:13" ht="30" customHeight="1">
      <c r="A485" s="6" t="s">
        <v>888</v>
      </c>
      <c r="B485" s="7" t="s">
        <v>889</v>
      </c>
      <c r="C485" s="7" t="s">
        <v>890</v>
      </c>
      <c r="D485" s="6" t="s">
        <v>18</v>
      </c>
      <c r="E485" s="7" t="s">
        <v>879</v>
      </c>
      <c r="F485" s="8"/>
      <c r="G485" s="9">
        <f>IFERROR(VLOOKUP(D485,Listas!$A$2:$B$20,2,FALSE()),999)</f>
        <v>1</v>
      </c>
      <c r="H485" s="9" t="str">
        <f t="shared" ca="1" si="7"/>
        <v>Sin fecha</v>
      </c>
      <c r="J485" s="11">
        <v>120</v>
      </c>
      <c r="K485" s="11">
        <v>120</v>
      </c>
      <c r="L485" s="12">
        <v>41090</v>
      </c>
      <c r="M485" t="s">
        <v>36</v>
      </c>
    </row>
    <row r="486" spans="1:13" ht="30" customHeight="1">
      <c r="A486" s="6" t="s">
        <v>891</v>
      </c>
      <c r="B486" s="7" t="s">
        <v>892</v>
      </c>
      <c r="C486" s="7" t="s">
        <v>893</v>
      </c>
      <c r="D486" s="6" t="s">
        <v>18</v>
      </c>
      <c r="E486" s="7" t="s">
        <v>879</v>
      </c>
      <c r="F486" s="8"/>
      <c r="G486" s="9">
        <f>IFERROR(VLOOKUP(D486,Listas!$A$2:$B$20,2,FALSE()),999)</f>
        <v>1</v>
      </c>
      <c r="H486" s="9" t="str">
        <f t="shared" ca="1" si="7"/>
        <v>Sin fecha</v>
      </c>
      <c r="J486" s="11">
        <v>120</v>
      </c>
      <c r="K486" s="11">
        <v>120</v>
      </c>
      <c r="L486" s="12">
        <v>39752</v>
      </c>
      <c r="M486" t="s">
        <v>36</v>
      </c>
    </row>
    <row r="487" spans="1:13" ht="30" customHeight="1">
      <c r="A487" s="6" t="s">
        <v>894</v>
      </c>
      <c r="B487" s="7" t="s">
        <v>895</v>
      </c>
      <c r="C487" s="7" t="s">
        <v>896</v>
      </c>
      <c r="D487" s="6" t="s">
        <v>18</v>
      </c>
      <c r="E487" s="7" t="s">
        <v>879</v>
      </c>
      <c r="F487" s="8"/>
      <c r="G487" s="9">
        <f>IFERROR(VLOOKUP(D487,Listas!$A$2:$B$20,2,FALSE()),999)</f>
        <v>1</v>
      </c>
      <c r="H487" s="9" t="str">
        <f t="shared" ca="1" si="7"/>
        <v>Sin fecha</v>
      </c>
      <c r="J487" s="11">
        <v>120</v>
      </c>
      <c r="K487" s="11">
        <v>120</v>
      </c>
      <c r="L487" s="12">
        <v>39263</v>
      </c>
      <c r="M487" t="s">
        <v>36</v>
      </c>
    </row>
    <row r="488" spans="1:13" ht="30" customHeight="1">
      <c r="A488" s="6" t="s">
        <v>897</v>
      </c>
      <c r="B488" s="7" t="s">
        <v>898</v>
      </c>
      <c r="C488" s="7" t="s">
        <v>899</v>
      </c>
      <c r="D488" s="6" t="s">
        <v>18</v>
      </c>
      <c r="E488" s="7" t="s">
        <v>879</v>
      </c>
      <c r="F488" s="8"/>
      <c r="G488" s="9">
        <f>IFERROR(VLOOKUP(D488,Listas!$A$2:$B$20,2,FALSE()),999)</f>
        <v>1</v>
      </c>
      <c r="H488" s="9" t="str">
        <f t="shared" ca="1" si="7"/>
        <v>Sin fecha</v>
      </c>
      <c r="J488" s="11">
        <v>120</v>
      </c>
      <c r="K488" s="11">
        <v>120</v>
      </c>
      <c r="L488" s="12">
        <v>39263</v>
      </c>
      <c r="M488" t="s">
        <v>36</v>
      </c>
    </row>
    <row r="489" spans="1:13" ht="30" customHeight="1">
      <c r="A489" s="6" t="s">
        <v>900</v>
      </c>
      <c r="B489" s="7" t="s">
        <v>901</v>
      </c>
      <c r="C489" s="7" t="s">
        <v>902</v>
      </c>
      <c r="D489" s="6" t="s">
        <v>18</v>
      </c>
      <c r="E489" s="7" t="s">
        <v>879</v>
      </c>
      <c r="F489" s="13">
        <v>46204</v>
      </c>
      <c r="G489" s="9">
        <f>IFERROR(VLOOKUP(D489,Listas!$A$2:$B$20,2,FALSE()),999)</f>
        <v>1</v>
      </c>
      <c r="H489" s="9" t="str">
        <f t="shared" ca="1" si="7"/>
        <v>Próximo</v>
      </c>
      <c r="J489" s="11">
        <v>120</v>
      </c>
      <c r="K489" s="11">
        <v>120</v>
      </c>
      <c r="L489" s="12">
        <v>41090</v>
      </c>
      <c r="M489" t="s">
        <v>36</v>
      </c>
    </row>
    <row r="490" spans="1:13" ht="30" customHeight="1">
      <c r="A490" s="6" t="s">
        <v>903</v>
      </c>
      <c r="B490" s="7" t="s">
        <v>904</v>
      </c>
      <c r="C490" s="7" t="s">
        <v>905</v>
      </c>
      <c r="D490" s="6" t="s">
        <v>18</v>
      </c>
      <c r="E490" s="7" t="s">
        <v>906</v>
      </c>
      <c r="F490" s="8"/>
      <c r="G490" s="9">
        <f>IFERROR(VLOOKUP(D490,Listas!$A$2:$B$20,2,FALSE()),999)</f>
        <v>1</v>
      </c>
      <c r="H490" s="9" t="str">
        <f t="shared" ca="1" si="7"/>
        <v>Sin fecha</v>
      </c>
      <c r="J490" s="11">
        <v>120</v>
      </c>
      <c r="K490" s="11">
        <v>120</v>
      </c>
      <c r="L490" s="12">
        <v>41090</v>
      </c>
      <c r="M490" t="s">
        <v>36</v>
      </c>
    </row>
    <row r="491" spans="1:13" ht="30" customHeight="1">
      <c r="A491" s="6" t="s">
        <v>907</v>
      </c>
      <c r="B491" s="7" t="s">
        <v>908</v>
      </c>
      <c r="C491" s="7" t="s">
        <v>909</v>
      </c>
      <c r="D491" s="6" t="s">
        <v>18</v>
      </c>
      <c r="E491" s="7" t="s">
        <v>906</v>
      </c>
      <c r="F491" s="8"/>
      <c r="G491" s="9">
        <f>IFERROR(VLOOKUP(D491,Listas!$A$2:$B$20,2,FALSE()),999)</f>
        <v>1</v>
      </c>
      <c r="H491" s="9" t="str">
        <f t="shared" ca="1" si="7"/>
        <v>Sin fecha</v>
      </c>
      <c r="J491" s="11">
        <v>1</v>
      </c>
      <c r="K491" s="11">
        <v>1</v>
      </c>
      <c r="L491" s="12">
        <v>44774</v>
      </c>
      <c r="M491" t="s">
        <v>36</v>
      </c>
    </row>
    <row r="492" spans="1:13" ht="30" customHeight="1">
      <c r="A492" s="6" t="s">
        <v>910</v>
      </c>
      <c r="B492" s="7" t="s">
        <v>911</v>
      </c>
      <c r="C492" s="7" t="s">
        <v>912</v>
      </c>
      <c r="D492" s="6" t="s">
        <v>18</v>
      </c>
      <c r="E492" s="7" t="s">
        <v>906</v>
      </c>
      <c r="F492" s="8"/>
      <c r="G492" s="9">
        <f>IFERROR(VLOOKUP(D492,Listas!$A$2:$B$20,2,FALSE()),999)</f>
        <v>1</v>
      </c>
      <c r="H492" s="9" t="str">
        <f t="shared" ca="1" si="7"/>
        <v>Sin fecha</v>
      </c>
      <c r="J492" s="11">
        <v>120</v>
      </c>
      <c r="K492" s="11">
        <v>120</v>
      </c>
      <c r="L492" s="12">
        <v>41090</v>
      </c>
      <c r="M492" t="s">
        <v>36</v>
      </c>
    </row>
    <row r="493" spans="1:13" ht="30" customHeight="1">
      <c r="A493" s="6" t="s">
        <v>913</v>
      </c>
      <c r="B493" s="7" t="s">
        <v>914</v>
      </c>
      <c r="C493" s="7" t="s">
        <v>915</v>
      </c>
      <c r="D493" s="6" t="s">
        <v>18</v>
      </c>
      <c r="E493" s="7" t="s">
        <v>906</v>
      </c>
      <c r="F493" s="8"/>
      <c r="G493" s="9">
        <f>IFERROR(VLOOKUP(D493,Listas!$A$2:$B$20,2,FALSE()),999)</f>
        <v>1</v>
      </c>
      <c r="H493" s="9" t="str">
        <f t="shared" ca="1" si="7"/>
        <v>Sin fecha</v>
      </c>
      <c r="J493" s="11">
        <v>120</v>
      </c>
      <c r="K493" s="11">
        <v>120</v>
      </c>
      <c r="L493" s="12">
        <v>41090</v>
      </c>
      <c r="M493" t="s">
        <v>36</v>
      </c>
    </row>
    <row r="494" spans="1:13" ht="30" customHeight="1">
      <c r="A494" s="6" t="s">
        <v>916</v>
      </c>
      <c r="B494" s="7" t="s">
        <v>917</v>
      </c>
      <c r="C494" s="7" t="s">
        <v>918</v>
      </c>
      <c r="D494" s="6" t="s">
        <v>18</v>
      </c>
      <c r="E494" s="7" t="s">
        <v>906</v>
      </c>
      <c r="F494" s="8"/>
      <c r="G494" s="9">
        <f>IFERROR(VLOOKUP(D494,Listas!$A$2:$B$20,2,FALSE()),999)</f>
        <v>1</v>
      </c>
      <c r="H494" s="9" t="str">
        <f t="shared" ca="1" si="7"/>
        <v>Sin fecha</v>
      </c>
      <c r="J494" s="11">
        <v>120</v>
      </c>
      <c r="K494" s="11">
        <v>120</v>
      </c>
      <c r="L494" s="12">
        <v>41090</v>
      </c>
      <c r="M494" t="s">
        <v>36</v>
      </c>
    </row>
    <row r="495" spans="1:13" ht="30" customHeight="1">
      <c r="A495" s="6" t="s">
        <v>919</v>
      </c>
      <c r="B495" s="7" t="s">
        <v>920</v>
      </c>
      <c r="C495" s="7" t="s">
        <v>921</v>
      </c>
      <c r="D495" s="6" t="s">
        <v>18</v>
      </c>
      <c r="E495" s="7" t="s">
        <v>906</v>
      </c>
      <c r="F495" s="8"/>
      <c r="G495" s="9">
        <f>IFERROR(VLOOKUP(D495,Listas!$A$2:$B$20,2,FALSE()),999)</f>
        <v>1</v>
      </c>
      <c r="H495" s="9" t="str">
        <f t="shared" ca="1" si="7"/>
        <v>Sin fecha</v>
      </c>
      <c r="J495" s="11">
        <v>120</v>
      </c>
      <c r="K495" s="11">
        <v>104</v>
      </c>
      <c r="L495" s="12">
        <v>43126</v>
      </c>
      <c r="M495" t="s">
        <v>20</v>
      </c>
    </row>
    <row r="496" spans="1:13" ht="30" customHeight="1">
      <c r="A496" s="6" t="s">
        <v>922</v>
      </c>
      <c r="B496" s="7" t="s">
        <v>923</v>
      </c>
      <c r="C496" s="7" t="s">
        <v>924</v>
      </c>
      <c r="D496" s="6" t="s">
        <v>18</v>
      </c>
      <c r="E496" s="7" t="s">
        <v>906</v>
      </c>
      <c r="F496" s="8"/>
      <c r="G496" s="9">
        <f>IFERROR(VLOOKUP(D496,Listas!$A$2:$B$20,2,FALSE()),999)</f>
        <v>1</v>
      </c>
      <c r="H496" s="9" t="str">
        <f t="shared" ca="1" si="7"/>
        <v>Sin fecha</v>
      </c>
      <c r="J496" s="11">
        <v>120</v>
      </c>
      <c r="K496" s="11">
        <v>120</v>
      </c>
      <c r="L496" s="12">
        <v>41090</v>
      </c>
      <c r="M496" t="s">
        <v>36</v>
      </c>
    </row>
    <row r="497" spans="1:13" ht="30" customHeight="1">
      <c r="A497" s="6" t="s">
        <v>925</v>
      </c>
      <c r="B497" s="7" t="s">
        <v>129</v>
      </c>
      <c r="C497" s="7" t="s">
        <v>130</v>
      </c>
      <c r="D497" s="6" t="s">
        <v>18</v>
      </c>
      <c r="E497" s="7" t="s">
        <v>906</v>
      </c>
      <c r="F497" s="8"/>
      <c r="G497" s="9">
        <f>IFERROR(VLOOKUP(D497,Listas!$A$2:$B$20,2,FALSE()),999)</f>
        <v>1</v>
      </c>
      <c r="H497" s="9" t="str">
        <f t="shared" ca="1" si="7"/>
        <v>Sin fecha</v>
      </c>
      <c r="J497" s="11">
        <v>120</v>
      </c>
      <c r="K497" s="11">
        <v>20</v>
      </c>
      <c r="L497" s="12">
        <v>45658</v>
      </c>
      <c r="M497" t="s">
        <v>20</v>
      </c>
    </row>
    <row r="498" spans="1:13" ht="30" customHeight="1">
      <c r="A498" s="6" t="s">
        <v>926</v>
      </c>
      <c r="B498" s="7" t="s">
        <v>927</v>
      </c>
      <c r="C498" s="7" t="s">
        <v>928</v>
      </c>
      <c r="D498" s="6" t="s">
        <v>18</v>
      </c>
      <c r="E498" s="7" t="s">
        <v>906</v>
      </c>
      <c r="F498" s="8"/>
      <c r="G498" s="9">
        <f>IFERROR(VLOOKUP(D498,Listas!$A$2:$B$20,2,FALSE()),999)</f>
        <v>1</v>
      </c>
      <c r="H498" s="9" t="str">
        <f t="shared" ca="1" si="7"/>
        <v>Sin fecha</v>
      </c>
      <c r="J498" s="11">
        <v>120</v>
      </c>
      <c r="K498" s="11">
        <v>120</v>
      </c>
      <c r="L498" s="12">
        <v>41090</v>
      </c>
      <c r="M498" t="s">
        <v>36</v>
      </c>
    </row>
    <row r="499" spans="1:13" ht="30" customHeight="1">
      <c r="A499" s="6" t="s">
        <v>929</v>
      </c>
      <c r="B499" s="7" t="s">
        <v>930</v>
      </c>
      <c r="C499" s="7" t="s">
        <v>931</v>
      </c>
      <c r="D499" s="6" t="s">
        <v>18</v>
      </c>
      <c r="E499" s="7" t="s">
        <v>906</v>
      </c>
      <c r="F499" s="8"/>
      <c r="G499" s="9">
        <f>IFERROR(VLOOKUP(D499,Listas!$A$2:$B$20,2,FALSE()),999)</f>
        <v>1</v>
      </c>
      <c r="H499" s="9" t="str">
        <f t="shared" ca="1" si="7"/>
        <v>Sin fecha</v>
      </c>
      <c r="J499" s="11">
        <v>120</v>
      </c>
      <c r="K499" s="11">
        <v>120</v>
      </c>
      <c r="L499" s="12">
        <v>41090</v>
      </c>
      <c r="M499" t="s">
        <v>36</v>
      </c>
    </row>
    <row r="500" spans="1:13" ht="30" customHeight="1">
      <c r="A500" s="6" t="s">
        <v>932</v>
      </c>
      <c r="B500" s="7" t="s">
        <v>933</v>
      </c>
      <c r="C500" s="7" t="s">
        <v>934</v>
      </c>
      <c r="D500" s="6" t="s">
        <v>18</v>
      </c>
      <c r="E500" s="7" t="s">
        <v>906</v>
      </c>
      <c r="F500" s="8"/>
      <c r="G500" s="9">
        <f>IFERROR(VLOOKUP(D500,Listas!$A$2:$B$20,2,FALSE()),999)</f>
        <v>1</v>
      </c>
      <c r="H500" s="9" t="str">
        <f t="shared" ca="1" si="7"/>
        <v>Sin fecha</v>
      </c>
      <c r="J500" s="11">
        <v>120</v>
      </c>
      <c r="K500" s="11">
        <v>120</v>
      </c>
      <c r="L500" s="12">
        <v>41090</v>
      </c>
      <c r="M500" t="s">
        <v>36</v>
      </c>
    </row>
    <row r="501" spans="1:13" ht="30" customHeight="1">
      <c r="A501" s="6" t="s">
        <v>935</v>
      </c>
      <c r="B501" s="7" t="s">
        <v>936</v>
      </c>
      <c r="C501" s="7" t="s">
        <v>937</v>
      </c>
      <c r="D501" s="6" t="s">
        <v>18</v>
      </c>
      <c r="E501" s="7" t="s">
        <v>906</v>
      </c>
      <c r="F501" s="8"/>
      <c r="G501" s="9">
        <f>IFERROR(VLOOKUP(D501,Listas!$A$2:$B$20,2,FALSE()),999)</f>
        <v>1</v>
      </c>
      <c r="H501" s="9" t="str">
        <f t="shared" ca="1" si="7"/>
        <v>Sin fecha</v>
      </c>
      <c r="J501" s="11">
        <v>120</v>
      </c>
      <c r="K501" s="11">
        <v>95</v>
      </c>
      <c r="L501" s="12">
        <v>43392</v>
      </c>
      <c r="M501" t="s">
        <v>20</v>
      </c>
    </row>
    <row r="502" spans="1:13" ht="30" customHeight="1">
      <c r="A502" s="6" t="s">
        <v>938</v>
      </c>
      <c r="B502" s="7" t="s">
        <v>936</v>
      </c>
      <c r="C502" s="7" t="s">
        <v>939</v>
      </c>
      <c r="D502" s="6" t="s">
        <v>18</v>
      </c>
      <c r="E502" s="7" t="s">
        <v>906</v>
      </c>
      <c r="F502" s="8"/>
      <c r="G502" s="9">
        <f>IFERROR(VLOOKUP(D502,Listas!$A$2:$B$20,2,FALSE()),999)</f>
        <v>1</v>
      </c>
      <c r="H502" s="9" t="str">
        <f t="shared" ca="1" si="7"/>
        <v>Sin fecha</v>
      </c>
      <c r="J502" s="11">
        <v>120</v>
      </c>
      <c r="K502" s="11">
        <v>95</v>
      </c>
      <c r="L502" s="12">
        <v>43394</v>
      </c>
      <c r="M502" t="s">
        <v>20</v>
      </c>
    </row>
    <row r="503" spans="1:13" ht="30" customHeight="1">
      <c r="A503" s="6" t="s">
        <v>940</v>
      </c>
      <c r="B503" s="7" t="s">
        <v>941</v>
      </c>
      <c r="C503" s="7" t="s">
        <v>942</v>
      </c>
      <c r="D503" s="6" t="s">
        <v>18</v>
      </c>
      <c r="E503" s="7" t="s">
        <v>906</v>
      </c>
      <c r="F503" s="8"/>
      <c r="G503" s="9">
        <f>IFERROR(VLOOKUP(D503,Listas!$A$2:$B$20,2,FALSE()),999)</f>
        <v>1</v>
      </c>
      <c r="H503" s="9" t="str">
        <f t="shared" ca="1" si="7"/>
        <v>Sin fecha</v>
      </c>
      <c r="J503" s="11">
        <v>120</v>
      </c>
      <c r="K503" s="11">
        <v>120</v>
      </c>
      <c r="L503" s="12">
        <v>40724</v>
      </c>
      <c r="M503" t="s">
        <v>36</v>
      </c>
    </row>
    <row r="504" spans="1:13" ht="30" customHeight="1">
      <c r="A504" s="6" t="s">
        <v>943</v>
      </c>
      <c r="B504" s="7" t="s">
        <v>941</v>
      </c>
      <c r="C504" s="7" t="s">
        <v>944</v>
      </c>
      <c r="D504" s="6" t="s">
        <v>18</v>
      </c>
      <c r="E504" s="7" t="s">
        <v>906</v>
      </c>
      <c r="F504" s="8"/>
      <c r="G504" s="9">
        <f>IFERROR(VLOOKUP(D504,Listas!$A$2:$B$20,2,FALSE()),999)</f>
        <v>1</v>
      </c>
      <c r="H504" s="9" t="str">
        <f t="shared" ca="1" si="7"/>
        <v>Sin fecha</v>
      </c>
      <c r="J504" s="11">
        <v>120</v>
      </c>
      <c r="K504" s="11">
        <v>107</v>
      </c>
      <c r="L504" s="12">
        <v>43019</v>
      </c>
      <c r="M504" t="s">
        <v>20</v>
      </c>
    </row>
    <row r="505" spans="1:13" ht="30" customHeight="1">
      <c r="A505" s="6" t="s">
        <v>945</v>
      </c>
      <c r="B505" s="7" t="s">
        <v>946</v>
      </c>
      <c r="C505" s="7" t="s">
        <v>947</v>
      </c>
      <c r="D505" s="6" t="s">
        <v>18</v>
      </c>
      <c r="E505" s="7" t="s">
        <v>906</v>
      </c>
      <c r="F505" s="8"/>
      <c r="G505" s="9">
        <f>IFERROR(VLOOKUP(D505,Listas!$A$2:$B$20,2,FALSE()),999)</f>
        <v>1</v>
      </c>
      <c r="H505" s="9" t="str">
        <f t="shared" ca="1" si="7"/>
        <v>Sin fecha</v>
      </c>
      <c r="J505" s="11">
        <v>120</v>
      </c>
      <c r="K505" s="11">
        <v>120</v>
      </c>
      <c r="L505" s="12">
        <v>41090</v>
      </c>
      <c r="M505" t="s">
        <v>36</v>
      </c>
    </row>
    <row r="506" spans="1:13" ht="30" customHeight="1">
      <c r="A506" s="6" t="s">
        <v>948</v>
      </c>
      <c r="B506" s="7" t="s">
        <v>949</v>
      </c>
      <c r="C506" s="7" t="s">
        <v>950</v>
      </c>
      <c r="D506" s="6" t="s">
        <v>18</v>
      </c>
      <c r="E506" s="7" t="s">
        <v>906</v>
      </c>
      <c r="F506" s="8"/>
      <c r="G506" s="9">
        <f>IFERROR(VLOOKUP(D506,Listas!$A$2:$B$20,2,FALSE()),999)</f>
        <v>1</v>
      </c>
      <c r="H506" s="9" t="str">
        <f t="shared" ca="1" si="7"/>
        <v>Sin fecha</v>
      </c>
      <c r="J506" s="11">
        <v>120</v>
      </c>
      <c r="K506" s="11">
        <v>92</v>
      </c>
      <c r="L506" s="12">
        <v>43470</v>
      </c>
      <c r="M506" t="s">
        <v>20</v>
      </c>
    </row>
    <row r="507" spans="1:13" ht="30" customHeight="1">
      <c r="A507" s="6" t="s">
        <v>951</v>
      </c>
      <c r="B507" s="7" t="s">
        <v>952</v>
      </c>
      <c r="C507" s="7" t="s">
        <v>953</v>
      </c>
      <c r="D507" s="6" t="s">
        <v>18</v>
      </c>
      <c r="E507" s="7" t="s">
        <v>906</v>
      </c>
      <c r="F507" s="8"/>
      <c r="G507" s="9">
        <f>IFERROR(VLOOKUP(D507,Listas!$A$2:$B$20,2,FALSE()),999)</f>
        <v>1</v>
      </c>
      <c r="H507" s="9" t="str">
        <f t="shared" ca="1" si="7"/>
        <v>Sin fecha</v>
      </c>
      <c r="J507" s="11">
        <v>120</v>
      </c>
      <c r="K507" s="11">
        <v>120</v>
      </c>
      <c r="L507" s="12">
        <v>41090</v>
      </c>
      <c r="M507" t="s">
        <v>36</v>
      </c>
    </row>
    <row r="508" spans="1:13" ht="30" customHeight="1">
      <c r="A508" s="6" t="s">
        <v>954</v>
      </c>
      <c r="B508" s="7" t="s">
        <v>952</v>
      </c>
      <c r="C508" s="7" t="s">
        <v>955</v>
      </c>
      <c r="D508" s="6" t="s">
        <v>18</v>
      </c>
      <c r="E508" s="7" t="s">
        <v>906</v>
      </c>
      <c r="F508" s="8"/>
      <c r="G508" s="9">
        <f>IFERROR(VLOOKUP(D508,Listas!$A$2:$B$20,2,FALSE()),999)</f>
        <v>1</v>
      </c>
      <c r="H508" s="9" t="str">
        <f t="shared" ca="1" si="7"/>
        <v>Sin fecha</v>
      </c>
      <c r="J508" s="11">
        <v>120</v>
      </c>
      <c r="K508" s="11">
        <v>104</v>
      </c>
      <c r="L508" s="12">
        <v>43126</v>
      </c>
      <c r="M508" t="s">
        <v>20</v>
      </c>
    </row>
    <row r="509" spans="1:13" ht="30" customHeight="1">
      <c r="A509" s="6" t="s">
        <v>956</v>
      </c>
      <c r="B509" s="7" t="s">
        <v>957</v>
      </c>
      <c r="C509" s="7" t="s">
        <v>958</v>
      </c>
      <c r="D509" s="6" t="s">
        <v>18</v>
      </c>
      <c r="E509" s="7" t="s">
        <v>906</v>
      </c>
      <c r="F509" s="8"/>
      <c r="G509" s="9">
        <f>IFERROR(VLOOKUP(D509,Listas!$A$2:$B$20,2,FALSE()),999)</f>
        <v>1</v>
      </c>
      <c r="H509" s="9" t="str">
        <f t="shared" ca="1" si="7"/>
        <v>Sin fecha</v>
      </c>
      <c r="J509" s="11">
        <v>120</v>
      </c>
      <c r="K509" s="11">
        <v>120</v>
      </c>
      <c r="L509" s="12">
        <v>41090</v>
      </c>
      <c r="M509" t="s">
        <v>36</v>
      </c>
    </row>
    <row r="510" spans="1:13" ht="30" customHeight="1">
      <c r="A510" s="6" t="s">
        <v>959</v>
      </c>
      <c r="B510" s="7" t="s">
        <v>960</v>
      </c>
      <c r="C510" s="7" t="s">
        <v>961</v>
      </c>
      <c r="D510" s="6" t="s">
        <v>18</v>
      </c>
      <c r="E510" s="7" t="s">
        <v>906</v>
      </c>
      <c r="F510" s="8"/>
      <c r="G510" s="9">
        <f>IFERROR(VLOOKUP(D510,Listas!$A$2:$B$20,2,FALSE()),999)</f>
        <v>1</v>
      </c>
      <c r="H510" s="9" t="str">
        <f t="shared" ca="1" si="7"/>
        <v>Sin fecha</v>
      </c>
      <c r="J510" s="11">
        <v>120</v>
      </c>
      <c r="K510" s="11">
        <v>104</v>
      </c>
      <c r="L510" s="12">
        <v>43126</v>
      </c>
      <c r="M510" t="s">
        <v>20</v>
      </c>
    </row>
    <row r="511" spans="1:13" ht="30" customHeight="1">
      <c r="A511" s="6" t="s">
        <v>962</v>
      </c>
      <c r="B511" s="7" t="s">
        <v>963</v>
      </c>
      <c r="C511" s="7" t="s">
        <v>964</v>
      </c>
      <c r="D511" s="6" t="s">
        <v>18</v>
      </c>
      <c r="E511" s="7" t="s">
        <v>906</v>
      </c>
      <c r="F511" s="8"/>
      <c r="G511" s="9">
        <f>IFERROR(VLOOKUP(D511,Listas!$A$2:$B$20,2,FALSE()),999)</f>
        <v>1</v>
      </c>
      <c r="H511" s="9" t="str">
        <f t="shared" ca="1" si="7"/>
        <v>Sin fecha</v>
      </c>
      <c r="J511" s="11">
        <v>60</v>
      </c>
      <c r="K511" s="11">
        <v>60</v>
      </c>
      <c r="L511" s="12">
        <v>41090</v>
      </c>
      <c r="M511" t="s">
        <v>36</v>
      </c>
    </row>
    <row r="512" spans="1:13" ht="30" customHeight="1">
      <c r="A512" s="6" t="s">
        <v>965</v>
      </c>
      <c r="B512" s="7" t="s">
        <v>966</v>
      </c>
      <c r="C512" s="7" t="s">
        <v>967</v>
      </c>
      <c r="D512" s="6" t="s">
        <v>18</v>
      </c>
      <c r="E512" s="7" t="s">
        <v>906</v>
      </c>
      <c r="F512" s="8"/>
      <c r="G512" s="9">
        <f>IFERROR(VLOOKUP(D512,Listas!$A$2:$B$20,2,FALSE()),999)</f>
        <v>1</v>
      </c>
      <c r="H512" s="9" t="str">
        <f t="shared" ca="1" si="7"/>
        <v>Sin fecha</v>
      </c>
      <c r="J512" s="11">
        <v>120</v>
      </c>
      <c r="K512" s="11">
        <v>104</v>
      </c>
      <c r="L512" s="12">
        <v>43126</v>
      </c>
      <c r="M512" t="s">
        <v>20</v>
      </c>
    </row>
    <row r="513" spans="1:13" ht="30" customHeight="1">
      <c r="A513" s="6" t="s">
        <v>968</v>
      </c>
      <c r="B513" s="7" t="s">
        <v>969</v>
      </c>
      <c r="C513" s="7" t="s">
        <v>969</v>
      </c>
      <c r="D513" s="6" t="s">
        <v>18</v>
      </c>
      <c r="E513" s="7" t="s">
        <v>906</v>
      </c>
      <c r="F513" s="8"/>
      <c r="G513" s="9">
        <f>IFERROR(VLOOKUP(D513,Listas!$A$2:$B$20,2,FALSE()),999)</f>
        <v>1</v>
      </c>
      <c r="H513" s="9" t="str">
        <f t="shared" ca="1" si="7"/>
        <v>Sin fecha</v>
      </c>
      <c r="J513" s="11">
        <v>1</v>
      </c>
      <c r="K513" s="11">
        <v>1</v>
      </c>
      <c r="L513" s="12">
        <v>44774</v>
      </c>
      <c r="M513" t="s">
        <v>36</v>
      </c>
    </row>
    <row r="514" spans="1:13" ht="30" customHeight="1">
      <c r="A514" s="6" t="s">
        <v>970</v>
      </c>
      <c r="B514" s="7" t="s">
        <v>971</v>
      </c>
      <c r="C514" s="7" t="s">
        <v>972</v>
      </c>
      <c r="D514" s="6" t="s">
        <v>18</v>
      </c>
      <c r="E514" s="7" t="s">
        <v>906</v>
      </c>
      <c r="F514" s="8"/>
      <c r="G514" s="9">
        <f>IFERROR(VLOOKUP(D514,Listas!$A$2:$B$20,2,FALSE()),999)</f>
        <v>1</v>
      </c>
      <c r="H514" s="9" t="str">
        <f t="shared" ca="1" si="7"/>
        <v>Sin fecha</v>
      </c>
      <c r="J514" s="11">
        <v>120</v>
      </c>
      <c r="K514" s="11">
        <v>120</v>
      </c>
      <c r="L514" s="12">
        <v>41090</v>
      </c>
      <c r="M514" t="s">
        <v>36</v>
      </c>
    </row>
    <row r="515" spans="1:13" ht="30" customHeight="1">
      <c r="A515" s="6" t="s">
        <v>973</v>
      </c>
      <c r="B515" s="7" t="s">
        <v>974</v>
      </c>
      <c r="C515" s="7" t="s">
        <v>975</v>
      </c>
      <c r="D515" s="6" t="s">
        <v>18</v>
      </c>
      <c r="E515" s="7" t="s">
        <v>906</v>
      </c>
      <c r="F515" s="8"/>
      <c r="G515" s="9">
        <f>IFERROR(VLOOKUP(D515,Listas!$A$2:$B$20,2,FALSE()),999)</f>
        <v>1</v>
      </c>
      <c r="H515" s="9" t="str">
        <f t="shared" ca="1" si="7"/>
        <v>Sin fecha</v>
      </c>
      <c r="J515" s="11">
        <v>120</v>
      </c>
      <c r="K515" s="11">
        <v>120</v>
      </c>
      <c r="L515" s="12">
        <v>41090</v>
      </c>
      <c r="M515" t="s">
        <v>36</v>
      </c>
    </row>
    <row r="516" spans="1:13" ht="30" customHeight="1">
      <c r="A516" s="6" t="s">
        <v>976</v>
      </c>
      <c r="B516" s="7" t="s">
        <v>977</v>
      </c>
      <c r="C516" s="7" t="s">
        <v>158</v>
      </c>
      <c r="D516" s="6" t="s">
        <v>18</v>
      </c>
      <c r="E516" s="7" t="s">
        <v>906</v>
      </c>
      <c r="F516" s="8"/>
      <c r="G516" s="9">
        <f>IFERROR(VLOOKUP(D516,Listas!$A$2:$B$20,2,FALSE()),999)</f>
        <v>1</v>
      </c>
      <c r="H516" s="9" t="str">
        <f t="shared" ca="1" si="7"/>
        <v>Sin fecha</v>
      </c>
      <c r="J516" s="11">
        <v>120</v>
      </c>
      <c r="K516" s="11">
        <v>120</v>
      </c>
      <c r="L516" s="12">
        <v>41090</v>
      </c>
      <c r="M516" t="s">
        <v>36</v>
      </c>
    </row>
    <row r="517" spans="1:13" ht="30" customHeight="1">
      <c r="A517" s="6" t="s">
        <v>978</v>
      </c>
      <c r="B517" s="7" t="s">
        <v>166</v>
      </c>
      <c r="C517" s="7" t="s">
        <v>979</v>
      </c>
      <c r="D517" s="6" t="s">
        <v>18</v>
      </c>
      <c r="E517" s="7" t="s">
        <v>906</v>
      </c>
      <c r="F517" s="8"/>
      <c r="G517" s="9">
        <f>IFERROR(VLOOKUP(D517,Listas!$A$2:$B$20,2,FALSE()),999)</f>
        <v>1</v>
      </c>
      <c r="H517" s="9" t="str">
        <f t="shared" ref="H517:H580" ca="1" si="8">IF(F517="","Sin fecha",IF(TODAY()-F517&gt;180,"Revisar",IF(TODAY()-F517&gt;90,"Próximo","Vigente")))</f>
        <v>Sin fecha</v>
      </c>
      <c r="J517" s="11">
        <v>120</v>
      </c>
      <c r="K517" s="11">
        <v>120</v>
      </c>
      <c r="L517" s="12">
        <v>41090</v>
      </c>
      <c r="M517" t="s">
        <v>36</v>
      </c>
    </row>
    <row r="518" spans="1:13" ht="30" customHeight="1">
      <c r="A518" s="6" t="s">
        <v>980</v>
      </c>
      <c r="B518" s="7" t="s">
        <v>981</v>
      </c>
      <c r="C518" s="7" t="s">
        <v>981</v>
      </c>
      <c r="D518" s="6" t="s">
        <v>18</v>
      </c>
      <c r="E518" s="7" t="s">
        <v>982</v>
      </c>
      <c r="F518" s="8"/>
      <c r="G518" s="9">
        <f>IFERROR(VLOOKUP(D518,Listas!$A$2:$B$20,2,FALSE()),999)</f>
        <v>1</v>
      </c>
      <c r="H518" s="9" t="str">
        <f t="shared" ca="1" si="8"/>
        <v>Sin fecha</v>
      </c>
      <c r="J518" s="11">
        <v>120</v>
      </c>
      <c r="K518" s="11">
        <v>93</v>
      </c>
      <c r="L518" s="12">
        <v>43459</v>
      </c>
      <c r="M518" t="s">
        <v>20</v>
      </c>
    </row>
    <row r="519" spans="1:13" ht="30" customHeight="1">
      <c r="A519" s="6" t="s">
        <v>983</v>
      </c>
      <c r="B519" s="7" t="s">
        <v>984</v>
      </c>
      <c r="C519" s="7" t="s">
        <v>985</v>
      </c>
      <c r="D519" s="6" t="s">
        <v>18</v>
      </c>
      <c r="E519" s="7" t="s">
        <v>982</v>
      </c>
      <c r="F519" s="8"/>
      <c r="G519" s="9">
        <f>IFERROR(VLOOKUP(D519,Listas!$A$2:$B$20,2,FALSE()),999)</f>
        <v>1</v>
      </c>
      <c r="H519" s="9" t="str">
        <f t="shared" ca="1" si="8"/>
        <v>Sin fecha</v>
      </c>
      <c r="J519" s="11">
        <v>120</v>
      </c>
      <c r="K519" s="11">
        <v>64</v>
      </c>
      <c r="L519" s="12">
        <v>44317</v>
      </c>
      <c r="M519" t="s">
        <v>20</v>
      </c>
    </row>
    <row r="520" spans="1:13" ht="30" customHeight="1">
      <c r="A520" s="6" t="s">
        <v>986</v>
      </c>
      <c r="B520" s="7" t="s">
        <v>987</v>
      </c>
      <c r="C520" s="7" t="s">
        <v>988</v>
      </c>
      <c r="D520" s="6" t="s">
        <v>18</v>
      </c>
      <c r="E520" s="7" t="s">
        <v>989</v>
      </c>
      <c r="F520" s="13">
        <v>45952</v>
      </c>
      <c r="G520" s="9">
        <f>IFERROR(VLOOKUP(D520,Listas!$A$2:$B$20,2,FALSE()),999)</f>
        <v>1</v>
      </c>
      <c r="H520" s="9" t="str">
        <f t="shared" ca="1" si="8"/>
        <v>Revisar</v>
      </c>
      <c r="J520" s="11">
        <v>120</v>
      </c>
      <c r="K520" s="11">
        <v>120</v>
      </c>
      <c r="L520" s="12">
        <v>41090</v>
      </c>
      <c r="M520" t="s">
        <v>36</v>
      </c>
    </row>
    <row r="521" spans="1:13" ht="30" customHeight="1">
      <c r="A521" s="6" t="s">
        <v>990</v>
      </c>
      <c r="B521" s="7" t="s">
        <v>991</v>
      </c>
      <c r="C521" s="7" t="s">
        <v>992</v>
      </c>
      <c r="D521" s="6" t="s">
        <v>18</v>
      </c>
      <c r="E521" s="7" t="s">
        <v>989</v>
      </c>
      <c r="F521" s="13">
        <v>45952</v>
      </c>
      <c r="G521" s="9">
        <f>IFERROR(VLOOKUP(D521,Listas!$A$2:$B$20,2,FALSE()),999)</f>
        <v>1</v>
      </c>
      <c r="H521" s="9" t="str">
        <f t="shared" ca="1" si="8"/>
        <v>Revisar</v>
      </c>
      <c r="J521" s="11">
        <v>120</v>
      </c>
      <c r="K521" s="11">
        <v>120</v>
      </c>
      <c r="L521" s="12">
        <v>41090</v>
      </c>
      <c r="M521" t="s">
        <v>36</v>
      </c>
    </row>
    <row r="522" spans="1:13" ht="30" customHeight="1">
      <c r="A522" s="6" t="s">
        <v>993</v>
      </c>
      <c r="B522" s="7" t="s">
        <v>994</v>
      </c>
      <c r="C522" s="7" t="s">
        <v>995</v>
      </c>
      <c r="D522" s="6" t="s">
        <v>18</v>
      </c>
      <c r="E522" s="7" t="s">
        <v>989</v>
      </c>
      <c r="F522" s="13">
        <v>46037</v>
      </c>
      <c r="G522" s="9">
        <f>IFERROR(VLOOKUP(D522,Listas!$A$2:$B$20,2,FALSE()),999)</f>
        <v>1</v>
      </c>
      <c r="H522" s="9" t="str">
        <f t="shared" ca="1" si="8"/>
        <v>Revisar</v>
      </c>
      <c r="J522" s="11">
        <v>120</v>
      </c>
      <c r="K522" s="11">
        <v>120</v>
      </c>
      <c r="L522" s="12">
        <v>41090</v>
      </c>
      <c r="M522" t="s">
        <v>36</v>
      </c>
    </row>
    <row r="523" spans="1:13" ht="30" customHeight="1">
      <c r="A523" s="6" t="s">
        <v>996</v>
      </c>
      <c r="B523" s="7" t="s">
        <v>997</v>
      </c>
      <c r="C523" s="7" t="s">
        <v>998</v>
      </c>
      <c r="D523" s="6" t="s">
        <v>18</v>
      </c>
      <c r="E523" s="7" t="s">
        <v>989</v>
      </c>
      <c r="F523" s="13">
        <v>45952</v>
      </c>
      <c r="G523" s="9">
        <f>IFERROR(VLOOKUP(D523,Listas!$A$2:$B$20,2,FALSE()),999)</f>
        <v>1</v>
      </c>
      <c r="H523" s="9" t="str">
        <f t="shared" ca="1" si="8"/>
        <v>Revisar</v>
      </c>
      <c r="J523" s="11">
        <v>120</v>
      </c>
      <c r="K523" s="11">
        <v>120</v>
      </c>
      <c r="L523" s="12">
        <v>41090</v>
      </c>
      <c r="M523" t="s">
        <v>36</v>
      </c>
    </row>
    <row r="524" spans="1:13" ht="30" customHeight="1">
      <c r="A524" s="6" t="s">
        <v>999</v>
      </c>
      <c r="B524" s="7" t="s">
        <v>1000</v>
      </c>
      <c r="C524" s="7" t="s">
        <v>1001</v>
      </c>
      <c r="D524" s="6" t="s">
        <v>18</v>
      </c>
      <c r="E524" s="7" t="s">
        <v>989</v>
      </c>
      <c r="F524" s="13">
        <v>46037</v>
      </c>
      <c r="G524" s="9">
        <f>IFERROR(VLOOKUP(D524,Listas!$A$2:$B$20,2,FALSE()),999)</f>
        <v>1</v>
      </c>
      <c r="H524" s="9" t="str">
        <f t="shared" ca="1" si="8"/>
        <v>Revisar</v>
      </c>
      <c r="J524" s="11">
        <v>120</v>
      </c>
      <c r="K524" s="11">
        <v>120</v>
      </c>
      <c r="L524" s="12">
        <v>41090</v>
      </c>
      <c r="M524" t="s">
        <v>36</v>
      </c>
    </row>
    <row r="525" spans="1:13" ht="30" customHeight="1">
      <c r="A525" s="6" t="s">
        <v>1002</v>
      </c>
      <c r="B525" s="7" t="s">
        <v>1003</v>
      </c>
      <c r="C525" s="7" t="s">
        <v>1004</v>
      </c>
      <c r="D525" s="6" t="s">
        <v>18</v>
      </c>
      <c r="E525" s="7" t="s">
        <v>989</v>
      </c>
      <c r="F525" s="13">
        <v>46037</v>
      </c>
      <c r="G525" s="9">
        <f>IFERROR(VLOOKUP(D525,Listas!$A$2:$B$20,2,FALSE()),999)</f>
        <v>1</v>
      </c>
      <c r="H525" s="9" t="str">
        <f t="shared" ca="1" si="8"/>
        <v>Revisar</v>
      </c>
      <c r="J525" s="11">
        <v>120</v>
      </c>
      <c r="K525" s="11">
        <v>120</v>
      </c>
      <c r="L525" s="12">
        <v>41090</v>
      </c>
      <c r="M525" t="s">
        <v>36</v>
      </c>
    </row>
    <row r="526" spans="1:13" ht="30" customHeight="1">
      <c r="A526" s="6" t="s">
        <v>1005</v>
      </c>
      <c r="B526" s="7" t="s">
        <v>1006</v>
      </c>
      <c r="C526" s="7" t="s">
        <v>1007</v>
      </c>
      <c r="D526" s="6" t="s">
        <v>18</v>
      </c>
      <c r="E526" s="7" t="s">
        <v>989</v>
      </c>
      <c r="F526" s="13">
        <v>45952</v>
      </c>
      <c r="G526" s="9">
        <f>IFERROR(VLOOKUP(D526,Listas!$A$2:$B$20,2,FALSE()),999)</f>
        <v>1</v>
      </c>
      <c r="H526" s="9" t="str">
        <f t="shared" ca="1" si="8"/>
        <v>Revisar</v>
      </c>
      <c r="J526" s="11">
        <v>1</v>
      </c>
      <c r="K526" s="11">
        <v>1</v>
      </c>
      <c r="L526" s="12">
        <v>42886</v>
      </c>
      <c r="M526" t="s">
        <v>36</v>
      </c>
    </row>
    <row r="527" spans="1:13" ht="30" customHeight="1">
      <c r="A527" s="6" t="s">
        <v>1008</v>
      </c>
      <c r="B527" s="7" t="s">
        <v>1009</v>
      </c>
      <c r="C527" s="7" t="s">
        <v>1010</v>
      </c>
      <c r="D527" s="6" t="s">
        <v>18</v>
      </c>
      <c r="E527" s="7" t="s">
        <v>989</v>
      </c>
      <c r="F527" s="13">
        <v>45952</v>
      </c>
      <c r="G527" s="9">
        <f>IFERROR(VLOOKUP(D527,Listas!$A$2:$B$20,2,FALSE()),999)</f>
        <v>1</v>
      </c>
      <c r="H527" s="9" t="str">
        <f t="shared" ca="1" si="8"/>
        <v>Revisar</v>
      </c>
      <c r="J527" s="11">
        <v>120</v>
      </c>
      <c r="K527" s="11">
        <v>105</v>
      </c>
      <c r="L527" s="12">
        <v>43096</v>
      </c>
      <c r="M527" t="s">
        <v>20</v>
      </c>
    </row>
    <row r="528" spans="1:13" ht="30" customHeight="1">
      <c r="A528" s="6" t="s">
        <v>1011</v>
      </c>
      <c r="B528" s="7" t="s">
        <v>1012</v>
      </c>
      <c r="C528" s="7" t="s">
        <v>1013</v>
      </c>
      <c r="D528" s="6" t="s">
        <v>18</v>
      </c>
      <c r="E528" s="7" t="s">
        <v>989</v>
      </c>
      <c r="F528" s="13">
        <v>45952</v>
      </c>
      <c r="G528" s="9">
        <f>IFERROR(VLOOKUP(D528,Listas!$A$2:$B$20,2,FALSE()),999)</f>
        <v>1</v>
      </c>
      <c r="H528" s="9" t="str">
        <f t="shared" ca="1" si="8"/>
        <v>Revisar</v>
      </c>
      <c r="J528" s="11">
        <v>120</v>
      </c>
      <c r="K528" s="11">
        <v>120</v>
      </c>
      <c r="L528" s="12">
        <v>41090</v>
      </c>
      <c r="M528" t="s">
        <v>36</v>
      </c>
    </row>
    <row r="529" spans="1:13" ht="30" customHeight="1">
      <c r="A529" s="6" t="s">
        <v>1014</v>
      </c>
      <c r="B529" s="7" t="s">
        <v>1015</v>
      </c>
      <c r="C529" s="7" t="s">
        <v>1016</v>
      </c>
      <c r="D529" s="6" t="s">
        <v>18</v>
      </c>
      <c r="E529" s="7" t="s">
        <v>989</v>
      </c>
      <c r="F529" s="13">
        <v>45952</v>
      </c>
      <c r="G529" s="9">
        <f>IFERROR(VLOOKUP(D529,Listas!$A$2:$B$20,2,FALSE()),999)</f>
        <v>1</v>
      </c>
      <c r="H529" s="9" t="str">
        <f t="shared" ca="1" si="8"/>
        <v>Revisar</v>
      </c>
      <c r="J529" s="11">
        <v>120</v>
      </c>
      <c r="K529" s="11">
        <v>120</v>
      </c>
      <c r="L529" s="12">
        <v>41090</v>
      </c>
      <c r="M529" t="s">
        <v>36</v>
      </c>
    </row>
    <row r="530" spans="1:13" ht="30" customHeight="1">
      <c r="A530" s="6" t="s">
        <v>1017</v>
      </c>
      <c r="B530" s="7" t="s">
        <v>1018</v>
      </c>
      <c r="C530" s="7" t="s">
        <v>1019</v>
      </c>
      <c r="D530" s="6" t="s">
        <v>18</v>
      </c>
      <c r="E530" s="7" t="s">
        <v>989</v>
      </c>
      <c r="F530" s="8"/>
      <c r="G530" s="9">
        <f>IFERROR(VLOOKUP(D530,Listas!$A$2:$B$20,2,FALSE()),999)</f>
        <v>1</v>
      </c>
      <c r="H530" s="9" t="str">
        <f t="shared" ca="1" si="8"/>
        <v>Sin fecha</v>
      </c>
      <c r="J530" s="11">
        <v>120</v>
      </c>
      <c r="K530" s="11">
        <v>8</v>
      </c>
      <c r="L530" s="12">
        <v>46023</v>
      </c>
      <c r="M530" t="s">
        <v>20</v>
      </c>
    </row>
    <row r="531" spans="1:13" ht="30" customHeight="1">
      <c r="A531" s="6" t="s">
        <v>1020</v>
      </c>
      <c r="B531" s="7" t="s">
        <v>1021</v>
      </c>
      <c r="C531" s="7" t="s">
        <v>1022</v>
      </c>
      <c r="D531" s="6" t="s">
        <v>18</v>
      </c>
      <c r="E531" s="7" t="s">
        <v>989</v>
      </c>
      <c r="F531" s="8"/>
      <c r="G531" s="9">
        <f>IFERROR(VLOOKUP(D531,Listas!$A$2:$B$20,2,FALSE()),999)</f>
        <v>1</v>
      </c>
      <c r="H531" s="9" t="str">
        <f t="shared" ca="1" si="8"/>
        <v>Sin fecha</v>
      </c>
      <c r="J531" s="11">
        <v>1</v>
      </c>
      <c r="K531" s="11">
        <v>1</v>
      </c>
      <c r="L531" s="12">
        <v>42886</v>
      </c>
      <c r="M531" t="s">
        <v>36</v>
      </c>
    </row>
    <row r="532" spans="1:13" ht="30" customHeight="1">
      <c r="A532" s="6" t="s">
        <v>1023</v>
      </c>
      <c r="B532" s="7" t="s">
        <v>1024</v>
      </c>
      <c r="C532" s="7" t="s">
        <v>66</v>
      </c>
      <c r="D532" s="6" t="s">
        <v>18</v>
      </c>
      <c r="E532" s="7" t="s">
        <v>1025</v>
      </c>
      <c r="F532" s="8"/>
      <c r="G532" s="9">
        <f>IFERROR(VLOOKUP(D532,Listas!$A$2:$B$20,2,FALSE()),999)</f>
        <v>1</v>
      </c>
      <c r="H532" s="9" t="str">
        <f t="shared" ca="1" si="8"/>
        <v>Sin fecha</v>
      </c>
      <c r="J532" s="11">
        <v>120</v>
      </c>
      <c r="K532" s="11">
        <v>120</v>
      </c>
      <c r="L532" s="12">
        <v>41090</v>
      </c>
      <c r="M532" t="s">
        <v>36</v>
      </c>
    </row>
    <row r="533" spans="1:13" ht="30" customHeight="1">
      <c r="A533" s="6" t="s">
        <v>1026</v>
      </c>
      <c r="B533" s="7" t="s">
        <v>1024</v>
      </c>
      <c r="C533" s="7" t="s">
        <v>1027</v>
      </c>
      <c r="D533" s="6" t="s">
        <v>18</v>
      </c>
      <c r="E533" s="7" t="s">
        <v>1025</v>
      </c>
      <c r="F533" s="8"/>
      <c r="G533" s="9">
        <f>IFERROR(VLOOKUP(D533,Listas!$A$2:$B$20,2,FALSE()),999)</f>
        <v>1</v>
      </c>
      <c r="H533" s="9" t="str">
        <f t="shared" ca="1" si="8"/>
        <v>Sin fecha</v>
      </c>
      <c r="J533" s="11">
        <v>120</v>
      </c>
      <c r="K533" s="11">
        <v>120</v>
      </c>
      <c r="L533" s="12">
        <v>41090</v>
      </c>
      <c r="M533" t="s">
        <v>36</v>
      </c>
    </row>
    <row r="534" spans="1:13" ht="30" customHeight="1">
      <c r="A534" s="6" t="s">
        <v>1028</v>
      </c>
      <c r="B534" s="7" t="s">
        <v>1029</v>
      </c>
      <c r="C534" s="7" t="s">
        <v>66</v>
      </c>
      <c r="D534" s="6" t="s">
        <v>18</v>
      </c>
      <c r="E534" s="7" t="s">
        <v>1025</v>
      </c>
      <c r="F534" s="8"/>
      <c r="G534" s="9">
        <f>IFERROR(VLOOKUP(D534,Listas!$A$2:$B$20,2,FALSE()),999)</f>
        <v>1</v>
      </c>
      <c r="H534" s="9" t="str">
        <f t="shared" ca="1" si="8"/>
        <v>Sin fecha</v>
      </c>
      <c r="J534" s="11">
        <v>120</v>
      </c>
      <c r="K534" s="11">
        <v>120</v>
      </c>
      <c r="L534" s="12">
        <v>41090</v>
      </c>
      <c r="M534" t="s">
        <v>36</v>
      </c>
    </row>
    <row r="535" spans="1:13" ht="30" customHeight="1">
      <c r="A535" s="6" t="s">
        <v>1030</v>
      </c>
      <c r="B535" s="7" t="s">
        <v>1031</v>
      </c>
      <c r="C535" s="7" t="s">
        <v>1032</v>
      </c>
      <c r="D535" s="6" t="s">
        <v>18</v>
      </c>
      <c r="E535" s="7" t="s">
        <v>1025</v>
      </c>
      <c r="F535" s="8"/>
      <c r="G535" s="9">
        <f>IFERROR(VLOOKUP(D535,Listas!$A$2:$B$20,2,FALSE()),999)</f>
        <v>1</v>
      </c>
      <c r="H535" s="9" t="str">
        <f t="shared" ca="1" si="8"/>
        <v>Sin fecha</v>
      </c>
      <c r="J535" s="11">
        <v>120</v>
      </c>
      <c r="K535" s="11">
        <v>120</v>
      </c>
      <c r="L535" s="12">
        <v>41090</v>
      </c>
      <c r="M535" t="s">
        <v>36</v>
      </c>
    </row>
    <row r="536" spans="1:13" ht="30" customHeight="1">
      <c r="A536" s="6" t="s">
        <v>1033</v>
      </c>
      <c r="B536" s="7" t="s">
        <v>1031</v>
      </c>
      <c r="C536" s="7" t="s">
        <v>1032</v>
      </c>
      <c r="D536" s="6" t="s">
        <v>18</v>
      </c>
      <c r="E536" s="7" t="s">
        <v>1025</v>
      </c>
      <c r="F536" s="8"/>
      <c r="G536" s="9">
        <f>IFERROR(VLOOKUP(D536,Listas!$A$2:$B$20,2,FALSE()),999)</f>
        <v>1</v>
      </c>
      <c r="H536" s="9" t="str">
        <f t="shared" ca="1" si="8"/>
        <v>Sin fecha</v>
      </c>
      <c r="J536" s="11">
        <v>120</v>
      </c>
      <c r="K536" s="11">
        <v>120</v>
      </c>
      <c r="L536" s="12">
        <v>41090</v>
      </c>
      <c r="M536" t="s">
        <v>36</v>
      </c>
    </row>
    <row r="537" spans="1:13" ht="30" customHeight="1">
      <c r="A537" s="6" t="s">
        <v>1034</v>
      </c>
      <c r="B537" s="7" t="s">
        <v>1031</v>
      </c>
      <c r="C537" s="7" t="s">
        <v>1032</v>
      </c>
      <c r="D537" s="6" t="s">
        <v>18</v>
      </c>
      <c r="E537" s="7" t="s">
        <v>1025</v>
      </c>
      <c r="F537" s="8"/>
      <c r="G537" s="9">
        <f>IFERROR(VLOOKUP(D537,Listas!$A$2:$B$20,2,FALSE()),999)</f>
        <v>1</v>
      </c>
      <c r="H537" s="9" t="str">
        <f t="shared" ca="1" si="8"/>
        <v>Sin fecha</v>
      </c>
      <c r="J537" s="11">
        <v>120</v>
      </c>
      <c r="K537" s="11">
        <v>120</v>
      </c>
      <c r="L537" s="12">
        <v>41090</v>
      </c>
      <c r="M537" t="s">
        <v>36</v>
      </c>
    </row>
    <row r="538" spans="1:13" ht="30" customHeight="1">
      <c r="A538" s="6" t="s">
        <v>1035</v>
      </c>
      <c r="B538" s="7" t="s">
        <v>1031</v>
      </c>
      <c r="C538" s="7" t="s">
        <v>1032</v>
      </c>
      <c r="D538" s="6" t="s">
        <v>18</v>
      </c>
      <c r="E538" s="7" t="s">
        <v>1025</v>
      </c>
      <c r="F538" s="8"/>
      <c r="G538" s="9">
        <f>IFERROR(VLOOKUP(D538,Listas!$A$2:$B$20,2,FALSE()),999)</f>
        <v>1</v>
      </c>
      <c r="H538" s="9" t="str">
        <f t="shared" ca="1" si="8"/>
        <v>Sin fecha</v>
      </c>
      <c r="J538" s="11">
        <v>120</v>
      </c>
      <c r="K538" s="11">
        <v>120</v>
      </c>
      <c r="L538" s="12">
        <v>41090</v>
      </c>
      <c r="M538" t="s">
        <v>36</v>
      </c>
    </row>
    <row r="539" spans="1:13" ht="30" customHeight="1">
      <c r="A539" s="6" t="s">
        <v>1036</v>
      </c>
      <c r="B539" s="7" t="s">
        <v>1037</v>
      </c>
      <c r="C539" s="7" t="s">
        <v>1038</v>
      </c>
      <c r="D539" s="6" t="s">
        <v>18</v>
      </c>
      <c r="E539" s="7" t="s">
        <v>1025</v>
      </c>
      <c r="F539" s="8"/>
      <c r="G539" s="9">
        <f>IFERROR(VLOOKUP(D539,Listas!$A$2:$B$20,2,FALSE()),999)</f>
        <v>1</v>
      </c>
      <c r="H539" s="9" t="str">
        <f t="shared" ca="1" si="8"/>
        <v>Sin fecha</v>
      </c>
      <c r="J539" s="11">
        <v>120</v>
      </c>
      <c r="K539" s="11">
        <v>120</v>
      </c>
      <c r="L539" s="12">
        <v>41090</v>
      </c>
      <c r="M539" t="s">
        <v>36</v>
      </c>
    </row>
    <row r="540" spans="1:13" ht="30" customHeight="1">
      <c r="A540" s="6" t="s">
        <v>1039</v>
      </c>
      <c r="B540" s="7" t="s">
        <v>1037</v>
      </c>
      <c r="C540" s="7" t="s">
        <v>1038</v>
      </c>
      <c r="D540" s="6" t="s">
        <v>18</v>
      </c>
      <c r="E540" s="7" t="s">
        <v>1025</v>
      </c>
      <c r="F540" s="8"/>
      <c r="G540" s="9">
        <f>IFERROR(VLOOKUP(D540,Listas!$A$2:$B$20,2,FALSE()),999)</f>
        <v>1</v>
      </c>
      <c r="H540" s="9" t="str">
        <f t="shared" ca="1" si="8"/>
        <v>Sin fecha</v>
      </c>
      <c r="J540" s="11">
        <v>120</v>
      </c>
      <c r="K540" s="11">
        <v>120</v>
      </c>
      <c r="L540" s="12">
        <v>41090</v>
      </c>
      <c r="M540" t="s">
        <v>36</v>
      </c>
    </row>
    <row r="541" spans="1:13" ht="30" customHeight="1">
      <c r="A541" s="6" t="s">
        <v>1040</v>
      </c>
      <c r="B541" s="7" t="s">
        <v>1037</v>
      </c>
      <c r="C541" s="7" t="s">
        <v>1038</v>
      </c>
      <c r="D541" s="6" t="s">
        <v>18</v>
      </c>
      <c r="E541" s="7" t="s">
        <v>1025</v>
      </c>
      <c r="F541" s="8"/>
      <c r="G541" s="9">
        <f>IFERROR(VLOOKUP(D541,Listas!$A$2:$B$20,2,FALSE()),999)</f>
        <v>1</v>
      </c>
      <c r="H541" s="9" t="str">
        <f t="shared" ca="1" si="8"/>
        <v>Sin fecha</v>
      </c>
      <c r="J541" s="11">
        <v>120</v>
      </c>
      <c r="K541" s="11">
        <v>120</v>
      </c>
      <c r="L541" s="12">
        <v>41090</v>
      </c>
      <c r="M541" t="s">
        <v>36</v>
      </c>
    </row>
    <row r="542" spans="1:13" ht="30" customHeight="1">
      <c r="A542" s="6" t="s">
        <v>1041</v>
      </c>
      <c r="B542" s="7" t="s">
        <v>1037</v>
      </c>
      <c r="C542" s="7" t="s">
        <v>1038</v>
      </c>
      <c r="D542" s="6" t="s">
        <v>18</v>
      </c>
      <c r="E542" s="7" t="s">
        <v>1025</v>
      </c>
      <c r="F542" s="8"/>
      <c r="G542" s="9">
        <f>IFERROR(VLOOKUP(D542,Listas!$A$2:$B$20,2,FALSE()),999)</f>
        <v>1</v>
      </c>
      <c r="H542" s="9" t="str">
        <f t="shared" ca="1" si="8"/>
        <v>Sin fecha</v>
      </c>
      <c r="J542" s="11">
        <v>120</v>
      </c>
      <c r="K542" s="11">
        <v>120</v>
      </c>
      <c r="L542" s="12">
        <v>41090</v>
      </c>
      <c r="M542" t="s">
        <v>36</v>
      </c>
    </row>
    <row r="543" spans="1:13" ht="30" customHeight="1">
      <c r="A543" s="6" t="s">
        <v>1042</v>
      </c>
      <c r="B543" s="7" t="s">
        <v>1043</v>
      </c>
      <c r="C543" s="7" t="s">
        <v>1044</v>
      </c>
      <c r="D543" s="6" t="s">
        <v>18</v>
      </c>
      <c r="E543" s="7" t="s">
        <v>1025</v>
      </c>
      <c r="F543" s="8"/>
      <c r="G543" s="9">
        <f>IFERROR(VLOOKUP(D543,Listas!$A$2:$B$20,2,FALSE()),999)</f>
        <v>1</v>
      </c>
      <c r="H543" s="9" t="str">
        <f t="shared" ca="1" si="8"/>
        <v>Sin fecha</v>
      </c>
      <c r="J543" s="11">
        <v>120</v>
      </c>
      <c r="K543" s="11">
        <v>120</v>
      </c>
      <c r="L543" s="12">
        <v>41090</v>
      </c>
      <c r="M543" t="s">
        <v>36</v>
      </c>
    </row>
    <row r="544" spans="1:13" ht="30" customHeight="1">
      <c r="A544" s="6" t="s">
        <v>1045</v>
      </c>
      <c r="B544" s="7" t="s">
        <v>1043</v>
      </c>
      <c r="C544" s="7" t="s">
        <v>1044</v>
      </c>
      <c r="D544" s="6" t="s">
        <v>18</v>
      </c>
      <c r="E544" s="7" t="s">
        <v>1025</v>
      </c>
      <c r="F544" s="8"/>
      <c r="G544" s="9">
        <f>IFERROR(VLOOKUP(D544,Listas!$A$2:$B$20,2,FALSE()),999)</f>
        <v>1</v>
      </c>
      <c r="H544" s="9" t="str">
        <f t="shared" ca="1" si="8"/>
        <v>Sin fecha</v>
      </c>
      <c r="J544" s="11">
        <v>120</v>
      </c>
      <c r="K544" s="11">
        <v>120</v>
      </c>
      <c r="L544" s="12">
        <v>41090</v>
      </c>
      <c r="M544" t="s">
        <v>36</v>
      </c>
    </row>
    <row r="545" spans="1:13" ht="30" customHeight="1">
      <c r="A545" s="6" t="s">
        <v>1046</v>
      </c>
      <c r="B545" s="7" t="s">
        <v>1043</v>
      </c>
      <c r="C545" s="7" t="s">
        <v>1044</v>
      </c>
      <c r="D545" s="6" t="s">
        <v>18</v>
      </c>
      <c r="E545" s="7" t="s">
        <v>1025</v>
      </c>
      <c r="F545" s="8"/>
      <c r="G545" s="9">
        <f>IFERROR(VLOOKUP(D545,Listas!$A$2:$B$20,2,FALSE()),999)</f>
        <v>1</v>
      </c>
      <c r="H545" s="9" t="str">
        <f t="shared" ca="1" si="8"/>
        <v>Sin fecha</v>
      </c>
      <c r="J545" s="11">
        <v>120</v>
      </c>
      <c r="K545" s="11">
        <v>120</v>
      </c>
      <c r="L545" s="12">
        <v>41090</v>
      </c>
      <c r="M545" t="s">
        <v>36</v>
      </c>
    </row>
    <row r="546" spans="1:13" ht="30" customHeight="1">
      <c r="A546" s="6" t="s">
        <v>1047</v>
      </c>
      <c r="B546" s="7" t="s">
        <v>1043</v>
      </c>
      <c r="C546" s="7" t="s">
        <v>1044</v>
      </c>
      <c r="D546" s="6" t="s">
        <v>18</v>
      </c>
      <c r="E546" s="7" t="s">
        <v>1025</v>
      </c>
      <c r="F546" s="8"/>
      <c r="G546" s="9">
        <f>IFERROR(VLOOKUP(D546,Listas!$A$2:$B$20,2,FALSE()),999)</f>
        <v>1</v>
      </c>
      <c r="H546" s="9" t="str">
        <f t="shared" ca="1" si="8"/>
        <v>Sin fecha</v>
      </c>
      <c r="J546" s="11">
        <v>120</v>
      </c>
      <c r="K546" s="11">
        <v>120</v>
      </c>
      <c r="L546" s="12">
        <v>41090</v>
      </c>
      <c r="M546" t="s">
        <v>36</v>
      </c>
    </row>
    <row r="547" spans="1:13" ht="30" customHeight="1">
      <c r="A547" s="6" t="s">
        <v>1048</v>
      </c>
      <c r="B547" s="7" t="s">
        <v>1049</v>
      </c>
      <c r="C547" s="7" t="s">
        <v>1050</v>
      </c>
      <c r="D547" s="6" t="s">
        <v>18</v>
      </c>
      <c r="E547" s="7" t="s">
        <v>1025</v>
      </c>
      <c r="F547" s="8"/>
      <c r="G547" s="9">
        <f>IFERROR(VLOOKUP(D547,Listas!$A$2:$B$20,2,FALSE()),999)</f>
        <v>1</v>
      </c>
      <c r="H547" s="9" t="str">
        <f t="shared" ca="1" si="8"/>
        <v>Sin fecha</v>
      </c>
      <c r="J547" s="11">
        <v>60</v>
      </c>
      <c r="K547" s="11">
        <v>60</v>
      </c>
      <c r="L547" s="12">
        <v>42400</v>
      </c>
      <c r="M547" t="s">
        <v>36</v>
      </c>
    </row>
    <row r="548" spans="1:13" ht="30" customHeight="1">
      <c r="A548" s="6" t="s">
        <v>1051</v>
      </c>
      <c r="B548" s="7" t="s">
        <v>1049</v>
      </c>
      <c r="C548" s="7" t="s">
        <v>1050</v>
      </c>
      <c r="D548" s="6" t="s">
        <v>18</v>
      </c>
      <c r="E548" s="7" t="s">
        <v>1025</v>
      </c>
      <c r="F548" s="8"/>
      <c r="G548" s="9">
        <f>IFERROR(VLOOKUP(D548,Listas!$A$2:$B$20,2,FALSE()),999)</f>
        <v>1</v>
      </c>
      <c r="H548" s="9" t="str">
        <f t="shared" ca="1" si="8"/>
        <v>Sin fecha</v>
      </c>
      <c r="J548" s="11">
        <v>60</v>
      </c>
      <c r="K548" s="11">
        <v>60</v>
      </c>
      <c r="L548" s="12">
        <v>42400</v>
      </c>
      <c r="M548" t="s">
        <v>36</v>
      </c>
    </row>
    <row r="549" spans="1:13" ht="30" customHeight="1">
      <c r="A549" s="6" t="s">
        <v>1052</v>
      </c>
      <c r="B549" s="7" t="s">
        <v>1049</v>
      </c>
      <c r="C549" s="7" t="s">
        <v>1050</v>
      </c>
      <c r="D549" s="6" t="s">
        <v>18</v>
      </c>
      <c r="E549" s="7" t="s">
        <v>1025</v>
      </c>
      <c r="F549" s="8"/>
      <c r="G549" s="9">
        <f>IFERROR(VLOOKUP(D549,Listas!$A$2:$B$20,2,FALSE()),999)</f>
        <v>1</v>
      </c>
      <c r="H549" s="9" t="str">
        <f t="shared" ca="1" si="8"/>
        <v>Sin fecha</v>
      </c>
      <c r="J549" s="11">
        <v>60</v>
      </c>
      <c r="K549" s="11">
        <v>60</v>
      </c>
      <c r="L549" s="12">
        <v>42400</v>
      </c>
      <c r="M549" t="s">
        <v>36</v>
      </c>
    </row>
    <row r="550" spans="1:13" ht="30" customHeight="1">
      <c r="A550" s="6" t="s">
        <v>1053</v>
      </c>
      <c r="B550" s="7" t="s">
        <v>1049</v>
      </c>
      <c r="C550" s="7" t="s">
        <v>1050</v>
      </c>
      <c r="D550" s="6" t="s">
        <v>18</v>
      </c>
      <c r="E550" s="7" t="s">
        <v>1025</v>
      </c>
      <c r="F550" s="8"/>
      <c r="G550" s="9">
        <f>IFERROR(VLOOKUP(D550,Listas!$A$2:$B$20,2,FALSE()),999)</f>
        <v>1</v>
      </c>
      <c r="H550" s="9" t="str">
        <f t="shared" ca="1" si="8"/>
        <v>Sin fecha</v>
      </c>
      <c r="J550" s="11">
        <v>60</v>
      </c>
      <c r="K550" s="11">
        <v>60</v>
      </c>
      <c r="L550" s="12">
        <v>42400</v>
      </c>
      <c r="M550" t="s">
        <v>36</v>
      </c>
    </row>
    <row r="551" spans="1:13" ht="30" customHeight="1">
      <c r="A551" s="6" t="s">
        <v>1054</v>
      </c>
      <c r="B551" s="7" t="s">
        <v>1055</v>
      </c>
      <c r="C551" s="7" t="s">
        <v>1056</v>
      </c>
      <c r="D551" s="6" t="s">
        <v>18</v>
      </c>
      <c r="E551" s="7" t="s">
        <v>1025</v>
      </c>
      <c r="F551" s="8"/>
      <c r="G551" s="9">
        <f>IFERROR(VLOOKUP(D551,Listas!$A$2:$B$20,2,FALSE()),999)</f>
        <v>1</v>
      </c>
      <c r="H551" s="9" t="str">
        <f t="shared" ca="1" si="8"/>
        <v>Sin fecha</v>
      </c>
      <c r="J551" s="11">
        <v>120</v>
      </c>
      <c r="K551" s="11">
        <v>120</v>
      </c>
      <c r="L551" s="12">
        <v>41090</v>
      </c>
      <c r="M551" t="s">
        <v>36</v>
      </c>
    </row>
    <row r="552" spans="1:13" ht="30" customHeight="1">
      <c r="A552" s="6" t="s">
        <v>1057</v>
      </c>
      <c r="B552" s="7" t="s">
        <v>1058</v>
      </c>
      <c r="C552" s="7" t="s">
        <v>1059</v>
      </c>
      <c r="D552" s="6" t="s">
        <v>18</v>
      </c>
      <c r="E552" s="7" t="s">
        <v>1025</v>
      </c>
      <c r="F552" s="8"/>
      <c r="G552" s="9">
        <f>IFERROR(VLOOKUP(D552,Listas!$A$2:$B$20,2,FALSE()),999)</f>
        <v>1</v>
      </c>
      <c r="H552" s="9" t="str">
        <f t="shared" ca="1" si="8"/>
        <v>Sin fecha</v>
      </c>
      <c r="J552" s="11">
        <v>120</v>
      </c>
      <c r="K552" s="11">
        <v>120</v>
      </c>
      <c r="L552" s="12">
        <v>41090</v>
      </c>
      <c r="M552" t="s">
        <v>36</v>
      </c>
    </row>
    <row r="553" spans="1:13" ht="30" customHeight="1">
      <c r="A553" s="6" t="s">
        <v>1060</v>
      </c>
      <c r="B553" s="7" t="s">
        <v>1058</v>
      </c>
      <c r="C553" s="7" t="s">
        <v>1059</v>
      </c>
      <c r="D553" s="6" t="s">
        <v>18</v>
      </c>
      <c r="E553" s="7" t="s">
        <v>1025</v>
      </c>
      <c r="F553" s="8"/>
      <c r="G553" s="9">
        <f>IFERROR(VLOOKUP(D553,Listas!$A$2:$B$20,2,FALSE()),999)</f>
        <v>1</v>
      </c>
      <c r="H553" s="9" t="str">
        <f t="shared" ca="1" si="8"/>
        <v>Sin fecha</v>
      </c>
      <c r="J553" s="11">
        <v>120</v>
      </c>
      <c r="K553" s="11">
        <v>120</v>
      </c>
      <c r="L553" s="12">
        <v>41090</v>
      </c>
      <c r="M553" t="s">
        <v>36</v>
      </c>
    </row>
    <row r="554" spans="1:13" ht="30" customHeight="1">
      <c r="A554" s="6" t="s">
        <v>1061</v>
      </c>
      <c r="B554" s="7" t="s">
        <v>1058</v>
      </c>
      <c r="C554" s="7" t="s">
        <v>1059</v>
      </c>
      <c r="D554" s="6" t="s">
        <v>18</v>
      </c>
      <c r="E554" s="7" t="s">
        <v>1025</v>
      </c>
      <c r="F554" s="8"/>
      <c r="G554" s="9">
        <f>IFERROR(VLOOKUP(D554,Listas!$A$2:$B$20,2,FALSE()),999)</f>
        <v>1</v>
      </c>
      <c r="H554" s="9" t="str">
        <f t="shared" ca="1" si="8"/>
        <v>Sin fecha</v>
      </c>
      <c r="J554" s="11">
        <v>120</v>
      </c>
      <c r="K554" s="11">
        <v>120</v>
      </c>
      <c r="L554" s="12">
        <v>41090</v>
      </c>
      <c r="M554" t="s">
        <v>36</v>
      </c>
    </row>
    <row r="555" spans="1:13" ht="30" customHeight="1">
      <c r="A555" s="6" t="s">
        <v>1062</v>
      </c>
      <c r="B555" s="7" t="s">
        <v>1063</v>
      </c>
      <c r="C555" s="7" t="s">
        <v>1064</v>
      </c>
      <c r="D555" s="6" t="s">
        <v>18</v>
      </c>
      <c r="E555" s="7" t="s">
        <v>1025</v>
      </c>
      <c r="F555" s="8"/>
      <c r="G555" s="9">
        <f>IFERROR(VLOOKUP(D555,Listas!$A$2:$B$20,2,FALSE()),999)</f>
        <v>1</v>
      </c>
      <c r="H555" s="9" t="str">
        <f t="shared" ca="1" si="8"/>
        <v>Sin fecha</v>
      </c>
      <c r="J555" s="11">
        <v>120</v>
      </c>
      <c r="K555" s="11">
        <v>120</v>
      </c>
      <c r="L555" s="12">
        <v>41090</v>
      </c>
      <c r="M555" t="s">
        <v>36</v>
      </c>
    </row>
    <row r="556" spans="1:13" ht="30" customHeight="1">
      <c r="A556" s="6" t="s">
        <v>1065</v>
      </c>
      <c r="B556" s="7" t="s">
        <v>1066</v>
      </c>
      <c r="C556" s="7" t="s">
        <v>1067</v>
      </c>
      <c r="D556" s="6" t="s">
        <v>18</v>
      </c>
      <c r="E556" s="7" t="s">
        <v>1025</v>
      </c>
      <c r="F556" s="8"/>
      <c r="G556" s="9">
        <f>IFERROR(VLOOKUP(D556,Listas!$A$2:$B$20,2,FALSE()),999)</f>
        <v>1</v>
      </c>
      <c r="H556" s="9" t="str">
        <f t="shared" ca="1" si="8"/>
        <v>Sin fecha</v>
      </c>
      <c r="J556" s="11">
        <v>120</v>
      </c>
      <c r="K556" s="11">
        <v>120</v>
      </c>
      <c r="L556" s="12">
        <v>41090</v>
      </c>
      <c r="M556" t="s">
        <v>36</v>
      </c>
    </row>
    <row r="557" spans="1:13" ht="30" customHeight="1">
      <c r="A557" s="6" t="s">
        <v>1068</v>
      </c>
      <c r="B557" s="7" t="s">
        <v>1069</v>
      </c>
      <c r="C557" s="7" t="s">
        <v>1070</v>
      </c>
      <c r="D557" s="6" t="s">
        <v>18</v>
      </c>
      <c r="E557" s="7" t="s">
        <v>1025</v>
      </c>
      <c r="F557" s="8"/>
      <c r="G557" s="9">
        <f>IFERROR(VLOOKUP(D557,Listas!$A$2:$B$20,2,FALSE()),999)</f>
        <v>1</v>
      </c>
      <c r="H557" s="9" t="str">
        <f t="shared" ca="1" si="8"/>
        <v>Sin fecha</v>
      </c>
      <c r="J557" s="11">
        <v>120</v>
      </c>
      <c r="K557" s="11">
        <v>120</v>
      </c>
      <c r="L557" s="12">
        <v>41090</v>
      </c>
      <c r="M557" t="s">
        <v>36</v>
      </c>
    </row>
    <row r="558" spans="1:13" ht="30" customHeight="1">
      <c r="A558" s="6" t="s">
        <v>1071</v>
      </c>
      <c r="B558" s="7" t="s">
        <v>1069</v>
      </c>
      <c r="C558" s="7" t="s">
        <v>1070</v>
      </c>
      <c r="D558" s="6" t="s">
        <v>18</v>
      </c>
      <c r="E558" s="7" t="s">
        <v>1025</v>
      </c>
      <c r="F558" s="8"/>
      <c r="G558" s="9">
        <f>IFERROR(VLOOKUP(D558,Listas!$A$2:$B$20,2,FALSE()),999)</f>
        <v>1</v>
      </c>
      <c r="H558" s="9" t="str">
        <f t="shared" ca="1" si="8"/>
        <v>Sin fecha</v>
      </c>
      <c r="J558" s="11">
        <v>120</v>
      </c>
      <c r="K558" s="11">
        <v>120</v>
      </c>
      <c r="L558" s="12">
        <v>41090</v>
      </c>
      <c r="M558" t="s">
        <v>36</v>
      </c>
    </row>
    <row r="559" spans="1:13" ht="30" customHeight="1">
      <c r="A559" s="6" t="s">
        <v>1072</v>
      </c>
      <c r="B559" s="7" t="s">
        <v>1069</v>
      </c>
      <c r="C559" s="7" t="s">
        <v>1070</v>
      </c>
      <c r="D559" s="6" t="s">
        <v>18</v>
      </c>
      <c r="E559" s="7" t="s">
        <v>1025</v>
      </c>
      <c r="F559" s="8"/>
      <c r="G559" s="9">
        <f>IFERROR(VLOOKUP(D559,Listas!$A$2:$B$20,2,FALSE()),999)</f>
        <v>1</v>
      </c>
      <c r="H559" s="9" t="str">
        <f t="shared" ca="1" si="8"/>
        <v>Sin fecha</v>
      </c>
      <c r="J559" s="11">
        <v>120</v>
      </c>
      <c r="K559" s="11">
        <v>120</v>
      </c>
      <c r="L559" s="12">
        <v>41090</v>
      </c>
      <c r="M559" t="s">
        <v>36</v>
      </c>
    </row>
    <row r="560" spans="1:13" ht="30" customHeight="1">
      <c r="A560" s="6" t="s">
        <v>1073</v>
      </c>
      <c r="B560" s="7" t="s">
        <v>1069</v>
      </c>
      <c r="C560" s="7" t="s">
        <v>1070</v>
      </c>
      <c r="D560" s="6" t="s">
        <v>18</v>
      </c>
      <c r="E560" s="7" t="s">
        <v>1025</v>
      </c>
      <c r="F560" s="8"/>
      <c r="G560" s="9">
        <f>IFERROR(VLOOKUP(D560,Listas!$A$2:$B$20,2,FALSE()),999)</f>
        <v>1</v>
      </c>
      <c r="H560" s="9" t="str">
        <f t="shared" ca="1" si="8"/>
        <v>Sin fecha</v>
      </c>
      <c r="J560" s="11">
        <v>120</v>
      </c>
      <c r="K560" s="11">
        <v>120</v>
      </c>
      <c r="L560" s="12">
        <v>41090</v>
      </c>
      <c r="M560" t="s">
        <v>36</v>
      </c>
    </row>
    <row r="561" spans="1:13" ht="30" customHeight="1">
      <c r="A561" s="6" t="s">
        <v>1074</v>
      </c>
      <c r="B561" s="7" t="s">
        <v>1069</v>
      </c>
      <c r="C561" s="7" t="s">
        <v>1070</v>
      </c>
      <c r="D561" s="6" t="s">
        <v>18</v>
      </c>
      <c r="E561" s="7" t="s">
        <v>1025</v>
      </c>
      <c r="F561" s="8"/>
      <c r="G561" s="9">
        <f>IFERROR(VLOOKUP(D561,Listas!$A$2:$B$20,2,FALSE()),999)</f>
        <v>1</v>
      </c>
      <c r="H561" s="9" t="str">
        <f t="shared" ca="1" si="8"/>
        <v>Sin fecha</v>
      </c>
      <c r="J561" s="11">
        <v>120</v>
      </c>
      <c r="K561" s="11">
        <v>120</v>
      </c>
      <c r="L561" s="12">
        <v>41090</v>
      </c>
      <c r="M561" t="s">
        <v>36</v>
      </c>
    </row>
    <row r="562" spans="1:13" ht="30" customHeight="1">
      <c r="A562" s="6" t="s">
        <v>1075</v>
      </c>
      <c r="B562" s="7" t="s">
        <v>1076</v>
      </c>
      <c r="C562" s="7" t="s">
        <v>1077</v>
      </c>
      <c r="D562" s="6" t="s">
        <v>18</v>
      </c>
      <c r="E562" s="7" t="s">
        <v>1025</v>
      </c>
      <c r="F562" s="8"/>
      <c r="G562" s="9">
        <f>IFERROR(VLOOKUP(D562,Listas!$A$2:$B$20,2,FALSE()),999)</f>
        <v>1</v>
      </c>
      <c r="H562" s="9" t="str">
        <f t="shared" ca="1" si="8"/>
        <v>Sin fecha</v>
      </c>
      <c r="J562" s="11">
        <v>120</v>
      </c>
      <c r="K562" s="11">
        <v>120</v>
      </c>
      <c r="L562" s="12">
        <v>41090</v>
      </c>
      <c r="M562" t="s">
        <v>36</v>
      </c>
    </row>
    <row r="563" spans="1:13" ht="30" customHeight="1">
      <c r="A563" s="6" t="s">
        <v>1078</v>
      </c>
      <c r="B563" s="7" t="s">
        <v>1076</v>
      </c>
      <c r="C563" s="7" t="s">
        <v>1077</v>
      </c>
      <c r="D563" s="6" t="s">
        <v>18</v>
      </c>
      <c r="E563" s="7" t="s">
        <v>1025</v>
      </c>
      <c r="F563" s="8"/>
      <c r="G563" s="9">
        <f>IFERROR(VLOOKUP(D563,Listas!$A$2:$B$20,2,FALSE()),999)</f>
        <v>1</v>
      </c>
      <c r="H563" s="9" t="str">
        <f t="shared" ca="1" si="8"/>
        <v>Sin fecha</v>
      </c>
      <c r="J563" s="11">
        <v>120</v>
      </c>
      <c r="K563" s="11">
        <v>120</v>
      </c>
      <c r="L563" s="12">
        <v>41090</v>
      </c>
      <c r="M563" t="s">
        <v>36</v>
      </c>
    </row>
    <row r="564" spans="1:13" ht="30" customHeight="1">
      <c r="A564" s="6" t="s">
        <v>1079</v>
      </c>
      <c r="B564" s="7" t="s">
        <v>1080</v>
      </c>
      <c r="C564" s="7" t="s">
        <v>1081</v>
      </c>
      <c r="D564" s="6" t="s">
        <v>18</v>
      </c>
      <c r="E564" s="7" t="s">
        <v>1025</v>
      </c>
      <c r="F564" s="8"/>
      <c r="G564" s="9">
        <f>IFERROR(VLOOKUP(D564,Listas!$A$2:$B$20,2,FALSE()),999)</f>
        <v>1</v>
      </c>
      <c r="H564" s="9" t="str">
        <f t="shared" ca="1" si="8"/>
        <v>Sin fecha</v>
      </c>
      <c r="J564" s="11">
        <v>120</v>
      </c>
      <c r="K564" s="11">
        <v>120</v>
      </c>
      <c r="L564" s="12">
        <v>41090</v>
      </c>
      <c r="M564" t="s">
        <v>36</v>
      </c>
    </row>
    <row r="565" spans="1:13" ht="30" customHeight="1">
      <c r="A565" s="6" t="s">
        <v>1082</v>
      </c>
      <c r="B565" s="7" t="s">
        <v>1080</v>
      </c>
      <c r="C565" s="7" t="s">
        <v>1081</v>
      </c>
      <c r="D565" s="6" t="s">
        <v>18</v>
      </c>
      <c r="E565" s="7" t="s">
        <v>1025</v>
      </c>
      <c r="F565" s="8"/>
      <c r="G565" s="9">
        <f>IFERROR(VLOOKUP(D565,Listas!$A$2:$B$20,2,FALSE()),999)</f>
        <v>1</v>
      </c>
      <c r="H565" s="9" t="str">
        <f t="shared" ca="1" si="8"/>
        <v>Sin fecha</v>
      </c>
      <c r="J565" s="11">
        <v>120</v>
      </c>
      <c r="K565" s="11">
        <v>120</v>
      </c>
      <c r="L565" s="12">
        <v>41090</v>
      </c>
      <c r="M565" t="s">
        <v>36</v>
      </c>
    </row>
    <row r="566" spans="1:13" ht="30" customHeight="1">
      <c r="A566" s="6" t="s">
        <v>1083</v>
      </c>
      <c r="B566" s="7" t="s">
        <v>1080</v>
      </c>
      <c r="C566" s="7" t="s">
        <v>1081</v>
      </c>
      <c r="D566" s="6" t="s">
        <v>18</v>
      </c>
      <c r="E566" s="7" t="s">
        <v>1025</v>
      </c>
      <c r="F566" s="8"/>
      <c r="G566" s="9">
        <f>IFERROR(VLOOKUP(D566,Listas!$A$2:$B$20,2,FALSE()),999)</f>
        <v>1</v>
      </c>
      <c r="H566" s="9" t="str">
        <f t="shared" ca="1" si="8"/>
        <v>Sin fecha</v>
      </c>
      <c r="J566" s="11">
        <v>120</v>
      </c>
      <c r="K566" s="11">
        <v>120</v>
      </c>
      <c r="L566" s="12">
        <v>41090</v>
      </c>
      <c r="M566" t="s">
        <v>36</v>
      </c>
    </row>
    <row r="567" spans="1:13" ht="30" customHeight="1">
      <c r="A567" s="6" t="s">
        <v>1084</v>
      </c>
      <c r="B567" s="7" t="s">
        <v>1080</v>
      </c>
      <c r="C567" s="7" t="s">
        <v>1081</v>
      </c>
      <c r="D567" s="6" t="s">
        <v>18</v>
      </c>
      <c r="E567" s="7" t="s">
        <v>1025</v>
      </c>
      <c r="F567" s="8"/>
      <c r="G567" s="9">
        <f>IFERROR(VLOOKUP(D567,Listas!$A$2:$B$20,2,FALSE()),999)</f>
        <v>1</v>
      </c>
      <c r="H567" s="9" t="str">
        <f t="shared" ca="1" si="8"/>
        <v>Sin fecha</v>
      </c>
      <c r="J567" s="11">
        <v>120</v>
      </c>
      <c r="K567" s="11">
        <v>120</v>
      </c>
      <c r="L567" s="12">
        <v>41090</v>
      </c>
      <c r="M567" t="s">
        <v>36</v>
      </c>
    </row>
    <row r="568" spans="1:13" ht="30" customHeight="1">
      <c r="A568" s="6" t="s">
        <v>1085</v>
      </c>
      <c r="B568" s="7" t="s">
        <v>1086</v>
      </c>
      <c r="C568" s="7" t="s">
        <v>1087</v>
      </c>
      <c r="D568" s="6" t="s">
        <v>18</v>
      </c>
      <c r="E568" s="7" t="s">
        <v>1025</v>
      </c>
      <c r="F568" s="8"/>
      <c r="G568" s="9">
        <f>IFERROR(VLOOKUP(D568,Listas!$A$2:$B$20,2,FALSE()),999)</f>
        <v>1</v>
      </c>
      <c r="H568" s="9" t="str">
        <f t="shared" ca="1" si="8"/>
        <v>Sin fecha</v>
      </c>
      <c r="J568" s="11">
        <v>120</v>
      </c>
      <c r="K568" s="11">
        <v>120</v>
      </c>
      <c r="L568" s="12">
        <v>42216</v>
      </c>
      <c r="M568" t="s">
        <v>36</v>
      </c>
    </row>
    <row r="569" spans="1:13" ht="30" customHeight="1">
      <c r="A569" s="6" t="s">
        <v>1088</v>
      </c>
      <c r="B569" s="7" t="s">
        <v>1086</v>
      </c>
      <c r="C569" s="7" t="s">
        <v>1087</v>
      </c>
      <c r="D569" s="6" t="s">
        <v>18</v>
      </c>
      <c r="E569" s="7" t="s">
        <v>1025</v>
      </c>
      <c r="F569" s="8"/>
      <c r="G569" s="9">
        <f>IFERROR(VLOOKUP(D569,Listas!$A$2:$B$20,2,FALSE()),999)</f>
        <v>1</v>
      </c>
      <c r="H569" s="9" t="str">
        <f t="shared" ca="1" si="8"/>
        <v>Sin fecha</v>
      </c>
      <c r="J569" s="11">
        <v>120</v>
      </c>
      <c r="K569" s="11">
        <v>120</v>
      </c>
      <c r="L569" s="12">
        <v>42216</v>
      </c>
      <c r="M569" t="s">
        <v>36</v>
      </c>
    </row>
    <row r="570" spans="1:13" ht="30" customHeight="1">
      <c r="A570" s="6" t="s">
        <v>1089</v>
      </c>
      <c r="B570" s="7" t="s">
        <v>1086</v>
      </c>
      <c r="C570" s="7" t="s">
        <v>1087</v>
      </c>
      <c r="D570" s="6" t="s">
        <v>18</v>
      </c>
      <c r="E570" s="7" t="s">
        <v>1025</v>
      </c>
      <c r="F570" s="8"/>
      <c r="G570" s="9">
        <f>IFERROR(VLOOKUP(D570,Listas!$A$2:$B$20,2,FALSE()),999)</f>
        <v>1</v>
      </c>
      <c r="H570" s="9" t="str">
        <f t="shared" ca="1" si="8"/>
        <v>Sin fecha</v>
      </c>
      <c r="J570" s="11">
        <v>120</v>
      </c>
      <c r="K570" s="11">
        <v>120</v>
      </c>
      <c r="L570" s="12">
        <v>42216</v>
      </c>
      <c r="M570" t="s">
        <v>36</v>
      </c>
    </row>
    <row r="571" spans="1:13" ht="30" customHeight="1">
      <c r="A571" s="6" t="s">
        <v>1090</v>
      </c>
      <c r="B571" s="7" t="s">
        <v>1086</v>
      </c>
      <c r="C571" s="7" t="s">
        <v>1087</v>
      </c>
      <c r="D571" s="6" t="s">
        <v>18</v>
      </c>
      <c r="E571" s="7" t="s">
        <v>1025</v>
      </c>
      <c r="F571" s="8"/>
      <c r="G571" s="9">
        <f>IFERROR(VLOOKUP(D571,Listas!$A$2:$B$20,2,FALSE()),999)</f>
        <v>1</v>
      </c>
      <c r="H571" s="9" t="str">
        <f t="shared" ca="1" si="8"/>
        <v>Sin fecha</v>
      </c>
      <c r="J571" s="11">
        <v>120</v>
      </c>
      <c r="K571" s="11">
        <v>120</v>
      </c>
      <c r="L571" s="12">
        <v>42216</v>
      </c>
      <c r="M571" t="s">
        <v>36</v>
      </c>
    </row>
    <row r="572" spans="1:13" ht="30" customHeight="1">
      <c r="A572" s="6" t="s">
        <v>1091</v>
      </c>
      <c r="B572" s="7" t="s">
        <v>1092</v>
      </c>
      <c r="C572" s="7" t="s">
        <v>1093</v>
      </c>
      <c r="D572" s="6" t="s">
        <v>18</v>
      </c>
      <c r="E572" s="7" t="s">
        <v>1025</v>
      </c>
      <c r="F572" s="8"/>
      <c r="G572" s="9">
        <f>IFERROR(VLOOKUP(D572,Listas!$A$2:$B$20,2,FALSE()),999)</f>
        <v>1</v>
      </c>
      <c r="H572" s="9" t="str">
        <f t="shared" ca="1" si="8"/>
        <v>Sin fecha</v>
      </c>
      <c r="J572" s="11">
        <v>120</v>
      </c>
      <c r="K572" s="11">
        <v>120</v>
      </c>
      <c r="L572" s="12">
        <v>41090</v>
      </c>
      <c r="M572" t="s">
        <v>36</v>
      </c>
    </row>
    <row r="573" spans="1:13" ht="30" customHeight="1">
      <c r="A573" s="6" t="s">
        <v>1094</v>
      </c>
      <c r="B573" s="7" t="s">
        <v>1092</v>
      </c>
      <c r="C573" s="7" t="s">
        <v>1093</v>
      </c>
      <c r="D573" s="6" t="s">
        <v>18</v>
      </c>
      <c r="E573" s="7" t="s">
        <v>1025</v>
      </c>
      <c r="F573" s="8"/>
      <c r="G573" s="9">
        <f>IFERROR(VLOOKUP(D573,Listas!$A$2:$B$20,2,FALSE()),999)</f>
        <v>1</v>
      </c>
      <c r="H573" s="9" t="str">
        <f t="shared" ca="1" si="8"/>
        <v>Sin fecha</v>
      </c>
      <c r="J573" s="11">
        <v>120</v>
      </c>
      <c r="K573" s="11">
        <v>120</v>
      </c>
      <c r="L573" s="12">
        <v>41090</v>
      </c>
      <c r="M573" t="s">
        <v>36</v>
      </c>
    </row>
    <row r="574" spans="1:13" ht="30" customHeight="1">
      <c r="A574" s="6" t="s">
        <v>1095</v>
      </c>
      <c r="B574" s="7" t="s">
        <v>1092</v>
      </c>
      <c r="C574" s="7" t="s">
        <v>1093</v>
      </c>
      <c r="D574" s="6" t="s">
        <v>18</v>
      </c>
      <c r="E574" s="7" t="s">
        <v>1025</v>
      </c>
      <c r="F574" s="8"/>
      <c r="G574" s="9">
        <f>IFERROR(VLOOKUP(D574,Listas!$A$2:$B$20,2,FALSE()),999)</f>
        <v>1</v>
      </c>
      <c r="H574" s="9" t="str">
        <f t="shared" ca="1" si="8"/>
        <v>Sin fecha</v>
      </c>
      <c r="J574" s="11">
        <v>120</v>
      </c>
      <c r="K574" s="11">
        <v>120</v>
      </c>
      <c r="L574" s="12">
        <v>41090</v>
      </c>
      <c r="M574" t="s">
        <v>36</v>
      </c>
    </row>
    <row r="575" spans="1:13" ht="30" customHeight="1">
      <c r="A575" s="6" t="s">
        <v>1096</v>
      </c>
      <c r="B575" s="7" t="s">
        <v>1092</v>
      </c>
      <c r="C575" s="7" t="s">
        <v>1093</v>
      </c>
      <c r="D575" s="6" t="s">
        <v>18</v>
      </c>
      <c r="E575" s="7" t="s">
        <v>1025</v>
      </c>
      <c r="F575" s="8"/>
      <c r="G575" s="9">
        <f>IFERROR(VLOOKUP(D575,Listas!$A$2:$B$20,2,FALSE()),999)</f>
        <v>1</v>
      </c>
      <c r="H575" s="9" t="str">
        <f t="shared" ca="1" si="8"/>
        <v>Sin fecha</v>
      </c>
      <c r="J575" s="11">
        <v>120</v>
      </c>
      <c r="K575" s="11">
        <v>120</v>
      </c>
      <c r="L575" s="12">
        <v>41090</v>
      </c>
      <c r="M575" t="s">
        <v>36</v>
      </c>
    </row>
    <row r="576" spans="1:13" ht="30" customHeight="1">
      <c r="A576" s="6" t="s">
        <v>1097</v>
      </c>
      <c r="B576" s="7" t="s">
        <v>1098</v>
      </c>
      <c r="C576" s="7" t="s">
        <v>1099</v>
      </c>
      <c r="D576" s="6" t="s">
        <v>18</v>
      </c>
      <c r="E576" s="7" t="s">
        <v>1025</v>
      </c>
      <c r="F576" s="8"/>
      <c r="G576" s="9">
        <f>IFERROR(VLOOKUP(D576,Listas!$A$2:$B$20,2,FALSE()),999)</f>
        <v>1</v>
      </c>
      <c r="H576" s="9" t="str">
        <f t="shared" ca="1" si="8"/>
        <v>Sin fecha</v>
      </c>
      <c r="J576" s="11">
        <v>120</v>
      </c>
      <c r="K576" s="11">
        <v>120</v>
      </c>
      <c r="L576" s="12">
        <v>41090</v>
      </c>
      <c r="M576" t="s">
        <v>36</v>
      </c>
    </row>
    <row r="577" spans="1:13" ht="30" customHeight="1">
      <c r="A577" s="6" t="s">
        <v>1100</v>
      </c>
      <c r="B577" s="7" t="s">
        <v>1098</v>
      </c>
      <c r="C577" s="7" t="s">
        <v>1099</v>
      </c>
      <c r="D577" s="6" t="s">
        <v>18</v>
      </c>
      <c r="E577" s="7" t="s">
        <v>1025</v>
      </c>
      <c r="F577" s="8"/>
      <c r="G577" s="9">
        <f>IFERROR(VLOOKUP(D577,Listas!$A$2:$B$20,2,FALSE()),999)</f>
        <v>1</v>
      </c>
      <c r="H577" s="9" t="str">
        <f t="shared" ca="1" si="8"/>
        <v>Sin fecha</v>
      </c>
      <c r="J577" s="11">
        <v>120</v>
      </c>
      <c r="K577" s="11">
        <v>120</v>
      </c>
      <c r="L577" s="12">
        <v>41090</v>
      </c>
      <c r="M577" t="s">
        <v>36</v>
      </c>
    </row>
    <row r="578" spans="1:13" ht="30" customHeight="1">
      <c r="A578" s="6" t="s">
        <v>1101</v>
      </c>
      <c r="B578" s="7" t="s">
        <v>1098</v>
      </c>
      <c r="C578" s="7" t="s">
        <v>1099</v>
      </c>
      <c r="D578" s="6" t="s">
        <v>18</v>
      </c>
      <c r="E578" s="7" t="s">
        <v>1025</v>
      </c>
      <c r="F578" s="8"/>
      <c r="G578" s="9">
        <f>IFERROR(VLOOKUP(D578,Listas!$A$2:$B$20,2,FALSE()),999)</f>
        <v>1</v>
      </c>
      <c r="H578" s="9" t="str">
        <f t="shared" ca="1" si="8"/>
        <v>Sin fecha</v>
      </c>
      <c r="J578" s="11">
        <v>120</v>
      </c>
      <c r="K578" s="11">
        <v>120</v>
      </c>
      <c r="L578" s="12">
        <v>41090</v>
      </c>
      <c r="M578" t="s">
        <v>36</v>
      </c>
    </row>
    <row r="579" spans="1:13" ht="30" customHeight="1">
      <c r="A579" s="6" t="s">
        <v>1102</v>
      </c>
      <c r="B579" s="7" t="s">
        <v>1103</v>
      </c>
      <c r="C579" s="7" t="s">
        <v>1104</v>
      </c>
      <c r="D579" s="6" t="s">
        <v>18</v>
      </c>
      <c r="E579" s="7" t="s">
        <v>1025</v>
      </c>
      <c r="F579" s="8"/>
      <c r="G579" s="9">
        <f>IFERROR(VLOOKUP(D579,Listas!$A$2:$B$20,2,FALSE()),999)</f>
        <v>1</v>
      </c>
      <c r="H579" s="9" t="str">
        <f t="shared" ca="1" si="8"/>
        <v>Sin fecha</v>
      </c>
      <c r="J579" s="11">
        <v>120</v>
      </c>
      <c r="K579" s="11">
        <v>120</v>
      </c>
      <c r="L579" s="12">
        <v>41090</v>
      </c>
      <c r="M579" t="s">
        <v>36</v>
      </c>
    </row>
    <row r="580" spans="1:13" ht="30" customHeight="1">
      <c r="A580" s="6" t="s">
        <v>1105</v>
      </c>
      <c r="B580" s="7" t="s">
        <v>1103</v>
      </c>
      <c r="C580" s="7" t="s">
        <v>1104</v>
      </c>
      <c r="D580" s="6" t="s">
        <v>18</v>
      </c>
      <c r="E580" s="7" t="s">
        <v>1025</v>
      </c>
      <c r="F580" s="8"/>
      <c r="G580" s="9">
        <f>IFERROR(VLOOKUP(D580,Listas!$A$2:$B$20,2,FALSE()),999)</f>
        <v>1</v>
      </c>
      <c r="H580" s="9" t="str">
        <f t="shared" ca="1" si="8"/>
        <v>Sin fecha</v>
      </c>
      <c r="J580" s="11">
        <v>120</v>
      </c>
      <c r="K580" s="11">
        <v>120</v>
      </c>
      <c r="L580" s="12">
        <v>41090</v>
      </c>
      <c r="M580" t="s">
        <v>36</v>
      </c>
    </row>
    <row r="581" spans="1:13" ht="30" customHeight="1">
      <c r="A581" s="6" t="s">
        <v>1106</v>
      </c>
      <c r="B581" s="7" t="s">
        <v>1107</v>
      </c>
      <c r="C581" s="7" t="s">
        <v>1108</v>
      </c>
      <c r="D581" s="6" t="s">
        <v>18</v>
      </c>
      <c r="E581" s="7" t="s">
        <v>1025</v>
      </c>
      <c r="F581" s="8"/>
      <c r="G581" s="9">
        <f>IFERROR(VLOOKUP(D581,Listas!$A$2:$B$20,2,FALSE()),999)</f>
        <v>1</v>
      </c>
      <c r="H581" s="9" t="str">
        <f t="shared" ref="H581:H644" ca="1" si="9">IF(F581="","Sin fecha",IF(TODAY()-F581&gt;180,"Revisar",IF(TODAY()-F581&gt;90,"Próximo","Vigente")))</f>
        <v>Sin fecha</v>
      </c>
      <c r="J581" s="11">
        <v>120</v>
      </c>
      <c r="K581" s="11">
        <v>120</v>
      </c>
      <c r="L581" s="12">
        <v>41090</v>
      </c>
      <c r="M581" t="s">
        <v>36</v>
      </c>
    </row>
    <row r="582" spans="1:13" ht="30" customHeight="1">
      <c r="A582" s="6" t="s">
        <v>1109</v>
      </c>
      <c r="B582" s="7" t="s">
        <v>1110</v>
      </c>
      <c r="C582" s="7" t="s">
        <v>1111</v>
      </c>
      <c r="D582" s="6" t="s">
        <v>18</v>
      </c>
      <c r="E582" s="7" t="s">
        <v>1025</v>
      </c>
      <c r="F582" s="8"/>
      <c r="G582" s="9">
        <f>IFERROR(VLOOKUP(D582,Listas!$A$2:$B$20,2,FALSE()),999)</f>
        <v>1</v>
      </c>
      <c r="H582" s="9" t="str">
        <f t="shared" ca="1" si="9"/>
        <v>Sin fecha</v>
      </c>
      <c r="J582" s="11">
        <v>120</v>
      </c>
      <c r="K582" s="11">
        <v>120</v>
      </c>
      <c r="L582" s="12">
        <v>41090</v>
      </c>
      <c r="M582" t="s">
        <v>36</v>
      </c>
    </row>
    <row r="583" spans="1:13" ht="30" customHeight="1">
      <c r="A583" s="6" t="s">
        <v>1112</v>
      </c>
      <c r="B583" s="7" t="s">
        <v>1110</v>
      </c>
      <c r="C583" s="7" t="s">
        <v>1111</v>
      </c>
      <c r="D583" s="6" t="s">
        <v>18</v>
      </c>
      <c r="E583" s="7" t="s">
        <v>1025</v>
      </c>
      <c r="F583" s="8"/>
      <c r="G583" s="9">
        <f>IFERROR(VLOOKUP(D583,Listas!$A$2:$B$20,2,FALSE()),999)</f>
        <v>1</v>
      </c>
      <c r="H583" s="9" t="str">
        <f t="shared" ca="1" si="9"/>
        <v>Sin fecha</v>
      </c>
      <c r="J583" s="11">
        <v>120</v>
      </c>
      <c r="K583" s="11">
        <v>120</v>
      </c>
      <c r="L583" s="12">
        <v>41090</v>
      </c>
      <c r="M583" t="s">
        <v>36</v>
      </c>
    </row>
    <row r="584" spans="1:13" ht="30" customHeight="1">
      <c r="A584" s="6" t="s">
        <v>1113</v>
      </c>
      <c r="B584" s="7" t="s">
        <v>1110</v>
      </c>
      <c r="C584" s="7" t="s">
        <v>1111</v>
      </c>
      <c r="D584" s="6" t="s">
        <v>18</v>
      </c>
      <c r="E584" s="7" t="s">
        <v>1025</v>
      </c>
      <c r="F584" s="8"/>
      <c r="G584" s="9">
        <f>IFERROR(VLOOKUP(D584,Listas!$A$2:$B$20,2,FALSE()),999)</f>
        <v>1</v>
      </c>
      <c r="H584" s="9" t="str">
        <f t="shared" ca="1" si="9"/>
        <v>Sin fecha</v>
      </c>
      <c r="J584" s="11">
        <v>120</v>
      </c>
      <c r="K584" s="11">
        <v>120</v>
      </c>
      <c r="L584" s="12">
        <v>41090</v>
      </c>
      <c r="M584" t="s">
        <v>36</v>
      </c>
    </row>
    <row r="585" spans="1:13" ht="30" customHeight="1">
      <c r="A585" s="6" t="s">
        <v>1114</v>
      </c>
      <c r="B585" s="7" t="s">
        <v>1110</v>
      </c>
      <c r="C585" s="7" t="s">
        <v>1111</v>
      </c>
      <c r="D585" s="6" t="s">
        <v>18</v>
      </c>
      <c r="E585" s="7" t="s">
        <v>1025</v>
      </c>
      <c r="F585" s="8"/>
      <c r="G585" s="9">
        <f>IFERROR(VLOOKUP(D585,Listas!$A$2:$B$20,2,FALSE()),999)</f>
        <v>1</v>
      </c>
      <c r="H585" s="9" t="str">
        <f t="shared" ca="1" si="9"/>
        <v>Sin fecha</v>
      </c>
      <c r="J585" s="11">
        <v>120</v>
      </c>
      <c r="K585" s="11">
        <v>120</v>
      </c>
      <c r="L585" s="12">
        <v>41090</v>
      </c>
      <c r="M585" t="s">
        <v>36</v>
      </c>
    </row>
    <row r="586" spans="1:13" ht="30" customHeight="1">
      <c r="A586" s="6" t="s">
        <v>1115</v>
      </c>
      <c r="B586" s="7" t="s">
        <v>1116</v>
      </c>
      <c r="C586" s="7" t="s">
        <v>1117</v>
      </c>
      <c r="D586" s="6" t="s">
        <v>18</v>
      </c>
      <c r="E586" s="7" t="s">
        <v>1025</v>
      </c>
      <c r="F586" s="8"/>
      <c r="G586" s="9">
        <f>IFERROR(VLOOKUP(D586,Listas!$A$2:$B$20,2,FALSE()),999)</f>
        <v>1</v>
      </c>
      <c r="H586" s="9" t="str">
        <f t="shared" ca="1" si="9"/>
        <v>Sin fecha</v>
      </c>
      <c r="J586" s="11">
        <v>120</v>
      </c>
      <c r="K586" s="11">
        <v>120</v>
      </c>
      <c r="L586" s="12">
        <v>41090</v>
      </c>
      <c r="M586" t="s">
        <v>36</v>
      </c>
    </row>
    <row r="587" spans="1:13" ht="30" customHeight="1">
      <c r="A587" s="6" t="s">
        <v>1118</v>
      </c>
      <c r="B587" s="7" t="s">
        <v>1116</v>
      </c>
      <c r="C587" s="7" t="s">
        <v>1117</v>
      </c>
      <c r="D587" s="6" t="s">
        <v>18</v>
      </c>
      <c r="E587" s="7" t="s">
        <v>1025</v>
      </c>
      <c r="F587" s="8"/>
      <c r="G587" s="9">
        <f>IFERROR(VLOOKUP(D587,Listas!$A$2:$B$20,2,FALSE()),999)</f>
        <v>1</v>
      </c>
      <c r="H587" s="9" t="str">
        <f t="shared" ca="1" si="9"/>
        <v>Sin fecha</v>
      </c>
      <c r="J587" s="11">
        <v>120</v>
      </c>
      <c r="K587" s="11">
        <v>120</v>
      </c>
      <c r="L587" s="12">
        <v>41090</v>
      </c>
      <c r="M587" t="s">
        <v>36</v>
      </c>
    </row>
    <row r="588" spans="1:13" ht="30" customHeight="1">
      <c r="A588" s="6" t="s">
        <v>1119</v>
      </c>
      <c r="B588" s="7" t="s">
        <v>1116</v>
      </c>
      <c r="C588" s="7" t="s">
        <v>1117</v>
      </c>
      <c r="D588" s="6" t="s">
        <v>18</v>
      </c>
      <c r="E588" s="7" t="s">
        <v>1025</v>
      </c>
      <c r="F588" s="8"/>
      <c r="G588" s="9">
        <f>IFERROR(VLOOKUP(D588,Listas!$A$2:$B$20,2,FALSE()),999)</f>
        <v>1</v>
      </c>
      <c r="H588" s="9" t="str">
        <f t="shared" ca="1" si="9"/>
        <v>Sin fecha</v>
      </c>
      <c r="J588" s="11">
        <v>120</v>
      </c>
      <c r="K588" s="11">
        <v>120</v>
      </c>
      <c r="L588" s="12">
        <v>41090</v>
      </c>
      <c r="M588" t="s">
        <v>36</v>
      </c>
    </row>
    <row r="589" spans="1:13" ht="30" customHeight="1">
      <c r="A589" s="6" t="s">
        <v>1120</v>
      </c>
      <c r="B589" s="7" t="s">
        <v>1116</v>
      </c>
      <c r="C589" s="7" t="s">
        <v>1117</v>
      </c>
      <c r="D589" s="6" t="s">
        <v>18</v>
      </c>
      <c r="E589" s="7" t="s">
        <v>1025</v>
      </c>
      <c r="F589" s="8"/>
      <c r="G589" s="9">
        <f>IFERROR(VLOOKUP(D589,Listas!$A$2:$B$20,2,FALSE()),999)</f>
        <v>1</v>
      </c>
      <c r="H589" s="9" t="str">
        <f t="shared" ca="1" si="9"/>
        <v>Sin fecha</v>
      </c>
      <c r="J589" s="11">
        <v>120</v>
      </c>
      <c r="K589" s="11">
        <v>120</v>
      </c>
      <c r="L589" s="12">
        <v>41090</v>
      </c>
      <c r="M589" t="s">
        <v>36</v>
      </c>
    </row>
    <row r="590" spans="1:13" ht="30" customHeight="1">
      <c r="A590" s="6" t="s">
        <v>1121</v>
      </c>
      <c r="B590" s="7" t="s">
        <v>1116</v>
      </c>
      <c r="C590" s="7" t="s">
        <v>1117</v>
      </c>
      <c r="D590" s="6" t="s">
        <v>18</v>
      </c>
      <c r="E590" s="7" t="s">
        <v>1025</v>
      </c>
      <c r="F590" s="8"/>
      <c r="G590" s="9">
        <f>IFERROR(VLOOKUP(D590,Listas!$A$2:$B$20,2,FALSE()),999)</f>
        <v>1</v>
      </c>
      <c r="H590" s="9" t="str">
        <f t="shared" ca="1" si="9"/>
        <v>Sin fecha</v>
      </c>
      <c r="J590" s="11">
        <v>120</v>
      </c>
      <c r="K590" s="11">
        <v>120</v>
      </c>
      <c r="L590" s="12">
        <v>41090</v>
      </c>
      <c r="M590" t="s">
        <v>36</v>
      </c>
    </row>
    <row r="591" spans="1:13" ht="30" customHeight="1">
      <c r="A591" s="6" t="s">
        <v>1122</v>
      </c>
      <c r="B591" s="7" t="s">
        <v>1123</v>
      </c>
      <c r="C591" s="7" t="s">
        <v>1124</v>
      </c>
      <c r="D591" s="6" t="s">
        <v>18</v>
      </c>
      <c r="E591" s="7" t="s">
        <v>1025</v>
      </c>
      <c r="F591" s="8"/>
      <c r="G591" s="9">
        <f>IFERROR(VLOOKUP(D591,Listas!$A$2:$B$20,2,FALSE()),999)</f>
        <v>1</v>
      </c>
      <c r="H591" s="9" t="str">
        <f t="shared" ca="1" si="9"/>
        <v>Sin fecha</v>
      </c>
      <c r="J591" s="11">
        <v>120</v>
      </c>
      <c r="K591" s="11">
        <v>120</v>
      </c>
      <c r="L591" s="12">
        <v>42216</v>
      </c>
      <c r="M591" t="s">
        <v>36</v>
      </c>
    </row>
    <row r="592" spans="1:13" ht="30" customHeight="1">
      <c r="A592" s="6" t="s">
        <v>1125</v>
      </c>
      <c r="B592" s="7" t="s">
        <v>1123</v>
      </c>
      <c r="C592" s="7" t="s">
        <v>1124</v>
      </c>
      <c r="D592" s="6" t="s">
        <v>18</v>
      </c>
      <c r="E592" s="7" t="s">
        <v>1025</v>
      </c>
      <c r="F592" s="8"/>
      <c r="G592" s="9">
        <f>IFERROR(VLOOKUP(D592,Listas!$A$2:$B$20,2,FALSE()),999)</f>
        <v>1</v>
      </c>
      <c r="H592" s="9" t="str">
        <f t="shared" ca="1" si="9"/>
        <v>Sin fecha</v>
      </c>
      <c r="J592" s="11">
        <v>120</v>
      </c>
      <c r="K592" s="11">
        <v>120</v>
      </c>
      <c r="L592" s="12">
        <v>42216</v>
      </c>
      <c r="M592" t="s">
        <v>36</v>
      </c>
    </row>
    <row r="593" spans="1:13" ht="30" customHeight="1">
      <c r="A593" s="6" t="s">
        <v>1126</v>
      </c>
      <c r="B593" s="7" t="s">
        <v>1123</v>
      </c>
      <c r="C593" s="7" t="s">
        <v>1124</v>
      </c>
      <c r="D593" s="6" t="s">
        <v>18</v>
      </c>
      <c r="E593" s="7" t="s">
        <v>1025</v>
      </c>
      <c r="F593" s="8"/>
      <c r="G593" s="9">
        <f>IFERROR(VLOOKUP(D593,Listas!$A$2:$B$20,2,FALSE()),999)</f>
        <v>1</v>
      </c>
      <c r="H593" s="9" t="str">
        <f t="shared" ca="1" si="9"/>
        <v>Sin fecha</v>
      </c>
      <c r="J593" s="11">
        <v>120</v>
      </c>
      <c r="K593" s="11">
        <v>120</v>
      </c>
      <c r="L593" s="12">
        <v>42216</v>
      </c>
      <c r="M593" t="s">
        <v>36</v>
      </c>
    </row>
    <row r="594" spans="1:13" ht="30" customHeight="1">
      <c r="A594" s="6" t="s">
        <v>1127</v>
      </c>
      <c r="B594" s="7" t="s">
        <v>1123</v>
      </c>
      <c r="C594" s="7" t="s">
        <v>1124</v>
      </c>
      <c r="D594" s="6" t="s">
        <v>18</v>
      </c>
      <c r="E594" s="7" t="s">
        <v>1025</v>
      </c>
      <c r="F594" s="8"/>
      <c r="G594" s="9">
        <f>IFERROR(VLOOKUP(D594,Listas!$A$2:$B$20,2,FALSE()),999)</f>
        <v>1</v>
      </c>
      <c r="H594" s="9" t="str">
        <f t="shared" ca="1" si="9"/>
        <v>Sin fecha</v>
      </c>
      <c r="J594" s="11">
        <v>120</v>
      </c>
      <c r="K594" s="11">
        <v>120</v>
      </c>
      <c r="L594" s="12">
        <v>42216</v>
      </c>
      <c r="M594" t="s">
        <v>36</v>
      </c>
    </row>
    <row r="595" spans="1:13" ht="30" customHeight="1">
      <c r="A595" s="6" t="s">
        <v>1128</v>
      </c>
      <c r="B595" s="7" t="s">
        <v>1129</v>
      </c>
      <c r="C595" s="7" t="s">
        <v>1130</v>
      </c>
      <c r="D595" s="6" t="s">
        <v>18</v>
      </c>
      <c r="E595" s="7" t="s">
        <v>1025</v>
      </c>
      <c r="F595" s="8"/>
      <c r="G595" s="9">
        <f>IFERROR(VLOOKUP(D595,Listas!$A$2:$B$20,2,FALSE()),999)</f>
        <v>1</v>
      </c>
      <c r="H595" s="9" t="str">
        <f t="shared" ca="1" si="9"/>
        <v>Sin fecha</v>
      </c>
      <c r="J595" s="11">
        <v>120</v>
      </c>
      <c r="K595" s="11">
        <v>120</v>
      </c>
      <c r="L595" s="12">
        <v>42216</v>
      </c>
      <c r="M595" t="s">
        <v>36</v>
      </c>
    </row>
    <row r="596" spans="1:13" ht="30" customHeight="1">
      <c r="A596" s="6" t="s">
        <v>1131</v>
      </c>
      <c r="B596" s="7" t="s">
        <v>1129</v>
      </c>
      <c r="C596" s="7" t="s">
        <v>1130</v>
      </c>
      <c r="D596" s="6" t="s">
        <v>18</v>
      </c>
      <c r="E596" s="7" t="s">
        <v>1025</v>
      </c>
      <c r="F596" s="8"/>
      <c r="G596" s="9">
        <f>IFERROR(VLOOKUP(D596,Listas!$A$2:$B$20,2,FALSE()),999)</f>
        <v>1</v>
      </c>
      <c r="H596" s="9" t="str">
        <f t="shared" ca="1" si="9"/>
        <v>Sin fecha</v>
      </c>
      <c r="J596" s="11">
        <v>120</v>
      </c>
      <c r="K596" s="11">
        <v>120</v>
      </c>
      <c r="L596" s="12">
        <v>42216</v>
      </c>
      <c r="M596" t="s">
        <v>36</v>
      </c>
    </row>
    <row r="597" spans="1:13" ht="30" customHeight="1">
      <c r="A597" s="6" t="s">
        <v>1132</v>
      </c>
      <c r="B597" s="7" t="s">
        <v>1133</v>
      </c>
      <c r="C597" s="7" t="s">
        <v>1134</v>
      </c>
      <c r="D597" s="6" t="s">
        <v>18</v>
      </c>
      <c r="E597" s="7" t="s">
        <v>1025</v>
      </c>
      <c r="F597" s="8"/>
      <c r="G597" s="9">
        <f>IFERROR(VLOOKUP(D597,Listas!$A$2:$B$20,2,FALSE()),999)</f>
        <v>1</v>
      </c>
      <c r="H597" s="9" t="str">
        <f t="shared" ca="1" si="9"/>
        <v>Sin fecha</v>
      </c>
      <c r="J597" s="11">
        <v>120</v>
      </c>
      <c r="K597" s="11">
        <v>120</v>
      </c>
      <c r="L597" s="12">
        <v>41090</v>
      </c>
      <c r="M597" t="s">
        <v>36</v>
      </c>
    </row>
    <row r="598" spans="1:13" ht="30" customHeight="1">
      <c r="A598" s="6" t="s">
        <v>1135</v>
      </c>
      <c r="B598" s="7" t="s">
        <v>1133</v>
      </c>
      <c r="C598" s="7" t="s">
        <v>1134</v>
      </c>
      <c r="D598" s="6" t="s">
        <v>18</v>
      </c>
      <c r="E598" s="7" t="s">
        <v>1025</v>
      </c>
      <c r="F598" s="8"/>
      <c r="G598" s="9">
        <f>IFERROR(VLOOKUP(D598,Listas!$A$2:$B$20,2,FALSE()),999)</f>
        <v>1</v>
      </c>
      <c r="H598" s="9" t="str">
        <f t="shared" ca="1" si="9"/>
        <v>Sin fecha</v>
      </c>
      <c r="J598" s="11">
        <v>120</v>
      </c>
      <c r="K598" s="11">
        <v>120</v>
      </c>
      <c r="L598" s="12">
        <v>41090</v>
      </c>
      <c r="M598" t="s">
        <v>36</v>
      </c>
    </row>
    <row r="599" spans="1:13" ht="30" customHeight="1">
      <c r="A599" s="6" t="s">
        <v>1136</v>
      </c>
      <c r="B599" s="7" t="s">
        <v>1133</v>
      </c>
      <c r="C599" s="7" t="s">
        <v>1134</v>
      </c>
      <c r="D599" s="6" t="s">
        <v>18</v>
      </c>
      <c r="E599" s="7" t="s">
        <v>1025</v>
      </c>
      <c r="F599" s="8"/>
      <c r="G599" s="9">
        <f>IFERROR(VLOOKUP(D599,Listas!$A$2:$B$20,2,FALSE()),999)</f>
        <v>1</v>
      </c>
      <c r="H599" s="9" t="str">
        <f t="shared" ca="1" si="9"/>
        <v>Sin fecha</v>
      </c>
      <c r="J599" s="11">
        <v>120</v>
      </c>
      <c r="K599" s="11">
        <v>120</v>
      </c>
      <c r="L599" s="12">
        <v>41090</v>
      </c>
      <c r="M599" t="s">
        <v>36</v>
      </c>
    </row>
    <row r="600" spans="1:13" ht="30" customHeight="1">
      <c r="A600" s="6" t="s">
        <v>1137</v>
      </c>
      <c r="B600" s="7" t="s">
        <v>1138</v>
      </c>
      <c r="C600" s="7" t="s">
        <v>1139</v>
      </c>
      <c r="D600" s="6" t="s">
        <v>18</v>
      </c>
      <c r="E600" s="7" t="s">
        <v>1025</v>
      </c>
      <c r="F600" s="8"/>
      <c r="G600" s="9">
        <f>IFERROR(VLOOKUP(D600,Listas!$A$2:$B$20,2,FALSE()),999)</f>
        <v>1</v>
      </c>
      <c r="H600" s="9" t="str">
        <f t="shared" ca="1" si="9"/>
        <v>Sin fecha</v>
      </c>
      <c r="J600" s="11">
        <v>120</v>
      </c>
      <c r="K600" s="11">
        <v>120</v>
      </c>
      <c r="L600" s="12">
        <v>41090</v>
      </c>
      <c r="M600" t="s">
        <v>36</v>
      </c>
    </row>
    <row r="601" spans="1:13" ht="30" customHeight="1">
      <c r="A601" s="6" t="s">
        <v>1140</v>
      </c>
      <c r="B601" s="7" t="s">
        <v>1141</v>
      </c>
      <c r="C601" s="7" t="s">
        <v>1142</v>
      </c>
      <c r="D601" s="6" t="s">
        <v>18</v>
      </c>
      <c r="E601" s="7" t="s">
        <v>1025</v>
      </c>
      <c r="F601" s="8"/>
      <c r="G601" s="9">
        <f>IFERROR(VLOOKUP(D601,Listas!$A$2:$B$20,2,FALSE()),999)</f>
        <v>1</v>
      </c>
      <c r="H601" s="9" t="str">
        <f t="shared" ca="1" si="9"/>
        <v>Sin fecha</v>
      </c>
      <c r="J601" s="11">
        <v>120</v>
      </c>
      <c r="K601" s="11">
        <v>120</v>
      </c>
      <c r="L601" s="12">
        <v>41090</v>
      </c>
      <c r="M601" t="s">
        <v>36</v>
      </c>
    </row>
    <row r="602" spans="1:13" ht="30" customHeight="1">
      <c r="A602" s="6" t="s">
        <v>1143</v>
      </c>
      <c r="B602" s="7" t="s">
        <v>1141</v>
      </c>
      <c r="C602" s="7" t="s">
        <v>1142</v>
      </c>
      <c r="D602" s="6" t="s">
        <v>18</v>
      </c>
      <c r="E602" s="7" t="s">
        <v>1025</v>
      </c>
      <c r="F602" s="8"/>
      <c r="G602" s="9">
        <f>IFERROR(VLOOKUP(D602,Listas!$A$2:$B$20,2,FALSE()),999)</f>
        <v>1</v>
      </c>
      <c r="H602" s="9" t="str">
        <f t="shared" ca="1" si="9"/>
        <v>Sin fecha</v>
      </c>
      <c r="J602" s="11">
        <v>120</v>
      </c>
      <c r="K602" s="11">
        <v>120</v>
      </c>
      <c r="L602" s="12">
        <v>41090</v>
      </c>
      <c r="M602" t="s">
        <v>36</v>
      </c>
    </row>
    <row r="603" spans="1:13" ht="30" customHeight="1">
      <c r="A603" s="6" t="s">
        <v>1144</v>
      </c>
      <c r="B603" s="7" t="s">
        <v>1141</v>
      </c>
      <c r="C603" s="7" t="s">
        <v>1142</v>
      </c>
      <c r="D603" s="6" t="s">
        <v>18</v>
      </c>
      <c r="E603" s="7" t="s">
        <v>1025</v>
      </c>
      <c r="F603" s="8"/>
      <c r="G603" s="9">
        <f>IFERROR(VLOOKUP(D603,Listas!$A$2:$B$20,2,FALSE()),999)</f>
        <v>1</v>
      </c>
      <c r="H603" s="9" t="str">
        <f t="shared" ca="1" si="9"/>
        <v>Sin fecha</v>
      </c>
      <c r="J603" s="11">
        <v>120</v>
      </c>
      <c r="K603" s="11">
        <v>120</v>
      </c>
      <c r="L603" s="12">
        <v>41090</v>
      </c>
      <c r="M603" t="s">
        <v>36</v>
      </c>
    </row>
    <row r="604" spans="1:13" ht="30" customHeight="1">
      <c r="A604" s="6" t="s">
        <v>1145</v>
      </c>
      <c r="B604" s="7" t="s">
        <v>1141</v>
      </c>
      <c r="C604" s="7" t="s">
        <v>1142</v>
      </c>
      <c r="D604" s="6" t="s">
        <v>18</v>
      </c>
      <c r="E604" s="7" t="s">
        <v>1025</v>
      </c>
      <c r="F604" s="8"/>
      <c r="G604" s="9">
        <f>IFERROR(VLOOKUP(D604,Listas!$A$2:$B$20,2,FALSE()),999)</f>
        <v>1</v>
      </c>
      <c r="H604" s="9" t="str">
        <f t="shared" ca="1" si="9"/>
        <v>Sin fecha</v>
      </c>
      <c r="J604" s="11">
        <v>120</v>
      </c>
      <c r="K604" s="11">
        <v>120</v>
      </c>
      <c r="L604" s="12">
        <v>41090</v>
      </c>
      <c r="M604" t="s">
        <v>36</v>
      </c>
    </row>
    <row r="605" spans="1:13" ht="30" customHeight="1">
      <c r="A605" s="6" t="s">
        <v>1146</v>
      </c>
      <c r="B605" s="7" t="s">
        <v>1141</v>
      </c>
      <c r="C605" s="7" t="s">
        <v>1142</v>
      </c>
      <c r="D605" s="6" t="s">
        <v>18</v>
      </c>
      <c r="E605" s="7" t="s">
        <v>1025</v>
      </c>
      <c r="F605" s="8"/>
      <c r="G605" s="9">
        <f>IFERROR(VLOOKUP(D605,Listas!$A$2:$B$20,2,FALSE()),999)</f>
        <v>1</v>
      </c>
      <c r="H605" s="9" t="str">
        <f t="shared" ca="1" si="9"/>
        <v>Sin fecha</v>
      </c>
      <c r="J605" s="11">
        <v>120</v>
      </c>
      <c r="K605" s="11">
        <v>120</v>
      </c>
      <c r="L605" s="12">
        <v>41090</v>
      </c>
      <c r="M605" t="s">
        <v>36</v>
      </c>
    </row>
    <row r="606" spans="1:13" ht="30" customHeight="1">
      <c r="A606" s="6" t="s">
        <v>1147</v>
      </c>
      <c r="B606" s="7" t="s">
        <v>1141</v>
      </c>
      <c r="C606" s="7" t="s">
        <v>1148</v>
      </c>
      <c r="D606" s="6" t="s">
        <v>18</v>
      </c>
      <c r="E606" s="7" t="s">
        <v>1025</v>
      </c>
      <c r="F606" s="8"/>
      <c r="G606" s="9">
        <f>IFERROR(VLOOKUP(D606,Listas!$A$2:$B$20,2,FALSE()),999)</f>
        <v>1</v>
      </c>
      <c r="H606" s="9" t="str">
        <f t="shared" ca="1" si="9"/>
        <v>Sin fecha</v>
      </c>
      <c r="J606" s="11">
        <v>120</v>
      </c>
      <c r="K606" s="11">
        <v>120</v>
      </c>
      <c r="L606" s="12">
        <v>41090</v>
      </c>
      <c r="M606" t="s">
        <v>36</v>
      </c>
    </row>
    <row r="607" spans="1:13" ht="30" customHeight="1">
      <c r="A607" s="6" t="s">
        <v>1149</v>
      </c>
      <c r="B607" s="7" t="s">
        <v>1150</v>
      </c>
      <c r="C607" s="7" t="s">
        <v>1151</v>
      </c>
      <c r="D607" s="6" t="s">
        <v>18</v>
      </c>
      <c r="E607" s="7" t="s">
        <v>1025</v>
      </c>
      <c r="F607" s="8"/>
      <c r="G607" s="9">
        <f>IFERROR(VLOOKUP(D607,Listas!$A$2:$B$20,2,FALSE()),999)</f>
        <v>1</v>
      </c>
      <c r="H607" s="9" t="str">
        <f t="shared" ca="1" si="9"/>
        <v>Sin fecha</v>
      </c>
      <c r="J607" s="11">
        <v>120</v>
      </c>
      <c r="K607" s="11">
        <v>120</v>
      </c>
      <c r="L607" s="12">
        <v>41090</v>
      </c>
      <c r="M607" t="s">
        <v>36</v>
      </c>
    </row>
    <row r="608" spans="1:13" ht="30" customHeight="1">
      <c r="A608" s="6" t="s">
        <v>1152</v>
      </c>
      <c r="B608" s="7" t="s">
        <v>1150</v>
      </c>
      <c r="C608" s="7" t="s">
        <v>1151</v>
      </c>
      <c r="D608" s="6" t="s">
        <v>18</v>
      </c>
      <c r="E608" s="7" t="s">
        <v>1025</v>
      </c>
      <c r="F608" s="8"/>
      <c r="G608" s="9">
        <f>IFERROR(VLOOKUP(D608,Listas!$A$2:$B$20,2,FALSE()),999)</f>
        <v>1</v>
      </c>
      <c r="H608" s="9" t="str">
        <f t="shared" ca="1" si="9"/>
        <v>Sin fecha</v>
      </c>
      <c r="J608" s="11">
        <v>120</v>
      </c>
      <c r="K608" s="11">
        <v>120</v>
      </c>
      <c r="L608" s="12">
        <v>41090</v>
      </c>
      <c r="M608" t="s">
        <v>36</v>
      </c>
    </row>
    <row r="609" spans="1:13" ht="30" customHeight="1">
      <c r="A609" s="6" t="s">
        <v>1153</v>
      </c>
      <c r="B609" s="7" t="s">
        <v>1150</v>
      </c>
      <c r="C609" s="7" t="s">
        <v>1151</v>
      </c>
      <c r="D609" s="6" t="s">
        <v>18</v>
      </c>
      <c r="E609" s="7" t="s">
        <v>1025</v>
      </c>
      <c r="F609" s="8"/>
      <c r="G609" s="9">
        <f>IFERROR(VLOOKUP(D609,Listas!$A$2:$B$20,2,FALSE()),999)</f>
        <v>1</v>
      </c>
      <c r="H609" s="9" t="str">
        <f t="shared" ca="1" si="9"/>
        <v>Sin fecha</v>
      </c>
      <c r="J609" s="11">
        <v>120</v>
      </c>
      <c r="K609" s="11">
        <v>120</v>
      </c>
      <c r="L609" s="12">
        <v>41090</v>
      </c>
      <c r="M609" t="s">
        <v>36</v>
      </c>
    </row>
    <row r="610" spans="1:13" ht="30" customHeight="1">
      <c r="A610" s="6" t="s">
        <v>1154</v>
      </c>
      <c r="B610" s="7" t="s">
        <v>1150</v>
      </c>
      <c r="C610" s="7" t="s">
        <v>1151</v>
      </c>
      <c r="D610" s="6" t="s">
        <v>18</v>
      </c>
      <c r="E610" s="7" t="s">
        <v>1025</v>
      </c>
      <c r="F610" s="8"/>
      <c r="G610" s="9">
        <f>IFERROR(VLOOKUP(D610,Listas!$A$2:$B$20,2,FALSE()),999)</f>
        <v>1</v>
      </c>
      <c r="H610" s="9" t="str">
        <f t="shared" ca="1" si="9"/>
        <v>Sin fecha</v>
      </c>
      <c r="J610" s="11">
        <v>120</v>
      </c>
      <c r="K610" s="11">
        <v>120</v>
      </c>
      <c r="L610" s="12">
        <v>41090</v>
      </c>
      <c r="M610" t="s">
        <v>36</v>
      </c>
    </row>
    <row r="611" spans="1:13" ht="30" customHeight="1">
      <c r="A611" s="6" t="s">
        <v>1155</v>
      </c>
      <c r="B611" s="7" t="s">
        <v>1156</v>
      </c>
      <c r="C611" s="7" t="s">
        <v>1157</v>
      </c>
      <c r="D611" s="6" t="s">
        <v>18</v>
      </c>
      <c r="E611" s="7" t="s">
        <v>1158</v>
      </c>
      <c r="F611" s="8"/>
      <c r="G611" s="9">
        <f>IFERROR(VLOOKUP(D611,Listas!$A$2:$B$20,2,FALSE()),999)</f>
        <v>1</v>
      </c>
      <c r="H611" s="9" t="str">
        <f t="shared" ca="1" si="9"/>
        <v>Sin fecha</v>
      </c>
      <c r="J611" s="11">
        <v>120</v>
      </c>
      <c r="K611" s="11">
        <v>120</v>
      </c>
      <c r="L611" s="12">
        <v>41090</v>
      </c>
      <c r="M611" t="s">
        <v>36</v>
      </c>
    </row>
    <row r="612" spans="1:13" ht="30" customHeight="1">
      <c r="A612" s="6" t="s">
        <v>1159</v>
      </c>
      <c r="B612" s="7" t="s">
        <v>1160</v>
      </c>
      <c r="C612" s="7" t="s">
        <v>1161</v>
      </c>
      <c r="D612" s="6" t="s">
        <v>18</v>
      </c>
      <c r="E612" s="7" t="s">
        <v>1158</v>
      </c>
      <c r="F612" s="8"/>
      <c r="G612" s="9">
        <f>IFERROR(VLOOKUP(D612,Listas!$A$2:$B$20,2,FALSE()),999)</f>
        <v>1</v>
      </c>
      <c r="H612" s="9" t="str">
        <f t="shared" ca="1" si="9"/>
        <v>Sin fecha</v>
      </c>
      <c r="J612" s="11">
        <v>120</v>
      </c>
      <c r="K612" s="11">
        <v>120</v>
      </c>
      <c r="L612" s="12">
        <v>41090</v>
      </c>
      <c r="M612" t="s">
        <v>36</v>
      </c>
    </row>
    <row r="613" spans="1:13" ht="30" customHeight="1">
      <c r="A613" s="6" t="s">
        <v>1162</v>
      </c>
      <c r="B613" s="7" t="s">
        <v>1160</v>
      </c>
      <c r="C613" s="7" t="s">
        <v>1161</v>
      </c>
      <c r="D613" s="6" t="s">
        <v>18</v>
      </c>
      <c r="E613" s="7" t="s">
        <v>1158</v>
      </c>
      <c r="F613" s="8"/>
      <c r="G613" s="9">
        <f>IFERROR(VLOOKUP(D613,Listas!$A$2:$B$20,2,FALSE()),999)</f>
        <v>1</v>
      </c>
      <c r="H613" s="9" t="str">
        <f t="shared" ca="1" si="9"/>
        <v>Sin fecha</v>
      </c>
      <c r="J613" s="11">
        <v>120</v>
      </c>
      <c r="K613" s="11">
        <v>120</v>
      </c>
      <c r="L613" s="12">
        <v>41090</v>
      </c>
      <c r="M613" t="s">
        <v>36</v>
      </c>
    </row>
    <row r="614" spans="1:13" ht="30" customHeight="1">
      <c r="A614" s="6" t="s">
        <v>1163</v>
      </c>
      <c r="B614" s="7" t="s">
        <v>1160</v>
      </c>
      <c r="C614" s="7" t="s">
        <v>1161</v>
      </c>
      <c r="D614" s="6" t="s">
        <v>18</v>
      </c>
      <c r="E614" s="7" t="s">
        <v>1158</v>
      </c>
      <c r="F614" s="8"/>
      <c r="G614" s="9">
        <f>IFERROR(VLOOKUP(D614,Listas!$A$2:$B$20,2,FALSE()),999)</f>
        <v>1</v>
      </c>
      <c r="H614" s="9" t="str">
        <f t="shared" ca="1" si="9"/>
        <v>Sin fecha</v>
      </c>
      <c r="J614" s="11">
        <v>120</v>
      </c>
      <c r="K614" s="11">
        <v>120</v>
      </c>
      <c r="L614" s="12">
        <v>41090</v>
      </c>
      <c r="M614" t="s">
        <v>36</v>
      </c>
    </row>
    <row r="615" spans="1:13" ht="30" customHeight="1">
      <c r="A615" s="6" t="s">
        <v>1164</v>
      </c>
      <c r="B615" s="7" t="s">
        <v>1160</v>
      </c>
      <c r="C615" s="7" t="s">
        <v>1161</v>
      </c>
      <c r="D615" s="6" t="s">
        <v>18</v>
      </c>
      <c r="E615" s="7" t="s">
        <v>1158</v>
      </c>
      <c r="F615" s="8"/>
      <c r="G615" s="9">
        <f>IFERROR(VLOOKUP(D615,Listas!$A$2:$B$20,2,FALSE()),999)</f>
        <v>1</v>
      </c>
      <c r="H615" s="9" t="str">
        <f t="shared" ca="1" si="9"/>
        <v>Sin fecha</v>
      </c>
      <c r="J615" s="11">
        <v>120</v>
      </c>
      <c r="K615" s="11">
        <v>120</v>
      </c>
      <c r="L615" s="12">
        <v>41090</v>
      </c>
      <c r="M615" t="s">
        <v>36</v>
      </c>
    </row>
    <row r="616" spans="1:13" ht="30" customHeight="1">
      <c r="A616" s="6" t="s">
        <v>1165</v>
      </c>
      <c r="B616" s="7" t="s">
        <v>1166</v>
      </c>
      <c r="C616" s="7" t="s">
        <v>1167</v>
      </c>
      <c r="D616" s="6" t="s">
        <v>18</v>
      </c>
      <c r="E616" s="7" t="s">
        <v>1158</v>
      </c>
      <c r="F616" s="8"/>
      <c r="G616" s="9">
        <f>IFERROR(VLOOKUP(D616,Listas!$A$2:$B$20,2,FALSE()),999)</f>
        <v>1</v>
      </c>
      <c r="H616" s="9" t="str">
        <f t="shared" ca="1" si="9"/>
        <v>Sin fecha</v>
      </c>
      <c r="J616" s="11">
        <v>120</v>
      </c>
      <c r="K616" s="11">
        <v>120</v>
      </c>
      <c r="L616" s="12">
        <v>41090</v>
      </c>
      <c r="M616" t="s">
        <v>36</v>
      </c>
    </row>
    <row r="617" spans="1:13" ht="30" customHeight="1">
      <c r="A617" s="6" t="s">
        <v>1168</v>
      </c>
      <c r="B617" s="7" t="s">
        <v>1169</v>
      </c>
      <c r="C617" s="7" t="s">
        <v>1170</v>
      </c>
      <c r="D617" s="6" t="s">
        <v>18</v>
      </c>
      <c r="E617" s="7" t="s">
        <v>1158</v>
      </c>
      <c r="F617" s="8"/>
      <c r="G617" s="9">
        <f>IFERROR(VLOOKUP(D617,Listas!$A$2:$B$20,2,FALSE()),999)</f>
        <v>1</v>
      </c>
      <c r="H617" s="9" t="str">
        <f t="shared" ca="1" si="9"/>
        <v>Sin fecha</v>
      </c>
      <c r="J617" s="11">
        <v>120</v>
      </c>
      <c r="K617" s="11">
        <v>120</v>
      </c>
      <c r="L617" s="12">
        <v>41090</v>
      </c>
      <c r="M617" t="s">
        <v>36</v>
      </c>
    </row>
    <row r="618" spans="1:13" ht="30" customHeight="1">
      <c r="A618" s="6" t="s">
        <v>1171</v>
      </c>
      <c r="B618" s="7" t="s">
        <v>1172</v>
      </c>
      <c r="C618" s="7" t="s">
        <v>1173</v>
      </c>
      <c r="D618" s="6" t="s">
        <v>18</v>
      </c>
      <c r="E618" s="7" t="s">
        <v>1158</v>
      </c>
      <c r="F618" s="8"/>
      <c r="G618" s="9">
        <f>IFERROR(VLOOKUP(D618,Listas!$A$2:$B$20,2,FALSE()),999)</f>
        <v>1</v>
      </c>
      <c r="H618" s="9" t="str">
        <f t="shared" ca="1" si="9"/>
        <v>Sin fecha</v>
      </c>
      <c r="J618" s="11">
        <v>120</v>
      </c>
      <c r="K618" s="11">
        <v>120</v>
      </c>
      <c r="L618" s="12">
        <v>41090</v>
      </c>
      <c r="M618" t="s">
        <v>36</v>
      </c>
    </row>
    <row r="619" spans="1:13" ht="30" customHeight="1">
      <c r="A619" s="6" t="s">
        <v>1174</v>
      </c>
      <c r="B619" s="7" t="s">
        <v>1172</v>
      </c>
      <c r="C619" s="7" t="s">
        <v>1173</v>
      </c>
      <c r="D619" s="6" t="s">
        <v>18</v>
      </c>
      <c r="E619" s="7" t="s">
        <v>1158</v>
      </c>
      <c r="F619" s="8"/>
      <c r="G619" s="9">
        <f>IFERROR(VLOOKUP(D619,Listas!$A$2:$B$20,2,FALSE()),999)</f>
        <v>1</v>
      </c>
      <c r="H619" s="9" t="str">
        <f t="shared" ca="1" si="9"/>
        <v>Sin fecha</v>
      </c>
      <c r="J619" s="11">
        <v>120</v>
      </c>
      <c r="K619" s="11">
        <v>120</v>
      </c>
      <c r="L619" s="12">
        <v>41090</v>
      </c>
      <c r="M619" t="s">
        <v>36</v>
      </c>
    </row>
    <row r="620" spans="1:13" ht="30" customHeight="1">
      <c r="A620" s="6" t="s">
        <v>1175</v>
      </c>
      <c r="B620" s="7" t="s">
        <v>1172</v>
      </c>
      <c r="C620" s="7" t="s">
        <v>1173</v>
      </c>
      <c r="D620" s="6" t="s">
        <v>18</v>
      </c>
      <c r="E620" s="7" t="s">
        <v>1158</v>
      </c>
      <c r="F620" s="8"/>
      <c r="G620" s="9">
        <f>IFERROR(VLOOKUP(D620,Listas!$A$2:$B$20,2,FALSE()),999)</f>
        <v>1</v>
      </c>
      <c r="H620" s="9" t="str">
        <f t="shared" ca="1" si="9"/>
        <v>Sin fecha</v>
      </c>
      <c r="J620" s="11">
        <v>120</v>
      </c>
      <c r="K620" s="11">
        <v>120</v>
      </c>
      <c r="L620" s="12">
        <v>41090</v>
      </c>
      <c r="M620" t="s">
        <v>36</v>
      </c>
    </row>
    <row r="621" spans="1:13" ht="30" customHeight="1">
      <c r="A621" s="6" t="s">
        <v>1176</v>
      </c>
      <c r="B621" s="7" t="s">
        <v>1172</v>
      </c>
      <c r="C621" s="7" t="s">
        <v>1173</v>
      </c>
      <c r="D621" s="6" t="s">
        <v>18</v>
      </c>
      <c r="E621" s="7" t="s">
        <v>1158</v>
      </c>
      <c r="F621" s="8"/>
      <c r="G621" s="9">
        <f>IFERROR(VLOOKUP(D621,Listas!$A$2:$B$20,2,FALSE()),999)</f>
        <v>1</v>
      </c>
      <c r="H621" s="9" t="str">
        <f t="shared" ca="1" si="9"/>
        <v>Sin fecha</v>
      </c>
      <c r="J621" s="11">
        <v>120</v>
      </c>
      <c r="K621" s="11">
        <v>120</v>
      </c>
      <c r="L621" s="12">
        <v>41090</v>
      </c>
      <c r="M621" t="s">
        <v>36</v>
      </c>
    </row>
    <row r="622" spans="1:13" ht="30" customHeight="1">
      <c r="A622" s="6" t="s">
        <v>1177</v>
      </c>
      <c r="B622" s="7" t="s">
        <v>1172</v>
      </c>
      <c r="C622" s="7" t="s">
        <v>1173</v>
      </c>
      <c r="D622" s="6" t="s">
        <v>18</v>
      </c>
      <c r="E622" s="7" t="s">
        <v>1158</v>
      </c>
      <c r="F622" s="8"/>
      <c r="G622" s="9">
        <f>IFERROR(VLOOKUP(D622,Listas!$A$2:$B$20,2,FALSE()),999)</f>
        <v>1</v>
      </c>
      <c r="H622" s="9" t="str">
        <f t="shared" ca="1" si="9"/>
        <v>Sin fecha</v>
      </c>
      <c r="J622" s="11">
        <v>120</v>
      </c>
      <c r="K622" s="11">
        <v>120</v>
      </c>
      <c r="L622" s="12">
        <v>41090</v>
      </c>
      <c r="M622" t="s">
        <v>36</v>
      </c>
    </row>
    <row r="623" spans="1:13" ht="30" customHeight="1">
      <c r="A623" s="6" t="s">
        <v>1178</v>
      </c>
      <c r="B623" s="7" t="s">
        <v>1172</v>
      </c>
      <c r="C623" s="7" t="s">
        <v>1173</v>
      </c>
      <c r="D623" s="6" t="s">
        <v>18</v>
      </c>
      <c r="E623" s="7" t="s">
        <v>1158</v>
      </c>
      <c r="F623" s="8"/>
      <c r="G623" s="9">
        <f>IFERROR(VLOOKUP(D623,Listas!$A$2:$B$20,2,FALSE()),999)</f>
        <v>1</v>
      </c>
      <c r="H623" s="9" t="str">
        <f t="shared" ca="1" si="9"/>
        <v>Sin fecha</v>
      </c>
      <c r="J623" s="11">
        <v>120</v>
      </c>
      <c r="K623" s="11">
        <v>120</v>
      </c>
      <c r="L623" s="12">
        <v>41090</v>
      </c>
      <c r="M623" t="s">
        <v>36</v>
      </c>
    </row>
    <row r="624" spans="1:13" ht="30" customHeight="1">
      <c r="A624" s="6" t="s">
        <v>1179</v>
      </c>
      <c r="B624" s="7" t="s">
        <v>1172</v>
      </c>
      <c r="C624" s="7" t="s">
        <v>1173</v>
      </c>
      <c r="D624" s="6" t="s">
        <v>18</v>
      </c>
      <c r="E624" s="7" t="s">
        <v>1158</v>
      </c>
      <c r="F624" s="8"/>
      <c r="G624" s="9">
        <f>IFERROR(VLOOKUP(D624,Listas!$A$2:$B$20,2,FALSE()),999)</f>
        <v>1</v>
      </c>
      <c r="H624" s="9" t="str">
        <f t="shared" ca="1" si="9"/>
        <v>Sin fecha</v>
      </c>
      <c r="J624" s="11">
        <v>120</v>
      </c>
      <c r="K624" s="11">
        <v>120</v>
      </c>
      <c r="L624" s="12">
        <v>41090</v>
      </c>
      <c r="M624" t="s">
        <v>36</v>
      </c>
    </row>
    <row r="625" spans="1:13" ht="30" customHeight="1">
      <c r="A625" s="6" t="s">
        <v>1180</v>
      </c>
      <c r="B625" s="7" t="s">
        <v>1172</v>
      </c>
      <c r="C625" s="7" t="s">
        <v>1173</v>
      </c>
      <c r="D625" s="6" t="s">
        <v>18</v>
      </c>
      <c r="E625" s="7" t="s">
        <v>1158</v>
      </c>
      <c r="F625" s="8"/>
      <c r="G625" s="9">
        <f>IFERROR(VLOOKUP(D625,Listas!$A$2:$B$20,2,FALSE()),999)</f>
        <v>1</v>
      </c>
      <c r="H625" s="9" t="str">
        <f t="shared" ca="1" si="9"/>
        <v>Sin fecha</v>
      </c>
      <c r="J625" s="11">
        <v>120</v>
      </c>
      <c r="K625" s="11">
        <v>120</v>
      </c>
      <c r="L625" s="12">
        <v>41090</v>
      </c>
      <c r="M625" t="s">
        <v>36</v>
      </c>
    </row>
    <row r="626" spans="1:13" ht="30" customHeight="1">
      <c r="A626" s="6" t="s">
        <v>1181</v>
      </c>
      <c r="B626" s="7" t="s">
        <v>1182</v>
      </c>
      <c r="C626" s="7" t="s">
        <v>1183</v>
      </c>
      <c r="D626" s="6" t="s">
        <v>18</v>
      </c>
      <c r="E626" s="7" t="s">
        <v>1158</v>
      </c>
      <c r="F626" s="8"/>
      <c r="G626" s="9">
        <f>IFERROR(VLOOKUP(D626,Listas!$A$2:$B$20,2,FALSE()),999)</f>
        <v>1</v>
      </c>
      <c r="H626" s="9" t="str">
        <f t="shared" ca="1" si="9"/>
        <v>Sin fecha</v>
      </c>
      <c r="J626" s="11">
        <v>120</v>
      </c>
      <c r="K626" s="11">
        <v>120</v>
      </c>
      <c r="L626" s="12">
        <v>41090</v>
      </c>
      <c r="M626" t="s">
        <v>36</v>
      </c>
    </row>
    <row r="627" spans="1:13" ht="30" customHeight="1">
      <c r="A627" s="6" t="s">
        <v>1184</v>
      </c>
      <c r="B627" s="7" t="s">
        <v>1182</v>
      </c>
      <c r="C627" s="7" t="s">
        <v>1183</v>
      </c>
      <c r="D627" s="6" t="s">
        <v>18</v>
      </c>
      <c r="E627" s="7" t="s">
        <v>1158</v>
      </c>
      <c r="F627" s="8"/>
      <c r="G627" s="9">
        <f>IFERROR(VLOOKUP(D627,Listas!$A$2:$B$20,2,FALSE()),999)</f>
        <v>1</v>
      </c>
      <c r="H627" s="9" t="str">
        <f t="shared" ca="1" si="9"/>
        <v>Sin fecha</v>
      </c>
      <c r="J627" s="11">
        <v>120</v>
      </c>
      <c r="K627" s="11">
        <v>120</v>
      </c>
      <c r="L627" s="12">
        <v>41090</v>
      </c>
      <c r="M627" t="s">
        <v>36</v>
      </c>
    </row>
    <row r="628" spans="1:13" ht="30" customHeight="1">
      <c r="A628" s="6" t="s">
        <v>1185</v>
      </c>
      <c r="B628" s="7" t="s">
        <v>657</v>
      </c>
      <c r="C628" s="7" t="s">
        <v>658</v>
      </c>
      <c r="D628" s="6" t="s">
        <v>18</v>
      </c>
      <c r="E628" s="7" t="s">
        <v>1158</v>
      </c>
      <c r="F628" s="8"/>
      <c r="G628" s="9">
        <f>IFERROR(VLOOKUP(D628,Listas!$A$2:$B$20,2,FALSE()),999)</f>
        <v>1</v>
      </c>
      <c r="H628" s="9" t="str">
        <f t="shared" ca="1" si="9"/>
        <v>Sin fecha</v>
      </c>
      <c r="J628" s="11">
        <v>1</v>
      </c>
      <c r="K628" s="11">
        <v>1</v>
      </c>
      <c r="L628" s="12">
        <v>42886</v>
      </c>
      <c r="M628" t="s">
        <v>36</v>
      </c>
    </row>
    <row r="629" spans="1:13" ht="30" customHeight="1">
      <c r="A629" s="6" t="s">
        <v>1186</v>
      </c>
      <c r="B629" s="7" t="s">
        <v>657</v>
      </c>
      <c r="C629" s="7" t="s">
        <v>658</v>
      </c>
      <c r="D629" s="6" t="s">
        <v>18</v>
      </c>
      <c r="E629" s="7" t="s">
        <v>1158</v>
      </c>
      <c r="F629" s="8"/>
      <c r="G629" s="9">
        <f>IFERROR(VLOOKUP(D629,Listas!$A$2:$B$20,2,FALSE()),999)</f>
        <v>1</v>
      </c>
      <c r="H629" s="9" t="str">
        <f t="shared" ca="1" si="9"/>
        <v>Sin fecha</v>
      </c>
      <c r="J629" s="11">
        <v>1</v>
      </c>
      <c r="K629" s="11">
        <v>1</v>
      </c>
      <c r="L629" s="12">
        <v>42886</v>
      </c>
      <c r="M629" t="s">
        <v>36</v>
      </c>
    </row>
    <row r="630" spans="1:13" ht="30" customHeight="1">
      <c r="A630" s="6" t="s">
        <v>1187</v>
      </c>
      <c r="B630" s="7" t="s">
        <v>657</v>
      </c>
      <c r="C630" s="7" t="s">
        <v>658</v>
      </c>
      <c r="D630" s="6" t="s">
        <v>18</v>
      </c>
      <c r="E630" s="7" t="s">
        <v>1158</v>
      </c>
      <c r="F630" s="8"/>
      <c r="G630" s="9">
        <f>IFERROR(VLOOKUP(D630,Listas!$A$2:$B$20,2,FALSE()),999)</f>
        <v>1</v>
      </c>
      <c r="H630" s="9" t="str">
        <f t="shared" ca="1" si="9"/>
        <v>Sin fecha</v>
      </c>
      <c r="J630" s="11">
        <v>1</v>
      </c>
      <c r="K630" s="11">
        <v>1</v>
      </c>
      <c r="L630" s="12">
        <v>42886</v>
      </c>
      <c r="M630" t="s">
        <v>36</v>
      </c>
    </row>
    <row r="631" spans="1:13" ht="30" customHeight="1">
      <c r="A631" s="6" t="s">
        <v>1188</v>
      </c>
      <c r="B631" s="7" t="s">
        <v>657</v>
      </c>
      <c r="C631" s="7" t="s">
        <v>658</v>
      </c>
      <c r="D631" s="6" t="s">
        <v>18</v>
      </c>
      <c r="E631" s="7" t="s">
        <v>1158</v>
      </c>
      <c r="F631" s="8"/>
      <c r="G631" s="9">
        <f>IFERROR(VLOOKUP(D631,Listas!$A$2:$B$20,2,FALSE()),999)</f>
        <v>1</v>
      </c>
      <c r="H631" s="9" t="str">
        <f t="shared" ca="1" si="9"/>
        <v>Sin fecha</v>
      </c>
      <c r="J631" s="11">
        <v>1</v>
      </c>
      <c r="K631" s="11">
        <v>1</v>
      </c>
      <c r="L631" s="12">
        <v>42886</v>
      </c>
      <c r="M631" t="s">
        <v>36</v>
      </c>
    </row>
    <row r="632" spans="1:13" ht="30" customHeight="1">
      <c r="A632" s="6" t="s">
        <v>1189</v>
      </c>
      <c r="B632" s="7" t="s">
        <v>1190</v>
      </c>
      <c r="C632" s="7" t="s">
        <v>1191</v>
      </c>
      <c r="D632" s="6" t="s">
        <v>18</v>
      </c>
      <c r="E632" s="7" t="s">
        <v>1158</v>
      </c>
      <c r="F632" s="8"/>
      <c r="G632" s="9">
        <f>IFERROR(VLOOKUP(D632,Listas!$A$2:$B$20,2,FALSE()),999)</f>
        <v>1</v>
      </c>
      <c r="H632" s="9" t="str">
        <f t="shared" ca="1" si="9"/>
        <v>Sin fecha</v>
      </c>
      <c r="J632" s="11">
        <v>120</v>
      </c>
      <c r="K632" s="11">
        <v>120</v>
      </c>
      <c r="L632" s="12">
        <v>41090</v>
      </c>
      <c r="M632" t="s">
        <v>36</v>
      </c>
    </row>
    <row r="633" spans="1:13" ht="30" customHeight="1">
      <c r="A633" s="6" t="s">
        <v>1192</v>
      </c>
      <c r="B633" s="7" t="s">
        <v>1193</v>
      </c>
      <c r="C633" s="7" t="s">
        <v>1194</v>
      </c>
      <c r="D633" s="6" t="s">
        <v>18</v>
      </c>
      <c r="E633" s="7" t="s">
        <v>1158</v>
      </c>
      <c r="F633" s="8"/>
      <c r="G633" s="9">
        <f>IFERROR(VLOOKUP(D633,Listas!$A$2:$B$20,2,FALSE()),999)</f>
        <v>1</v>
      </c>
      <c r="H633" s="9" t="str">
        <f t="shared" ca="1" si="9"/>
        <v>Sin fecha</v>
      </c>
      <c r="J633" s="11">
        <v>120</v>
      </c>
      <c r="K633" s="11">
        <v>120</v>
      </c>
      <c r="L633" s="12">
        <v>41090</v>
      </c>
      <c r="M633" t="s">
        <v>36</v>
      </c>
    </row>
    <row r="634" spans="1:13" ht="30" customHeight="1">
      <c r="A634" s="6" t="s">
        <v>1195</v>
      </c>
      <c r="B634" s="7" t="s">
        <v>1196</v>
      </c>
      <c r="C634" s="7" t="s">
        <v>1197</v>
      </c>
      <c r="D634" s="6" t="s">
        <v>18</v>
      </c>
      <c r="E634" s="7" t="s">
        <v>1158</v>
      </c>
      <c r="F634" s="8"/>
      <c r="G634" s="9">
        <f>IFERROR(VLOOKUP(D634,Listas!$A$2:$B$20,2,FALSE()),999)</f>
        <v>1</v>
      </c>
      <c r="H634" s="9" t="str">
        <f t="shared" ca="1" si="9"/>
        <v>Sin fecha</v>
      </c>
      <c r="J634" s="11">
        <v>120</v>
      </c>
      <c r="K634" s="11">
        <v>120</v>
      </c>
      <c r="L634" s="12">
        <v>41090</v>
      </c>
      <c r="M634" t="s">
        <v>36</v>
      </c>
    </row>
    <row r="635" spans="1:13" ht="30" customHeight="1">
      <c r="A635" s="6" t="s">
        <v>1198</v>
      </c>
      <c r="B635" s="7" t="s">
        <v>1199</v>
      </c>
      <c r="C635" s="7" t="s">
        <v>1200</v>
      </c>
      <c r="D635" s="6" t="s">
        <v>18</v>
      </c>
      <c r="E635" s="7" t="s">
        <v>1158</v>
      </c>
      <c r="F635" s="8"/>
      <c r="G635" s="9">
        <f>IFERROR(VLOOKUP(D635,Listas!$A$2:$B$20,2,FALSE()),999)</f>
        <v>1</v>
      </c>
      <c r="H635" s="9" t="str">
        <f t="shared" ca="1" si="9"/>
        <v>Sin fecha</v>
      </c>
      <c r="J635" s="11">
        <v>120</v>
      </c>
      <c r="K635" s="11">
        <v>120</v>
      </c>
      <c r="L635" s="12">
        <v>41090</v>
      </c>
      <c r="M635" t="s">
        <v>36</v>
      </c>
    </row>
    <row r="636" spans="1:13" ht="30" customHeight="1">
      <c r="A636" s="6" t="s">
        <v>1201</v>
      </c>
      <c r="B636" s="7" t="s">
        <v>1202</v>
      </c>
      <c r="C636" s="7" t="s">
        <v>1203</v>
      </c>
      <c r="D636" s="6" t="s">
        <v>18</v>
      </c>
      <c r="E636" s="7" t="s">
        <v>1158</v>
      </c>
      <c r="F636" s="8"/>
      <c r="G636" s="9">
        <f>IFERROR(VLOOKUP(D636,Listas!$A$2:$B$20,2,FALSE()),999)</f>
        <v>1</v>
      </c>
      <c r="H636" s="9" t="str">
        <f t="shared" ca="1" si="9"/>
        <v>Sin fecha</v>
      </c>
      <c r="J636" s="11">
        <v>120</v>
      </c>
      <c r="K636" s="11">
        <v>120</v>
      </c>
      <c r="L636" s="12">
        <v>41090</v>
      </c>
      <c r="M636" t="s">
        <v>36</v>
      </c>
    </row>
    <row r="637" spans="1:13" ht="30" customHeight="1">
      <c r="A637" s="6" t="s">
        <v>1204</v>
      </c>
      <c r="B637" s="7" t="s">
        <v>1205</v>
      </c>
      <c r="C637" s="7" t="s">
        <v>1206</v>
      </c>
      <c r="D637" s="6" t="s">
        <v>18</v>
      </c>
      <c r="E637" s="7" t="s">
        <v>1158</v>
      </c>
      <c r="F637" s="8"/>
      <c r="G637" s="9">
        <f>IFERROR(VLOOKUP(D637,Listas!$A$2:$B$20,2,FALSE()),999)</f>
        <v>1</v>
      </c>
      <c r="H637" s="9" t="str">
        <f t="shared" ca="1" si="9"/>
        <v>Sin fecha</v>
      </c>
      <c r="J637" s="11">
        <v>120</v>
      </c>
      <c r="K637" s="11">
        <v>120</v>
      </c>
      <c r="L637" s="12">
        <v>41090</v>
      </c>
      <c r="M637" t="s">
        <v>36</v>
      </c>
    </row>
    <row r="638" spans="1:13" ht="30" customHeight="1">
      <c r="A638" s="6" t="s">
        <v>1207</v>
      </c>
      <c r="B638" s="7" t="s">
        <v>1208</v>
      </c>
      <c r="C638" s="7" t="s">
        <v>1209</v>
      </c>
      <c r="D638" s="6" t="s">
        <v>18</v>
      </c>
      <c r="E638" s="7" t="s">
        <v>1158</v>
      </c>
      <c r="F638" s="8"/>
      <c r="G638" s="9">
        <f>IFERROR(VLOOKUP(D638,Listas!$A$2:$B$20,2,FALSE()),999)</f>
        <v>1</v>
      </c>
      <c r="H638" s="9" t="str">
        <f t="shared" ca="1" si="9"/>
        <v>Sin fecha</v>
      </c>
      <c r="J638" s="11">
        <v>120</v>
      </c>
      <c r="K638" s="11">
        <v>120</v>
      </c>
      <c r="L638" s="12">
        <v>42216</v>
      </c>
      <c r="M638" t="s">
        <v>36</v>
      </c>
    </row>
    <row r="639" spans="1:13" ht="30" customHeight="1">
      <c r="A639" s="6" t="s">
        <v>1210</v>
      </c>
      <c r="B639" s="7" t="s">
        <v>1208</v>
      </c>
      <c r="C639" s="7" t="s">
        <v>1209</v>
      </c>
      <c r="D639" s="6" t="s">
        <v>18</v>
      </c>
      <c r="E639" s="7" t="s">
        <v>1158</v>
      </c>
      <c r="F639" s="8"/>
      <c r="G639" s="9">
        <f>IFERROR(VLOOKUP(D639,Listas!$A$2:$B$20,2,FALSE()),999)</f>
        <v>1</v>
      </c>
      <c r="H639" s="9" t="str">
        <f t="shared" ca="1" si="9"/>
        <v>Sin fecha</v>
      </c>
      <c r="J639" s="11">
        <v>120</v>
      </c>
      <c r="K639" s="11">
        <v>120</v>
      </c>
      <c r="L639" s="12">
        <v>42216</v>
      </c>
      <c r="M639" t="s">
        <v>36</v>
      </c>
    </row>
    <row r="640" spans="1:13" ht="30" customHeight="1">
      <c r="A640" s="6" t="s">
        <v>1211</v>
      </c>
      <c r="B640" s="7" t="s">
        <v>1208</v>
      </c>
      <c r="C640" s="7" t="s">
        <v>1209</v>
      </c>
      <c r="D640" s="6" t="s">
        <v>18</v>
      </c>
      <c r="E640" s="7" t="s">
        <v>1158</v>
      </c>
      <c r="F640" s="8"/>
      <c r="G640" s="9">
        <f>IFERROR(VLOOKUP(D640,Listas!$A$2:$B$20,2,FALSE()),999)</f>
        <v>1</v>
      </c>
      <c r="H640" s="9" t="str">
        <f t="shared" ca="1" si="9"/>
        <v>Sin fecha</v>
      </c>
      <c r="J640" s="11">
        <v>120</v>
      </c>
      <c r="K640" s="11">
        <v>120</v>
      </c>
      <c r="L640" s="12">
        <v>42216</v>
      </c>
      <c r="M640" t="s">
        <v>36</v>
      </c>
    </row>
    <row r="641" spans="1:13" ht="30" customHeight="1">
      <c r="A641" s="6" t="s">
        <v>1212</v>
      </c>
      <c r="B641" s="7" t="s">
        <v>1208</v>
      </c>
      <c r="C641" s="7" t="s">
        <v>1209</v>
      </c>
      <c r="D641" s="6" t="s">
        <v>18</v>
      </c>
      <c r="E641" s="7" t="s">
        <v>1158</v>
      </c>
      <c r="F641" s="8"/>
      <c r="G641" s="9">
        <f>IFERROR(VLOOKUP(D641,Listas!$A$2:$B$20,2,FALSE()),999)</f>
        <v>1</v>
      </c>
      <c r="H641" s="9" t="str">
        <f t="shared" ca="1" si="9"/>
        <v>Sin fecha</v>
      </c>
      <c r="J641" s="11">
        <v>120</v>
      </c>
      <c r="K641" s="11">
        <v>120</v>
      </c>
      <c r="L641" s="12">
        <v>42216</v>
      </c>
      <c r="M641" t="s">
        <v>36</v>
      </c>
    </row>
    <row r="642" spans="1:13" ht="30" customHeight="1">
      <c r="A642" s="6" t="s">
        <v>1213</v>
      </c>
      <c r="B642" s="7" t="s">
        <v>1214</v>
      </c>
      <c r="C642" s="7" t="s">
        <v>1130</v>
      </c>
      <c r="D642" s="6" t="s">
        <v>18</v>
      </c>
      <c r="E642" s="7" t="s">
        <v>1158</v>
      </c>
      <c r="F642" s="8"/>
      <c r="G642" s="9">
        <f>IFERROR(VLOOKUP(D642,Listas!$A$2:$B$20,2,FALSE()),999)</f>
        <v>1</v>
      </c>
      <c r="H642" s="9" t="str">
        <f t="shared" ca="1" si="9"/>
        <v>Sin fecha</v>
      </c>
      <c r="J642" s="11">
        <v>120</v>
      </c>
      <c r="K642" s="11">
        <v>120</v>
      </c>
      <c r="L642" s="12">
        <v>41090</v>
      </c>
      <c r="M642" t="s">
        <v>36</v>
      </c>
    </row>
    <row r="643" spans="1:13" ht="30" customHeight="1">
      <c r="A643" s="6" t="s">
        <v>1215</v>
      </c>
      <c r="B643" s="7" t="s">
        <v>1216</v>
      </c>
      <c r="C643" s="7" t="s">
        <v>1217</v>
      </c>
      <c r="D643" s="6" t="s">
        <v>18</v>
      </c>
      <c r="E643" s="7" t="s">
        <v>1158</v>
      </c>
      <c r="F643" s="8"/>
      <c r="G643" s="9">
        <f>IFERROR(VLOOKUP(D643,Listas!$A$2:$B$20,2,FALSE()),999)</f>
        <v>1</v>
      </c>
      <c r="H643" s="9" t="str">
        <f t="shared" ca="1" si="9"/>
        <v>Sin fecha</v>
      </c>
      <c r="J643" s="11">
        <v>120</v>
      </c>
      <c r="K643" s="11">
        <v>120</v>
      </c>
      <c r="L643" s="12">
        <v>41090</v>
      </c>
      <c r="M643" t="s">
        <v>36</v>
      </c>
    </row>
    <row r="644" spans="1:13" ht="30" customHeight="1">
      <c r="A644" s="6" t="s">
        <v>1218</v>
      </c>
      <c r="B644" s="7" t="s">
        <v>1216</v>
      </c>
      <c r="C644" s="7" t="s">
        <v>1217</v>
      </c>
      <c r="D644" s="6" t="s">
        <v>18</v>
      </c>
      <c r="E644" s="7" t="s">
        <v>1158</v>
      </c>
      <c r="F644" s="8"/>
      <c r="G644" s="9">
        <f>IFERROR(VLOOKUP(D644,Listas!$A$2:$B$20,2,FALSE()),999)</f>
        <v>1</v>
      </c>
      <c r="H644" s="9" t="str">
        <f t="shared" ca="1" si="9"/>
        <v>Sin fecha</v>
      </c>
      <c r="J644" s="11">
        <v>120</v>
      </c>
      <c r="K644" s="11">
        <v>120</v>
      </c>
      <c r="L644" s="12">
        <v>41090</v>
      </c>
      <c r="M644" t="s">
        <v>36</v>
      </c>
    </row>
    <row r="645" spans="1:13" ht="30" customHeight="1">
      <c r="A645" s="6" t="s">
        <v>1219</v>
      </c>
      <c r="B645" s="7" t="s">
        <v>1220</v>
      </c>
      <c r="C645" s="7" t="s">
        <v>1221</v>
      </c>
      <c r="D645" s="6" t="s">
        <v>18</v>
      </c>
      <c r="E645" s="7" t="s">
        <v>1158</v>
      </c>
      <c r="F645" s="8"/>
      <c r="G645" s="9">
        <f>IFERROR(VLOOKUP(D645,Listas!$A$2:$B$20,2,FALSE()),999)</f>
        <v>1</v>
      </c>
      <c r="H645" s="9" t="str">
        <f t="shared" ref="H645:H708" ca="1" si="10">IF(F645="","Sin fecha",IF(TODAY()-F645&gt;180,"Revisar",IF(TODAY()-F645&gt;90,"Próximo","Vigente")))</f>
        <v>Sin fecha</v>
      </c>
      <c r="J645" s="11">
        <v>120</v>
      </c>
      <c r="K645" s="11">
        <v>120</v>
      </c>
      <c r="L645" s="12">
        <v>39721</v>
      </c>
      <c r="M645" t="s">
        <v>36</v>
      </c>
    </row>
    <row r="646" spans="1:13" ht="30" customHeight="1">
      <c r="A646" s="6" t="s">
        <v>1222</v>
      </c>
      <c r="B646" s="7" t="s">
        <v>1220</v>
      </c>
      <c r="C646" s="7" t="s">
        <v>1221</v>
      </c>
      <c r="D646" s="6" t="s">
        <v>18</v>
      </c>
      <c r="E646" s="7" t="s">
        <v>1158</v>
      </c>
      <c r="F646" s="8"/>
      <c r="G646" s="9">
        <f>IFERROR(VLOOKUP(D646,Listas!$A$2:$B$20,2,FALSE()),999)</f>
        <v>1</v>
      </c>
      <c r="H646" s="9" t="str">
        <f t="shared" ca="1" si="10"/>
        <v>Sin fecha</v>
      </c>
      <c r="J646" s="11">
        <v>120</v>
      </c>
      <c r="K646" s="11">
        <v>120</v>
      </c>
      <c r="L646" s="12">
        <v>39263</v>
      </c>
      <c r="M646" t="s">
        <v>36</v>
      </c>
    </row>
    <row r="647" spans="1:13" ht="30" customHeight="1">
      <c r="A647" s="6" t="s">
        <v>1223</v>
      </c>
      <c r="B647" s="7" t="s">
        <v>725</v>
      </c>
      <c r="C647" s="7" t="s">
        <v>726</v>
      </c>
      <c r="D647" s="6" t="s">
        <v>18</v>
      </c>
      <c r="E647" s="7" t="s">
        <v>1158</v>
      </c>
      <c r="F647" s="8"/>
      <c r="G647" s="9">
        <f>IFERROR(VLOOKUP(D647,Listas!$A$2:$B$20,2,FALSE()),999)</f>
        <v>1</v>
      </c>
      <c r="H647" s="9" t="str">
        <f t="shared" ca="1" si="10"/>
        <v>Sin fecha</v>
      </c>
      <c r="J647" s="11">
        <v>1</v>
      </c>
      <c r="K647" s="11">
        <v>1</v>
      </c>
      <c r="L647" s="12">
        <v>42886</v>
      </c>
      <c r="M647" t="s">
        <v>36</v>
      </c>
    </row>
    <row r="648" spans="1:13" ht="30" customHeight="1">
      <c r="A648" s="6" t="s">
        <v>1224</v>
      </c>
      <c r="B648" s="7" t="s">
        <v>1225</v>
      </c>
      <c r="C648" s="7" t="s">
        <v>1226</v>
      </c>
      <c r="D648" s="6" t="s">
        <v>18</v>
      </c>
      <c r="E648" s="7" t="s">
        <v>1158</v>
      </c>
      <c r="F648" s="8"/>
      <c r="G648" s="9">
        <f>IFERROR(VLOOKUP(D648,Listas!$A$2:$B$20,2,FALSE()),999)</f>
        <v>1</v>
      </c>
      <c r="H648" s="9" t="str">
        <f t="shared" ca="1" si="10"/>
        <v>Sin fecha</v>
      </c>
      <c r="J648" s="11">
        <v>120</v>
      </c>
      <c r="K648" s="11">
        <v>120</v>
      </c>
      <c r="L648" s="12">
        <v>41090</v>
      </c>
      <c r="M648" t="s">
        <v>36</v>
      </c>
    </row>
    <row r="649" spans="1:13" ht="30" customHeight="1">
      <c r="A649" s="6" t="s">
        <v>1227</v>
      </c>
      <c r="B649" s="7" t="s">
        <v>1228</v>
      </c>
      <c r="C649" s="7" t="s">
        <v>1229</v>
      </c>
      <c r="D649" s="6" t="s">
        <v>18</v>
      </c>
      <c r="E649" s="7" t="s">
        <v>1158</v>
      </c>
      <c r="F649" s="8"/>
      <c r="G649" s="9">
        <f>IFERROR(VLOOKUP(D649,Listas!$A$2:$B$20,2,FALSE()),999)</f>
        <v>1</v>
      </c>
      <c r="H649" s="9" t="str">
        <f t="shared" ca="1" si="10"/>
        <v>Sin fecha</v>
      </c>
      <c r="J649" s="11">
        <v>120</v>
      </c>
      <c r="K649" s="11">
        <v>120</v>
      </c>
      <c r="L649" s="12">
        <v>41090</v>
      </c>
      <c r="M649" t="s">
        <v>36</v>
      </c>
    </row>
    <row r="650" spans="1:13" ht="30" customHeight="1">
      <c r="A650" s="6" t="s">
        <v>1230</v>
      </c>
      <c r="B650" s="7" t="s">
        <v>1231</v>
      </c>
      <c r="C650" s="7" t="s">
        <v>1232</v>
      </c>
      <c r="D650" s="6" t="s">
        <v>18</v>
      </c>
      <c r="E650" s="7" t="s">
        <v>1158</v>
      </c>
      <c r="F650" s="8"/>
      <c r="G650" s="9">
        <f>IFERROR(VLOOKUP(D650,Listas!$A$2:$B$20,2,FALSE()),999)</f>
        <v>1</v>
      </c>
      <c r="H650" s="9" t="str">
        <f t="shared" ca="1" si="10"/>
        <v>Sin fecha</v>
      </c>
      <c r="J650" s="11">
        <v>120</v>
      </c>
      <c r="K650" s="11">
        <v>120</v>
      </c>
      <c r="L650" s="12">
        <v>41090</v>
      </c>
      <c r="M650" t="s">
        <v>36</v>
      </c>
    </row>
    <row r="651" spans="1:13" ht="30" customHeight="1">
      <c r="A651" s="6" t="s">
        <v>1233</v>
      </c>
      <c r="B651" s="7" t="s">
        <v>1231</v>
      </c>
      <c r="C651" s="7" t="s">
        <v>1232</v>
      </c>
      <c r="D651" s="6" t="s">
        <v>18</v>
      </c>
      <c r="E651" s="7" t="s">
        <v>1158</v>
      </c>
      <c r="F651" s="8"/>
      <c r="G651" s="9">
        <f>IFERROR(VLOOKUP(D651,Listas!$A$2:$B$20,2,FALSE()),999)</f>
        <v>1</v>
      </c>
      <c r="H651" s="9" t="str">
        <f t="shared" ca="1" si="10"/>
        <v>Sin fecha</v>
      </c>
      <c r="J651" s="11">
        <v>120</v>
      </c>
      <c r="K651" s="11">
        <v>120</v>
      </c>
      <c r="L651" s="12">
        <v>41090</v>
      </c>
      <c r="M651" t="s">
        <v>36</v>
      </c>
    </row>
    <row r="652" spans="1:13" ht="30" customHeight="1">
      <c r="A652" s="6" t="s">
        <v>1234</v>
      </c>
      <c r="B652" s="7" t="s">
        <v>1235</v>
      </c>
      <c r="C652" s="7" t="s">
        <v>1236</v>
      </c>
      <c r="D652" s="6" t="s">
        <v>18</v>
      </c>
      <c r="E652" s="7" t="s">
        <v>1158</v>
      </c>
      <c r="F652" s="8"/>
      <c r="G652" s="9">
        <f>IFERROR(VLOOKUP(D652,Listas!$A$2:$B$20,2,FALSE()),999)</f>
        <v>1</v>
      </c>
      <c r="H652" s="9" t="str">
        <f t="shared" ca="1" si="10"/>
        <v>Sin fecha</v>
      </c>
      <c r="J652" s="11">
        <v>120</v>
      </c>
      <c r="K652" s="11">
        <v>120</v>
      </c>
      <c r="L652" s="12">
        <v>41090</v>
      </c>
      <c r="M652" t="s">
        <v>36</v>
      </c>
    </row>
    <row r="653" spans="1:13" ht="30" customHeight="1">
      <c r="A653" s="6" t="s">
        <v>1237</v>
      </c>
      <c r="B653" s="7" t="s">
        <v>1235</v>
      </c>
      <c r="C653" s="7" t="s">
        <v>1236</v>
      </c>
      <c r="D653" s="6" t="s">
        <v>18</v>
      </c>
      <c r="E653" s="7" t="s">
        <v>1158</v>
      </c>
      <c r="F653" s="8"/>
      <c r="G653" s="9">
        <f>IFERROR(VLOOKUP(D653,Listas!$A$2:$B$20,2,FALSE()),999)</f>
        <v>1</v>
      </c>
      <c r="H653" s="9" t="str">
        <f t="shared" ca="1" si="10"/>
        <v>Sin fecha</v>
      </c>
      <c r="J653" s="11">
        <v>120</v>
      </c>
      <c r="K653" s="11">
        <v>120</v>
      </c>
      <c r="L653" s="12">
        <v>39263</v>
      </c>
      <c r="M653" t="s">
        <v>36</v>
      </c>
    </row>
    <row r="654" spans="1:13" ht="30" customHeight="1">
      <c r="A654" s="6" t="s">
        <v>1238</v>
      </c>
      <c r="B654" s="7" t="s">
        <v>1239</v>
      </c>
      <c r="C654" s="7" t="s">
        <v>1240</v>
      </c>
      <c r="D654" s="6" t="s">
        <v>18</v>
      </c>
      <c r="E654" s="7" t="s">
        <v>1158</v>
      </c>
      <c r="F654" s="8"/>
      <c r="G654" s="9">
        <f>IFERROR(VLOOKUP(D654,Listas!$A$2:$B$20,2,FALSE()),999)</f>
        <v>1</v>
      </c>
      <c r="H654" s="9" t="str">
        <f t="shared" ca="1" si="10"/>
        <v>Sin fecha</v>
      </c>
      <c r="J654" s="11">
        <v>120</v>
      </c>
      <c r="K654" s="11">
        <v>120</v>
      </c>
      <c r="L654" s="12">
        <v>41090</v>
      </c>
      <c r="M654" t="s">
        <v>36</v>
      </c>
    </row>
    <row r="655" spans="1:13" ht="30" customHeight="1">
      <c r="A655" s="6" t="s">
        <v>1241</v>
      </c>
      <c r="B655" s="7" t="s">
        <v>1239</v>
      </c>
      <c r="C655" s="7" t="s">
        <v>1240</v>
      </c>
      <c r="D655" s="6" t="s">
        <v>18</v>
      </c>
      <c r="E655" s="7" t="s">
        <v>1158</v>
      </c>
      <c r="F655" s="8"/>
      <c r="G655" s="9">
        <f>IFERROR(VLOOKUP(D655,Listas!$A$2:$B$20,2,FALSE()),999)</f>
        <v>1</v>
      </c>
      <c r="H655" s="9" t="str">
        <f t="shared" ca="1" si="10"/>
        <v>Sin fecha</v>
      </c>
      <c r="J655" s="11">
        <v>120</v>
      </c>
      <c r="K655" s="11">
        <v>120</v>
      </c>
      <c r="L655" s="12">
        <v>41090</v>
      </c>
      <c r="M655" t="s">
        <v>36</v>
      </c>
    </row>
    <row r="656" spans="1:13" ht="30" customHeight="1">
      <c r="A656" s="6" t="s">
        <v>1242</v>
      </c>
      <c r="B656" s="7" t="s">
        <v>1239</v>
      </c>
      <c r="C656" s="7" t="s">
        <v>1240</v>
      </c>
      <c r="D656" s="6" t="s">
        <v>18</v>
      </c>
      <c r="E656" s="7" t="s">
        <v>1158</v>
      </c>
      <c r="F656" s="8"/>
      <c r="G656" s="9">
        <f>IFERROR(VLOOKUP(D656,Listas!$A$2:$B$20,2,FALSE()),999)</f>
        <v>1</v>
      </c>
      <c r="H656" s="9" t="str">
        <f t="shared" ca="1" si="10"/>
        <v>Sin fecha</v>
      </c>
      <c r="J656" s="11">
        <v>120</v>
      </c>
      <c r="K656" s="11">
        <v>120</v>
      </c>
      <c r="L656" s="12">
        <v>41090</v>
      </c>
      <c r="M656" t="s">
        <v>36</v>
      </c>
    </row>
    <row r="657" spans="1:13" ht="30" customHeight="1">
      <c r="A657" s="6" t="s">
        <v>1243</v>
      </c>
      <c r="B657" s="7" t="s">
        <v>1239</v>
      </c>
      <c r="C657" s="7" t="s">
        <v>1240</v>
      </c>
      <c r="D657" s="6" t="s">
        <v>18</v>
      </c>
      <c r="E657" s="7" t="s">
        <v>1158</v>
      </c>
      <c r="F657" s="8"/>
      <c r="G657" s="9">
        <f>IFERROR(VLOOKUP(D657,Listas!$A$2:$B$20,2,FALSE()),999)</f>
        <v>1</v>
      </c>
      <c r="H657" s="9" t="str">
        <f t="shared" ca="1" si="10"/>
        <v>Sin fecha</v>
      </c>
      <c r="J657" s="11">
        <v>120</v>
      </c>
      <c r="K657" s="11">
        <v>120</v>
      </c>
      <c r="L657" s="12">
        <v>41090</v>
      </c>
      <c r="M657" t="s">
        <v>36</v>
      </c>
    </row>
    <row r="658" spans="1:13" ht="30" customHeight="1">
      <c r="A658" s="6" t="s">
        <v>1244</v>
      </c>
      <c r="B658" s="7" t="s">
        <v>1239</v>
      </c>
      <c r="C658" s="7" t="s">
        <v>1240</v>
      </c>
      <c r="D658" s="6" t="s">
        <v>18</v>
      </c>
      <c r="E658" s="7" t="s">
        <v>1158</v>
      </c>
      <c r="F658" s="8"/>
      <c r="G658" s="9">
        <f>IFERROR(VLOOKUP(D658,Listas!$A$2:$B$20,2,FALSE()),999)</f>
        <v>1</v>
      </c>
      <c r="H658" s="9" t="str">
        <f t="shared" ca="1" si="10"/>
        <v>Sin fecha</v>
      </c>
      <c r="J658" s="11">
        <v>120</v>
      </c>
      <c r="K658" s="11">
        <v>120</v>
      </c>
      <c r="L658" s="12">
        <v>41090</v>
      </c>
      <c r="M658" t="s">
        <v>36</v>
      </c>
    </row>
    <row r="659" spans="1:13" ht="30" customHeight="1">
      <c r="A659" s="6" t="s">
        <v>1245</v>
      </c>
      <c r="B659" s="7" t="s">
        <v>1239</v>
      </c>
      <c r="C659" s="7" t="s">
        <v>1240</v>
      </c>
      <c r="D659" s="6" t="s">
        <v>18</v>
      </c>
      <c r="E659" s="7" t="s">
        <v>1158</v>
      </c>
      <c r="F659" s="8"/>
      <c r="G659" s="9">
        <f>IFERROR(VLOOKUP(D659,Listas!$A$2:$B$20,2,FALSE()),999)</f>
        <v>1</v>
      </c>
      <c r="H659" s="9" t="str">
        <f t="shared" ca="1" si="10"/>
        <v>Sin fecha</v>
      </c>
      <c r="J659" s="11">
        <v>120</v>
      </c>
      <c r="K659" s="11">
        <v>120</v>
      </c>
      <c r="L659" s="12">
        <v>41090</v>
      </c>
      <c r="M659" t="s">
        <v>36</v>
      </c>
    </row>
    <row r="660" spans="1:13" ht="30" customHeight="1">
      <c r="A660" s="6" t="s">
        <v>1246</v>
      </c>
      <c r="B660" s="7" t="s">
        <v>1239</v>
      </c>
      <c r="C660" s="7" t="s">
        <v>1240</v>
      </c>
      <c r="D660" s="6" t="s">
        <v>18</v>
      </c>
      <c r="E660" s="7" t="s">
        <v>1158</v>
      </c>
      <c r="F660" s="8"/>
      <c r="G660" s="9">
        <f>IFERROR(VLOOKUP(D660,Listas!$A$2:$B$20,2,FALSE()),999)</f>
        <v>1</v>
      </c>
      <c r="H660" s="9" t="str">
        <f t="shared" ca="1" si="10"/>
        <v>Sin fecha</v>
      </c>
      <c r="J660" s="11">
        <v>120</v>
      </c>
      <c r="K660" s="11">
        <v>120</v>
      </c>
      <c r="L660" s="12">
        <v>41090</v>
      </c>
      <c r="M660" t="s">
        <v>36</v>
      </c>
    </row>
    <row r="661" spans="1:13" ht="30" customHeight="1">
      <c r="A661" s="6" t="s">
        <v>1247</v>
      </c>
      <c r="B661" s="7" t="s">
        <v>1239</v>
      </c>
      <c r="C661" s="7" t="s">
        <v>1240</v>
      </c>
      <c r="D661" s="6" t="s">
        <v>18</v>
      </c>
      <c r="E661" s="7" t="s">
        <v>1158</v>
      </c>
      <c r="F661" s="8"/>
      <c r="G661" s="9">
        <f>IFERROR(VLOOKUP(D661,Listas!$A$2:$B$20,2,FALSE()),999)</f>
        <v>1</v>
      </c>
      <c r="H661" s="9" t="str">
        <f t="shared" ca="1" si="10"/>
        <v>Sin fecha</v>
      </c>
      <c r="J661" s="11">
        <v>120</v>
      </c>
      <c r="K661" s="11">
        <v>120</v>
      </c>
      <c r="L661" s="12">
        <v>41090</v>
      </c>
      <c r="M661" t="s">
        <v>36</v>
      </c>
    </row>
    <row r="662" spans="1:13" ht="30" customHeight="1">
      <c r="A662" s="6" t="s">
        <v>1248</v>
      </c>
      <c r="B662" s="7" t="s">
        <v>1239</v>
      </c>
      <c r="C662" s="7" t="s">
        <v>1240</v>
      </c>
      <c r="D662" s="6" t="s">
        <v>18</v>
      </c>
      <c r="E662" s="7" t="s">
        <v>1158</v>
      </c>
      <c r="F662" s="8"/>
      <c r="G662" s="9">
        <f>IFERROR(VLOOKUP(D662,Listas!$A$2:$B$20,2,FALSE()),999)</f>
        <v>1</v>
      </c>
      <c r="H662" s="9" t="str">
        <f t="shared" ca="1" si="10"/>
        <v>Sin fecha</v>
      </c>
      <c r="J662" s="11">
        <v>120</v>
      </c>
      <c r="K662" s="11">
        <v>120</v>
      </c>
      <c r="L662" s="12">
        <v>41090</v>
      </c>
      <c r="M662" t="s">
        <v>36</v>
      </c>
    </row>
    <row r="663" spans="1:13" ht="30" customHeight="1">
      <c r="A663" s="6" t="s">
        <v>1249</v>
      </c>
      <c r="B663" s="7" t="s">
        <v>1250</v>
      </c>
      <c r="C663" s="7" t="s">
        <v>1251</v>
      </c>
      <c r="D663" s="6" t="s">
        <v>18</v>
      </c>
      <c r="E663" s="7" t="s">
        <v>1158</v>
      </c>
      <c r="F663" s="8"/>
      <c r="G663" s="9">
        <f>IFERROR(VLOOKUP(D663,Listas!$A$2:$B$20,2,FALSE()),999)</f>
        <v>1</v>
      </c>
      <c r="H663" s="9" t="str">
        <f t="shared" ca="1" si="10"/>
        <v>Sin fecha</v>
      </c>
      <c r="J663" s="11">
        <v>120</v>
      </c>
      <c r="K663" s="11">
        <v>120</v>
      </c>
      <c r="L663" s="12">
        <v>41090</v>
      </c>
      <c r="M663" t="s">
        <v>36</v>
      </c>
    </row>
    <row r="664" spans="1:13" ht="30" customHeight="1">
      <c r="A664" s="6" t="s">
        <v>1252</v>
      </c>
      <c r="B664" s="7" t="s">
        <v>1250</v>
      </c>
      <c r="C664" s="7" t="s">
        <v>1253</v>
      </c>
      <c r="D664" s="6" t="s">
        <v>18</v>
      </c>
      <c r="E664" s="7" t="s">
        <v>1158</v>
      </c>
      <c r="F664" s="8"/>
      <c r="G664" s="9">
        <f>IFERROR(VLOOKUP(D664,Listas!$A$2:$B$20,2,FALSE()),999)</f>
        <v>1</v>
      </c>
      <c r="H664" s="9" t="str">
        <f t="shared" ca="1" si="10"/>
        <v>Sin fecha</v>
      </c>
      <c r="J664" s="11">
        <v>120</v>
      </c>
      <c r="K664" s="11">
        <v>120</v>
      </c>
      <c r="L664" s="12">
        <v>41090</v>
      </c>
      <c r="M664" t="s">
        <v>36</v>
      </c>
    </row>
    <row r="665" spans="1:13" ht="30" customHeight="1">
      <c r="A665" s="6" t="s">
        <v>1254</v>
      </c>
      <c r="B665" s="7" t="s">
        <v>1255</v>
      </c>
      <c r="C665" s="7" t="s">
        <v>1256</v>
      </c>
      <c r="D665" s="6" t="s">
        <v>18</v>
      </c>
      <c r="E665" s="7" t="s">
        <v>1158</v>
      </c>
      <c r="F665" s="8"/>
      <c r="G665" s="9">
        <f>IFERROR(VLOOKUP(D665,Listas!$A$2:$B$20,2,FALSE()),999)</f>
        <v>1</v>
      </c>
      <c r="H665" s="9" t="str">
        <f t="shared" ca="1" si="10"/>
        <v>Sin fecha</v>
      </c>
      <c r="J665" s="11">
        <v>120</v>
      </c>
      <c r="K665" s="11">
        <v>120</v>
      </c>
      <c r="L665" s="12">
        <v>41090</v>
      </c>
      <c r="M665" t="s">
        <v>36</v>
      </c>
    </row>
    <row r="666" spans="1:13" ht="30" customHeight="1">
      <c r="A666" s="6" t="s">
        <v>1257</v>
      </c>
      <c r="B666" s="7" t="s">
        <v>1258</v>
      </c>
      <c r="C666" s="7" t="s">
        <v>1259</v>
      </c>
      <c r="D666" s="6" t="s">
        <v>18</v>
      </c>
      <c r="E666" s="7" t="s">
        <v>1260</v>
      </c>
      <c r="F666" s="13">
        <v>46204</v>
      </c>
      <c r="G666" s="9">
        <f>IFERROR(VLOOKUP(D666,Listas!$A$2:$B$20,2,FALSE()),999)</f>
        <v>1</v>
      </c>
      <c r="H666" s="9" t="str">
        <f t="shared" ca="1" si="10"/>
        <v>Próximo</v>
      </c>
      <c r="J666" s="11">
        <v>120</v>
      </c>
      <c r="K666" s="11">
        <v>120</v>
      </c>
      <c r="L666" s="12">
        <v>41090</v>
      </c>
      <c r="M666" t="s">
        <v>36</v>
      </c>
    </row>
    <row r="667" spans="1:13" ht="30" customHeight="1">
      <c r="A667" s="6" t="s">
        <v>1261</v>
      </c>
      <c r="B667" s="7" t="s">
        <v>1258</v>
      </c>
      <c r="C667" s="7" t="s">
        <v>1259</v>
      </c>
      <c r="D667" s="6" t="s">
        <v>18</v>
      </c>
      <c r="E667" s="7" t="s">
        <v>1260</v>
      </c>
      <c r="F667" s="13">
        <v>46204</v>
      </c>
      <c r="G667" s="9">
        <f>IFERROR(VLOOKUP(D667,Listas!$A$2:$B$20,2,FALSE()),999)</f>
        <v>1</v>
      </c>
      <c r="H667" s="9" t="str">
        <f t="shared" ca="1" si="10"/>
        <v>Próximo</v>
      </c>
      <c r="J667" s="11">
        <v>120</v>
      </c>
      <c r="K667" s="11">
        <v>120</v>
      </c>
      <c r="L667" s="12">
        <v>41090</v>
      </c>
      <c r="M667" t="s">
        <v>36</v>
      </c>
    </row>
    <row r="668" spans="1:13" ht="30" customHeight="1">
      <c r="A668" s="6" t="s">
        <v>1262</v>
      </c>
      <c r="B668" s="7" t="s">
        <v>1258</v>
      </c>
      <c r="C668" s="7" t="s">
        <v>1259</v>
      </c>
      <c r="D668" s="6" t="s">
        <v>18</v>
      </c>
      <c r="E668" s="7" t="s">
        <v>1260</v>
      </c>
      <c r="F668" s="13">
        <v>46204</v>
      </c>
      <c r="G668" s="9">
        <f>IFERROR(VLOOKUP(D668,Listas!$A$2:$B$20,2,FALSE()),999)</f>
        <v>1</v>
      </c>
      <c r="H668" s="9" t="str">
        <f t="shared" ca="1" si="10"/>
        <v>Próximo</v>
      </c>
      <c r="J668" s="11">
        <v>120</v>
      </c>
      <c r="K668" s="11">
        <v>120</v>
      </c>
      <c r="L668" s="12">
        <v>41090</v>
      </c>
      <c r="M668" t="s">
        <v>36</v>
      </c>
    </row>
    <row r="669" spans="1:13" ht="30" customHeight="1">
      <c r="A669" s="6" t="s">
        <v>1263</v>
      </c>
      <c r="B669" s="7" t="s">
        <v>1258</v>
      </c>
      <c r="C669" s="7" t="s">
        <v>1259</v>
      </c>
      <c r="D669" s="6" t="s">
        <v>18</v>
      </c>
      <c r="E669" s="7" t="s">
        <v>1260</v>
      </c>
      <c r="F669" s="13">
        <v>46204</v>
      </c>
      <c r="G669" s="9">
        <f>IFERROR(VLOOKUP(D669,Listas!$A$2:$B$20,2,FALSE()),999)</f>
        <v>1</v>
      </c>
      <c r="H669" s="9" t="str">
        <f t="shared" ca="1" si="10"/>
        <v>Próximo</v>
      </c>
      <c r="J669" s="11">
        <v>120</v>
      </c>
      <c r="K669" s="11">
        <v>120</v>
      </c>
      <c r="L669" s="12">
        <v>41090</v>
      </c>
      <c r="M669" t="s">
        <v>36</v>
      </c>
    </row>
    <row r="670" spans="1:13" ht="30" customHeight="1">
      <c r="A670" s="6" t="s">
        <v>1264</v>
      </c>
      <c r="B670" s="7" t="s">
        <v>1258</v>
      </c>
      <c r="C670" s="7" t="s">
        <v>1259</v>
      </c>
      <c r="D670" s="6" t="s">
        <v>18</v>
      </c>
      <c r="E670" s="7" t="s">
        <v>1260</v>
      </c>
      <c r="F670" s="13">
        <v>46204</v>
      </c>
      <c r="G670" s="9">
        <f>IFERROR(VLOOKUP(D670,Listas!$A$2:$B$20,2,FALSE()),999)</f>
        <v>1</v>
      </c>
      <c r="H670" s="9" t="str">
        <f t="shared" ca="1" si="10"/>
        <v>Próximo</v>
      </c>
      <c r="J670" s="11">
        <v>120</v>
      </c>
      <c r="K670" s="11">
        <v>120</v>
      </c>
      <c r="L670" s="12">
        <v>41090</v>
      </c>
      <c r="M670" t="s">
        <v>36</v>
      </c>
    </row>
    <row r="671" spans="1:13" ht="30" customHeight="1">
      <c r="A671" s="6" t="s">
        <v>1265</v>
      </c>
      <c r="B671" s="7" t="s">
        <v>1258</v>
      </c>
      <c r="C671" s="7" t="s">
        <v>1259</v>
      </c>
      <c r="D671" s="6" t="s">
        <v>18</v>
      </c>
      <c r="E671" s="7" t="s">
        <v>1260</v>
      </c>
      <c r="F671" s="13">
        <v>46204</v>
      </c>
      <c r="G671" s="9">
        <f>IFERROR(VLOOKUP(D671,Listas!$A$2:$B$20,2,FALSE()),999)</f>
        <v>1</v>
      </c>
      <c r="H671" s="9" t="str">
        <f t="shared" ca="1" si="10"/>
        <v>Próximo</v>
      </c>
      <c r="J671" s="11">
        <v>120</v>
      </c>
      <c r="K671" s="11">
        <v>120</v>
      </c>
      <c r="L671" s="12">
        <v>41090</v>
      </c>
      <c r="M671" t="s">
        <v>36</v>
      </c>
    </row>
    <row r="672" spans="1:13" ht="30" customHeight="1">
      <c r="A672" s="6" t="s">
        <v>1266</v>
      </c>
      <c r="B672" s="7" t="s">
        <v>1267</v>
      </c>
      <c r="C672" s="7" t="s">
        <v>1268</v>
      </c>
      <c r="D672" s="6" t="s">
        <v>18</v>
      </c>
      <c r="E672" s="7" t="s">
        <v>1260</v>
      </c>
      <c r="F672" s="13">
        <v>46204</v>
      </c>
      <c r="G672" s="9">
        <f>IFERROR(VLOOKUP(D672,Listas!$A$2:$B$20,2,FALSE()),999)</f>
        <v>1</v>
      </c>
      <c r="H672" s="9" t="str">
        <f t="shared" ca="1" si="10"/>
        <v>Próximo</v>
      </c>
      <c r="J672" s="11">
        <v>120</v>
      </c>
      <c r="K672" s="11">
        <v>120</v>
      </c>
      <c r="L672" s="12">
        <v>41090</v>
      </c>
      <c r="M672" t="s">
        <v>36</v>
      </c>
    </row>
    <row r="673" spans="1:13" ht="30" customHeight="1">
      <c r="A673" s="6" t="s">
        <v>1269</v>
      </c>
      <c r="B673" s="7" t="s">
        <v>1270</v>
      </c>
      <c r="C673" s="7" t="s">
        <v>1271</v>
      </c>
      <c r="D673" s="6" t="s">
        <v>18</v>
      </c>
      <c r="E673" s="7" t="s">
        <v>1260</v>
      </c>
      <c r="F673" s="13">
        <v>46204</v>
      </c>
      <c r="G673" s="9">
        <f>IFERROR(VLOOKUP(D673,Listas!$A$2:$B$20,2,FALSE()),999)</f>
        <v>1</v>
      </c>
      <c r="H673" s="9" t="str">
        <f t="shared" ca="1" si="10"/>
        <v>Próximo</v>
      </c>
      <c r="J673" s="11">
        <v>120</v>
      </c>
      <c r="K673" s="11">
        <v>81</v>
      </c>
      <c r="L673" s="12">
        <v>43800</v>
      </c>
      <c r="M673" t="s">
        <v>20</v>
      </c>
    </row>
    <row r="674" spans="1:13" ht="30" customHeight="1">
      <c r="A674" s="6" t="s">
        <v>1272</v>
      </c>
      <c r="B674" s="7" t="s">
        <v>1273</v>
      </c>
      <c r="C674" s="7" t="s">
        <v>1274</v>
      </c>
      <c r="D674" s="6" t="s">
        <v>18</v>
      </c>
      <c r="E674" s="7" t="s">
        <v>1260</v>
      </c>
      <c r="F674" s="13">
        <v>46204</v>
      </c>
      <c r="G674" s="9">
        <f>IFERROR(VLOOKUP(D674,Listas!$A$2:$B$20,2,FALSE()),999)</f>
        <v>1</v>
      </c>
      <c r="H674" s="9" t="str">
        <f t="shared" ca="1" si="10"/>
        <v>Próximo</v>
      </c>
      <c r="J674" s="11">
        <v>60</v>
      </c>
      <c r="K674" s="11">
        <v>60</v>
      </c>
      <c r="L674" s="12">
        <v>41943</v>
      </c>
      <c r="M674" t="s">
        <v>36</v>
      </c>
    </row>
    <row r="675" spans="1:13" ht="30" customHeight="1">
      <c r="A675" s="6" t="s">
        <v>1275</v>
      </c>
      <c r="B675" s="7" t="s">
        <v>1276</v>
      </c>
      <c r="C675" s="7" t="s">
        <v>1277</v>
      </c>
      <c r="D675" s="6" t="s">
        <v>18</v>
      </c>
      <c r="E675" s="7" t="s">
        <v>1260</v>
      </c>
      <c r="F675" s="13">
        <v>46204</v>
      </c>
      <c r="G675" s="9">
        <f>IFERROR(VLOOKUP(D675,Listas!$A$2:$B$20,2,FALSE()),999)</f>
        <v>1</v>
      </c>
      <c r="H675" s="9" t="str">
        <f t="shared" ca="1" si="10"/>
        <v>Próximo</v>
      </c>
      <c r="J675" s="11">
        <v>120</v>
      </c>
      <c r="K675" s="11">
        <v>120</v>
      </c>
      <c r="L675" s="12">
        <v>41090</v>
      </c>
      <c r="M675" t="s">
        <v>36</v>
      </c>
    </row>
    <row r="676" spans="1:13" ht="30" customHeight="1">
      <c r="A676" s="6" t="s">
        <v>1278</v>
      </c>
      <c r="B676" s="7" t="s">
        <v>1276</v>
      </c>
      <c r="C676" s="7" t="s">
        <v>1277</v>
      </c>
      <c r="D676" s="6" t="s">
        <v>18</v>
      </c>
      <c r="E676" s="7" t="s">
        <v>1260</v>
      </c>
      <c r="F676" s="13">
        <v>46204</v>
      </c>
      <c r="G676" s="9">
        <f>IFERROR(VLOOKUP(D676,Listas!$A$2:$B$20,2,FALSE()),999)</f>
        <v>1</v>
      </c>
      <c r="H676" s="9" t="str">
        <f t="shared" ca="1" si="10"/>
        <v>Próximo</v>
      </c>
      <c r="J676" s="11">
        <v>120</v>
      </c>
      <c r="K676" s="11">
        <v>120</v>
      </c>
      <c r="L676" s="12">
        <v>41090</v>
      </c>
      <c r="M676" t="s">
        <v>36</v>
      </c>
    </row>
    <row r="677" spans="1:13" ht="30" customHeight="1">
      <c r="A677" s="6" t="s">
        <v>1279</v>
      </c>
      <c r="B677" s="7" t="s">
        <v>1276</v>
      </c>
      <c r="C677" s="7" t="s">
        <v>1277</v>
      </c>
      <c r="D677" s="6" t="s">
        <v>18</v>
      </c>
      <c r="E677" s="7" t="s">
        <v>1260</v>
      </c>
      <c r="F677" s="13">
        <v>46204</v>
      </c>
      <c r="G677" s="9">
        <f>IFERROR(VLOOKUP(D677,Listas!$A$2:$B$20,2,FALSE()),999)</f>
        <v>1</v>
      </c>
      <c r="H677" s="9" t="str">
        <f t="shared" ca="1" si="10"/>
        <v>Próximo</v>
      </c>
      <c r="J677" s="11">
        <v>120</v>
      </c>
      <c r="K677" s="11">
        <v>120</v>
      </c>
      <c r="L677" s="12">
        <v>41090</v>
      </c>
      <c r="M677" t="s">
        <v>36</v>
      </c>
    </row>
    <row r="678" spans="1:13" ht="30" customHeight="1">
      <c r="A678" s="6" t="s">
        <v>1280</v>
      </c>
      <c r="B678" s="7" t="s">
        <v>1276</v>
      </c>
      <c r="C678" s="7" t="s">
        <v>1277</v>
      </c>
      <c r="D678" s="6" t="s">
        <v>18</v>
      </c>
      <c r="E678" s="7" t="s">
        <v>1260</v>
      </c>
      <c r="F678" s="13">
        <v>46204</v>
      </c>
      <c r="G678" s="9">
        <f>IFERROR(VLOOKUP(D678,Listas!$A$2:$B$20,2,FALSE()),999)</f>
        <v>1</v>
      </c>
      <c r="H678" s="9" t="str">
        <f t="shared" ca="1" si="10"/>
        <v>Próximo</v>
      </c>
      <c r="J678" s="11">
        <v>120</v>
      </c>
      <c r="K678" s="11">
        <v>120</v>
      </c>
      <c r="L678" s="12">
        <v>41090</v>
      </c>
      <c r="M678" t="s">
        <v>36</v>
      </c>
    </row>
    <row r="679" spans="1:13" ht="30" customHeight="1">
      <c r="A679" s="6" t="s">
        <v>1281</v>
      </c>
      <c r="B679" s="7" t="s">
        <v>1276</v>
      </c>
      <c r="C679" s="7" t="s">
        <v>1277</v>
      </c>
      <c r="D679" s="6" t="s">
        <v>18</v>
      </c>
      <c r="E679" s="7" t="s">
        <v>1260</v>
      </c>
      <c r="F679" s="13">
        <v>46204</v>
      </c>
      <c r="G679" s="9">
        <f>IFERROR(VLOOKUP(D679,Listas!$A$2:$B$20,2,FALSE()),999)</f>
        <v>1</v>
      </c>
      <c r="H679" s="9" t="str">
        <f t="shared" ca="1" si="10"/>
        <v>Próximo</v>
      </c>
      <c r="J679" s="11">
        <v>120</v>
      </c>
      <c r="K679" s="11">
        <v>120</v>
      </c>
      <c r="L679" s="12">
        <v>41090</v>
      </c>
      <c r="M679" t="s">
        <v>36</v>
      </c>
    </row>
    <row r="680" spans="1:13" ht="30" customHeight="1">
      <c r="A680" s="6" t="s">
        <v>1282</v>
      </c>
      <c r="B680" s="7" t="s">
        <v>1276</v>
      </c>
      <c r="C680" s="7" t="s">
        <v>1277</v>
      </c>
      <c r="D680" s="6" t="s">
        <v>18</v>
      </c>
      <c r="E680" s="7" t="s">
        <v>1260</v>
      </c>
      <c r="F680" s="13">
        <v>46204</v>
      </c>
      <c r="G680" s="9">
        <f>IFERROR(VLOOKUP(D680,Listas!$A$2:$B$20,2,FALSE()),999)</f>
        <v>1</v>
      </c>
      <c r="H680" s="9" t="str">
        <f t="shared" ca="1" si="10"/>
        <v>Próximo</v>
      </c>
      <c r="J680" s="11">
        <v>120</v>
      </c>
      <c r="K680" s="11">
        <v>120</v>
      </c>
      <c r="L680" s="12">
        <v>41090</v>
      </c>
      <c r="M680" t="s">
        <v>36</v>
      </c>
    </row>
    <row r="681" spans="1:13" ht="30" customHeight="1">
      <c r="A681" s="6" t="s">
        <v>1283</v>
      </c>
      <c r="B681" s="7" t="s">
        <v>1276</v>
      </c>
      <c r="C681" s="7" t="s">
        <v>1277</v>
      </c>
      <c r="D681" s="6" t="s">
        <v>18</v>
      </c>
      <c r="E681" s="7" t="s">
        <v>1260</v>
      </c>
      <c r="F681" s="13">
        <v>46204</v>
      </c>
      <c r="G681" s="9">
        <f>IFERROR(VLOOKUP(D681,Listas!$A$2:$B$20,2,FALSE()),999)</f>
        <v>1</v>
      </c>
      <c r="H681" s="9" t="str">
        <f t="shared" ca="1" si="10"/>
        <v>Próximo</v>
      </c>
      <c r="J681" s="11">
        <v>120</v>
      </c>
      <c r="K681" s="11">
        <v>120</v>
      </c>
      <c r="L681" s="12">
        <v>41090</v>
      </c>
      <c r="M681" t="s">
        <v>36</v>
      </c>
    </row>
    <row r="682" spans="1:13" ht="30" customHeight="1">
      <c r="A682" s="6" t="s">
        <v>1284</v>
      </c>
      <c r="B682" s="7" t="s">
        <v>1276</v>
      </c>
      <c r="C682" s="7" t="s">
        <v>1277</v>
      </c>
      <c r="D682" s="6" t="s">
        <v>18</v>
      </c>
      <c r="E682" s="7" t="s">
        <v>1260</v>
      </c>
      <c r="F682" s="13">
        <v>46204</v>
      </c>
      <c r="G682" s="9">
        <f>IFERROR(VLOOKUP(D682,Listas!$A$2:$B$20,2,FALSE()),999)</f>
        <v>1</v>
      </c>
      <c r="H682" s="9" t="str">
        <f t="shared" ca="1" si="10"/>
        <v>Próximo</v>
      </c>
      <c r="J682" s="11">
        <v>120</v>
      </c>
      <c r="K682" s="11">
        <v>120</v>
      </c>
      <c r="L682" s="12">
        <v>41090</v>
      </c>
      <c r="M682" t="s">
        <v>36</v>
      </c>
    </row>
    <row r="683" spans="1:13" ht="30" customHeight="1">
      <c r="A683" s="6" t="s">
        <v>1285</v>
      </c>
      <c r="B683" s="7" t="s">
        <v>1276</v>
      </c>
      <c r="C683" s="7" t="s">
        <v>1277</v>
      </c>
      <c r="D683" s="6" t="s">
        <v>18</v>
      </c>
      <c r="E683" s="7" t="s">
        <v>1260</v>
      </c>
      <c r="F683" s="13">
        <v>46204</v>
      </c>
      <c r="G683" s="9">
        <f>IFERROR(VLOOKUP(D683,Listas!$A$2:$B$20,2,FALSE()),999)</f>
        <v>1</v>
      </c>
      <c r="H683" s="9" t="str">
        <f t="shared" ca="1" si="10"/>
        <v>Próximo</v>
      </c>
      <c r="J683" s="11">
        <v>120</v>
      </c>
      <c r="K683" s="11">
        <v>120</v>
      </c>
      <c r="L683" s="12">
        <v>41090</v>
      </c>
      <c r="M683" t="s">
        <v>36</v>
      </c>
    </row>
    <row r="684" spans="1:13" ht="30" customHeight="1">
      <c r="A684" s="6" t="s">
        <v>1286</v>
      </c>
      <c r="B684" s="7" t="s">
        <v>1276</v>
      </c>
      <c r="C684" s="7" t="s">
        <v>1277</v>
      </c>
      <c r="D684" s="6" t="s">
        <v>18</v>
      </c>
      <c r="E684" s="7" t="s">
        <v>1260</v>
      </c>
      <c r="F684" s="13">
        <v>46204</v>
      </c>
      <c r="G684" s="9">
        <f>IFERROR(VLOOKUP(D684,Listas!$A$2:$B$20,2,FALSE()),999)</f>
        <v>1</v>
      </c>
      <c r="H684" s="9" t="str">
        <f t="shared" ca="1" si="10"/>
        <v>Próximo</v>
      </c>
      <c r="J684" s="11">
        <v>120</v>
      </c>
      <c r="K684" s="11">
        <v>120</v>
      </c>
      <c r="L684" s="12">
        <v>41090</v>
      </c>
      <c r="M684" t="s">
        <v>36</v>
      </c>
    </row>
    <row r="685" spans="1:13" ht="30" customHeight="1">
      <c r="A685" s="6" t="s">
        <v>1287</v>
      </c>
      <c r="B685" s="7" t="s">
        <v>1276</v>
      </c>
      <c r="C685" s="7" t="s">
        <v>1277</v>
      </c>
      <c r="D685" s="6" t="s">
        <v>18</v>
      </c>
      <c r="E685" s="7" t="s">
        <v>1260</v>
      </c>
      <c r="F685" s="13">
        <v>46204</v>
      </c>
      <c r="G685" s="9">
        <f>IFERROR(VLOOKUP(D685,Listas!$A$2:$B$20,2,FALSE()),999)</f>
        <v>1</v>
      </c>
      <c r="H685" s="9" t="str">
        <f t="shared" ca="1" si="10"/>
        <v>Próximo</v>
      </c>
      <c r="J685" s="11">
        <v>120</v>
      </c>
      <c r="K685" s="11">
        <v>120</v>
      </c>
      <c r="L685" s="12">
        <v>41090</v>
      </c>
      <c r="M685" t="s">
        <v>36</v>
      </c>
    </row>
    <row r="686" spans="1:13" ht="30" customHeight="1">
      <c r="A686" s="6" t="s">
        <v>1288</v>
      </c>
      <c r="B686" s="7" t="s">
        <v>1276</v>
      </c>
      <c r="C686" s="7" t="s">
        <v>1277</v>
      </c>
      <c r="D686" s="6" t="s">
        <v>18</v>
      </c>
      <c r="E686" s="7" t="s">
        <v>1260</v>
      </c>
      <c r="F686" s="13">
        <v>46204</v>
      </c>
      <c r="G686" s="9">
        <f>IFERROR(VLOOKUP(D686,Listas!$A$2:$B$20,2,FALSE()),999)</f>
        <v>1</v>
      </c>
      <c r="H686" s="9" t="str">
        <f t="shared" ca="1" si="10"/>
        <v>Próximo</v>
      </c>
      <c r="J686" s="11">
        <v>120</v>
      </c>
      <c r="K686" s="11">
        <v>120</v>
      </c>
      <c r="L686" s="12">
        <v>41090</v>
      </c>
      <c r="M686" t="s">
        <v>36</v>
      </c>
    </row>
    <row r="687" spans="1:13" ht="30" customHeight="1">
      <c r="A687" s="6" t="s">
        <v>1289</v>
      </c>
      <c r="B687" s="7" t="s">
        <v>1276</v>
      </c>
      <c r="C687" s="7" t="s">
        <v>1277</v>
      </c>
      <c r="D687" s="6" t="s">
        <v>18</v>
      </c>
      <c r="E687" s="7" t="s">
        <v>1260</v>
      </c>
      <c r="F687" s="13">
        <v>46204</v>
      </c>
      <c r="G687" s="9">
        <f>IFERROR(VLOOKUP(D687,Listas!$A$2:$B$20,2,FALSE()),999)</f>
        <v>1</v>
      </c>
      <c r="H687" s="9" t="str">
        <f t="shared" ca="1" si="10"/>
        <v>Próximo</v>
      </c>
      <c r="J687" s="11">
        <v>120</v>
      </c>
      <c r="K687" s="11">
        <v>120</v>
      </c>
      <c r="L687" s="12">
        <v>41090</v>
      </c>
      <c r="M687" t="s">
        <v>36</v>
      </c>
    </row>
    <row r="688" spans="1:13" ht="30" customHeight="1">
      <c r="A688" s="6" t="s">
        <v>1290</v>
      </c>
      <c r="B688" s="7" t="s">
        <v>1276</v>
      </c>
      <c r="C688" s="7" t="s">
        <v>1277</v>
      </c>
      <c r="D688" s="6" t="s">
        <v>18</v>
      </c>
      <c r="E688" s="7" t="s">
        <v>1260</v>
      </c>
      <c r="F688" s="13">
        <v>46204</v>
      </c>
      <c r="G688" s="9">
        <f>IFERROR(VLOOKUP(D688,Listas!$A$2:$B$20,2,FALSE()),999)</f>
        <v>1</v>
      </c>
      <c r="H688" s="9" t="str">
        <f t="shared" ca="1" si="10"/>
        <v>Próximo</v>
      </c>
      <c r="J688" s="11">
        <v>120</v>
      </c>
      <c r="K688" s="11">
        <v>120</v>
      </c>
      <c r="L688" s="12">
        <v>41090</v>
      </c>
      <c r="M688" t="s">
        <v>36</v>
      </c>
    </row>
    <row r="689" spans="1:13" ht="30" customHeight="1">
      <c r="A689" s="6" t="s">
        <v>1291</v>
      </c>
      <c r="B689" s="7" t="s">
        <v>1276</v>
      </c>
      <c r="C689" s="7" t="s">
        <v>1277</v>
      </c>
      <c r="D689" s="6" t="s">
        <v>18</v>
      </c>
      <c r="E689" s="7" t="s">
        <v>1260</v>
      </c>
      <c r="F689" s="13">
        <v>46204</v>
      </c>
      <c r="G689" s="9">
        <f>IFERROR(VLOOKUP(D689,Listas!$A$2:$B$20,2,FALSE()),999)</f>
        <v>1</v>
      </c>
      <c r="H689" s="9" t="str">
        <f t="shared" ca="1" si="10"/>
        <v>Próximo</v>
      </c>
      <c r="J689" s="11">
        <v>120</v>
      </c>
      <c r="K689" s="11">
        <v>120</v>
      </c>
      <c r="L689" s="12">
        <v>41090</v>
      </c>
      <c r="M689" t="s">
        <v>36</v>
      </c>
    </row>
    <row r="690" spans="1:13" ht="30" customHeight="1">
      <c r="A690" s="6" t="s">
        <v>1292</v>
      </c>
      <c r="B690" s="7" t="s">
        <v>1293</v>
      </c>
      <c r="C690" s="7" t="s">
        <v>1294</v>
      </c>
      <c r="D690" s="6" t="s">
        <v>18</v>
      </c>
      <c r="E690" s="7" t="s">
        <v>1260</v>
      </c>
      <c r="F690" s="13">
        <v>46204</v>
      </c>
      <c r="G690" s="9">
        <f>IFERROR(VLOOKUP(D690,Listas!$A$2:$B$20,2,FALSE()),999)</f>
        <v>1</v>
      </c>
      <c r="H690" s="9" t="str">
        <f t="shared" ca="1" si="10"/>
        <v>Próximo</v>
      </c>
      <c r="J690" s="11">
        <v>1</v>
      </c>
      <c r="K690" s="11">
        <v>1</v>
      </c>
      <c r="L690" s="12">
        <v>43461</v>
      </c>
      <c r="M690" t="s">
        <v>36</v>
      </c>
    </row>
    <row r="691" spans="1:13" ht="30" customHeight="1">
      <c r="A691" s="6" t="s">
        <v>1295</v>
      </c>
      <c r="B691" s="7" t="s">
        <v>1293</v>
      </c>
      <c r="C691" s="7" t="s">
        <v>1294</v>
      </c>
      <c r="D691" s="6" t="s">
        <v>18</v>
      </c>
      <c r="E691" s="7" t="s">
        <v>1260</v>
      </c>
      <c r="F691" s="13">
        <v>46204</v>
      </c>
      <c r="G691" s="9">
        <f>IFERROR(VLOOKUP(D691,Listas!$A$2:$B$20,2,FALSE()),999)</f>
        <v>1</v>
      </c>
      <c r="H691" s="9" t="str">
        <f t="shared" ca="1" si="10"/>
        <v>Próximo</v>
      </c>
      <c r="J691" s="11">
        <v>1</v>
      </c>
      <c r="K691" s="11">
        <v>1</v>
      </c>
      <c r="L691" s="12">
        <v>43461</v>
      </c>
      <c r="M691" t="s">
        <v>36</v>
      </c>
    </row>
    <row r="692" spans="1:13" ht="30" customHeight="1">
      <c r="A692" s="6" t="s">
        <v>1296</v>
      </c>
      <c r="B692" s="7" t="s">
        <v>1293</v>
      </c>
      <c r="C692" s="7" t="s">
        <v>1294</v>
      </c>
      <c r="D692" s="6" t="s">
        <v>18</v>
      </c>
      <c r="E692" s="7" t="s">
        <v>1260</v>
      </c>
      <c r="F692" s="13">
        <v>46204</v>
      </c>
      <c r="G692" s="9">
        <f>IFERROR(VLOOKUP(D692,Listas!$A$2:$B$20,2,FALSE()),999)</f>
        <v>1</v>
      </c>
      <c r="H692" s="9" t="str">
        <f t="shared" ca="1" si="10"/>
        <v>Próximo</v>
      </c>
      <c r="J692" s="11">
        <v>1</v>
      </c>
      <c r="K692" s="11">
        <v>1</v>
      </c>
      <c r="L692" s="12">
        <v>43461</v>
      </c>
      <c r="M692" t="s">
        <v>36</v>
      </c>
    </row>
    <row r="693" spans="1:13" ht="30" customHeight="1">
      <c r="A693" s="6" t="s">
        <v>1297</v>
      </c>
      <c r="B693" s="7" t="s">
        <v>1293</v>
      </c>
      <c r="C693" s="7" t="s">
        <v>1294</v>
      </c>
      <c r="D693" s="6" t="s">
        <v>18</v>
      </c>
      <c r="E693" s="7" t="s">
        <v>1260</v>
      </c>
      <c r="F693" s="13">
        <v>46204</v>
      </c>
      <c r="G693" s="9">
        <f>IFERROR(VLOOKUP(D693,Listas!$A$2:$B$20,2,FALSE()),999)</f>
        <v>1</v>
      </c>
      <c r="H693" s="9" t="str">
        <f t="shared" ca="1" si="10"/>
        <v>Próximo</v>
      </c>
      <c r="J693" s="11">
        <v>1</v>
      </c>
      <c r="K693" s="11">
        <v>1</v>
      </c>
      <c r="L693" s="12">
        <v>43461</v>
      </c>
      <c r="M693" t="s">
        <v>36</v>
      </c>
    </row>
    <row r="694" spans="1:13" ht="30" customHeight="1">
      <c r="A694" s="6" t="s">
        <v>1298</v>
      </c>
      <c r="B694" s="7" t="s">
        <v>1293</v>
      </c>
      <c r="C694" s="7" t="s">
        <v>1294</v>
      </c>
      <c r="D694" s="6" t="s">
        <v>18</v>
      </c>
      <c r="E694" s="7" t="s">
        <v>1260</v>
      </c>
      <c r="F694" s="13">
        <v>46204</v>
      </c>
      <c r="G694" s="9">
        <f>IFERROR(VLOOKUP(D694,Listas!$A$2:$B$20,2,FALSE()),999)</f>
        <v>1</v>
      </c>
      <c r="H694" s="9" t="str">
        <f t="shared" ca="1" si="10"/>
        <v>Próximo</v>
      </c>
      <c r="J694" s="11">
        <v>1</v>
      </c>
      <c r="K694" s="11">
        <v>1</v>
      </c>
      <c r="L694" s="12">
        <v>43461</v>
      </c>
      <c r="M694" t="s">
        <v>36</v>
      </c>
    </row>
    <row r="695" spans="1:13" ht="30" customHeight="1">
      <c r="A695" s="6" t="s">
        <v>1299</v>
      </c>
      <c r="B695" s="7" t="s">
        <v>1293</v>
      </c>
      <c r="C695" s="7" t="s">
        <v>1294</v>
      </c>
      <c r="D695" s="6" t="s">
        <v>18</v>
      </c>
      <c r="E695" s="7" t="s">
        <v>1260</v>
      </c>
      <c r="F695" s="13">
        <v>46204</v>
      </c>
      <c r="G695" s="9">
        <f>IFERROR(VLOOKUP(D695,Listas!$A$2:$B$20,2,FALSE()),999)</f>
        <v>1</v>
      </c>
      <c r="H695" s="9" t="str">
        <f t="shared" ca="1" si="10"/>
        <v>Próximo</v>
      </c>
      <c r="J695" s="11">
        <v>1</v>
      </c>
      <c r="K695" s="11">
        <v>1</v>
      </c>
      <c r="L695" s="12">
        <v>43461</v>
      </c>
      <c r="M695" t="s">
        <v>36</v>
      </c>
    </row>
    <row r="696" spans="1:13" ht="30" customHeight="1">
      <c r="A696" s="6" t="s">
        <v>1300</v>
      </c>
      <c r="B696" s="7" t="s">
        <v>1293</v>
      </c>
      <c r="C696" s="7" t="s">
        <v>1294</v>
      </c>
      <c r="D696" s="6" t="s">
        <v>18</v>
      </c>
      <c r="E696" s="7" t="s">
        <v>1260</v>
      </c>
      <c r="F696" s="13">
        <v>46204</v>
      </c>
      <c r="G696" s="9">
        <f>IFERROR(VLOOKUP(D696,Listas!$A$2:$B$20,2,FALSE()),999)</f>
        <v>1</v>
      </c>
      <c r="H696" s="9" t="str">
        <f t="shared" ca="1" si="10"/>
        <v>Próximo</v>
      </c>
      <c r="J696" s="11">
        <v>1</v>
      </c>
      <c r="K696" s="11">
        <v>1</v>
      </c>
      <c r="L696" s="12">
        <v>43461</v>
      </c>
      <c r="M696" t="s">
        <v>36</v>
      </c>
    </row>
    <row r="697" spans="1:13" ht="30" customHeight="1">
      <c r="A697" s="6" t="s">
        <v>1301</v>
      </c>
      <c r="B697" s="7" t="s">
        <v>1293</v>
      </c>
      <c r="C697" s="7" t="s">
        <v>1294</v>
      </c>
      <c r="D697" s="6" t="s">
        <v>18</v>
      </c>
      <c r="E697" s="7" t="s">
        <v>1260</v>
      </c>
      <c r="F697" s="13">
        <v>46204</v>
      </c>
      <c r="G697" s="9">
        <f>IFERROR(VLOOKUP(D697,Listas!$A$2:$B$20,2,FALSE()),999)</f>
        <v>1</v>
      </c>
      <c r="H697" s="9" t="str">
        <f t="shared" ca="1" si="10"/>
        <v>Próximo</v>
      </c>
      <c r="J697" s="11">
        <v>1</v>
      </c>
      <c r="K697" s="11">
        <v>1</v>
      </c>
      <c r="L697" s="12">
        <v>43461</v>
      </c>
      <c r="M697" t="s">
        <v>36</v>
      </c>
    </row>
    <row r="698" spans="1:13" ht="30" customHeight="1">
      <c r="A698" s="6" t="s">
        <v>1302</v>
      </c>
      <c r="B698" s="7" t="s">
        <v>1303</v>
      </c>
      <c r="C698" s="7" t="s">
        <v>1304</v>
      </c>
      <c r="D698" s="6" t="s">
        <v>18</v>
      </c>
      <c r="E698" s="7" t="s">
        <v>1260</v>
      </c>
      <c r="F698" s="13">
        <v>46204</v>
      </c>
      <c r="G698" s="9">
        <f>IFERROR(VLOOKUP(D698,Listas!$A$2:$B$20,2,FALSE()),999)</f>
        <v>1</v>
      </c>
      <c r="H698" s="9" t="str">
        <f t="shared" ca="1" si="10"/>
        <v>Próximo</v>
      </c>
      <c r="J698" s="11">
        <v>120</v>
      </c>
      <c r="K698" s="11">
        <v>120</v>
      </c>
      <c r="L698" s="12">
        <v>41090</v>
      </c>
      <c r="M698" t="s">
        <v>36</v>
      </c>
    </row>
    <row r="699" spans="1:13" ht="30" customHeight="1">
      <c r="A699" s="6" t="s">
        <v>1305</v>
      </c>
      <c r="B699" s="7" t="s">
        <v>1303</v>
      </c>
      <c r="C699" s="7" t="s">
        <v>1304</v>
      </c>
      <c r="D699" s="6" t="s">
        <v>18</v>
      </c>
      <c r="E699" s="7" t="s">
        <v>1260</v>
      </c>
      <c r="F699" s="13">
        <v>46204</v>
      </c>
      <c r="G699" s="9">
        <f>IFERROR(VLOOKUP(D699,Listas!$A$2:$B$20,2,FALSE()),999)</f>
        <v>1</v>
      </c>
      <c r="H699" s="9" t="str">
        <f t="shared" ca="1" si="10"/>
        <v>Próximo</v>
      </c>
      <c r="J699" s="11">
        <v>120</v>
      </c>
      <c r="K699" s="11">
        <v>120</v>
      </c>
      <c r="L699" s="12">
        <v>41090</v>
      </c>
      <c r="M699" t="s">
        <v>36</v>
      </c>
    </row>
    <row r="700" spans="1:13" ht="30" customHeight="1">
      <c r="A700" s="6" t="s">
        <v>1306</v>
      </c>
      <c r="B700" s="7" t="s">
        <v>1303</v>
      </c>
      <c r="C700" s="7" t="s">
        <v>1304</v>
      </c>
      <c r="D700" s="6" t="s">
        <v>18</v>
      </c>
      <c r="E700" s="7" t="s">
        <v>1260</v>
      </c>
      <c r="F700" s="13">
        <v>46204</v>
      </c>
      <c r="G700" s="9">
        <f>IFERROR(VLOOKUP(D700,Listas!$A$2:$B$20,2,FALSE()),999)</f>
        <v>1</v>
      </c>
      <c r="H700" s="9" t="str">
        <f t="shared" ca="1" si="10"/>
        <v>Próximo</v>
      </c>
      <c r="J700" s="11">
        <v>120</v>
      </c>
      <c r="K700" s="11">
        <v>120</v>
      </c>
      <c r="L700" s="12">
        <v>41090</v>
      </c>
      <c r="M700" t="s">
        <v>36</v>
      </c>
    </row>
    <row r="701" spans="1:13" ht="30" customHeight="1">
      <c r="A701" s="6" t="s">
        <v>1307</v>
      </c>
      <c r="B701" s="7" t="s">
        <v>1303</v>
      </c>
      <c r="C701" s="7" t="s">
        <v>1304</v>
      </c>
      <c r="D701" s="6" t="s">
        <v>18</v>
      </c>
      <c r="E701" s="7" t="s">
        <v>1260</v>
      </c>
      <c r="F701" s="13">
        <v>46204</v>
      </c>
      <c r="G701" s="9">
        <f>IFERROR(VLOOKUP(D701,Listas!$A$2:$B$20,2,FALSE()),999)</f>
        <v>1</v>
      </c>
      <c r="H701" s="9" t="str">
        <f t="shared" ca="1" si="10"/>
        <v>Próximo</v>
      </c>
      <c r="J701" s="11">
        <v>120</v>
      </c>
      <c r="K701" s="11">
        <v>120</v>
      </c>
      <c r="L701" s="12">
        <v>41090</v>
      </c>
      <c r="M701" t="s">
        <v>36</v>
      </c>
    </row>
    <row r="702" spans="1:13" ht="30" customHeight="1">
      <c r="A702" s="6" t="s">
        <v>1308</v>
      </c>
      <c r="B702" s="7" t="s">
        <v>1303</v>
      </c>
      <c r="C702" s="7" t="s">
        <v>1304</v>
      </c>
      <c r="D702" s="6" t="s">
        <v>18</v>
      </c>
      <c r="E702" s="7" t="s">
        <v>1260</v>
      </c>
      <c r="F702" s="13">
        <v>46204</v>
      </c>
      <c r="G702" s="9">
        <f>IFERROR(VLOOKUP(D702,Listas!$A$2:$B$20,2,FALSE()),999)</f>
        <v>1</v>
      </c>
      <c r="H702" s="9" t="str">
        <f t="shared" ca="1" si="10"/>
        <v>Próximo</v>
      </c>
      <c r="J702" s="11">
        <v>120</v>
      </c>
      <c r="K702" s="11">
        <v>120</v>
      </c>
      <c r="L702" s="12">
        <v>41090</v>
      </c>
      <c r="M702" t="s">
        <v>36</v>
      </c>
    </row>
    <row r="703" spans="1:13" ht="30" customHeight="1">
      <c r="A703" s="6" t="s">
        <v>1309</v>
      </c>
      <c r="B703" s="7" t="s">
        <v>1303</v>
      </c>
      <c r="C703" s="7" t="s">
        <v>1304</v>
      </c>
      <c r="D703" s="6" t="s">
        <v>18</v>
      </c>
      <c r="E703" s="7" t="s">
        <v>1260</v>
      </c>
      <c r="F703" s="13">
        <v>46204</v>
      </c>
      <c r="G703" s="9">
        <f>IFERROR(VLOOKUP(D703,Listas!$A$2:$B$20,2,FALSE()),999)</f>
        <v>1</v>
      </c>
      <c r="H703" s="9" t="str">
        <f t="shared" ca="1" si="10"/>
        <v>Próximo</v>
      </c>
      <c r="J703" s="11">
        <v>120</v>
      </c>
      <c r="K703" s="11">
        <v>120</v>
      </c>
      <c r="L703" s="12">
        <v>41090</v>
      </c>
      <c r="M703" t="s">
        <v>36</v>
      </c>
    </row>
    <row r="704" spans="1:13" ht="30" customHeight="1">
      <c r="A704" s="6" t="s">
        <v>1310</v>
      </c>
      <c r="B704" s="7" t="s">
        <v>1311</v>
      </c>
      <c r="C704" s="7" t="s">
        <v>1312</v>
      </c>
      <c r="D704" s="6" t="s">
        <v>18</v>
      </c>
      <c r="E704" s="7" t="s">
        <v>1260</v>
      </c>
      <c r="F704" s="13">
        <v>46204</v>
      </c>
      <c r="G704" s="9">
        <f>IFERROR(VLOOKUP(D704,Listas!$A$2:$B$20,2,FALSE()),999)</f>
        <v>1</v>
      </c>
      <c r="H704" s="9" t="str">
        <f t="shared" ca="1" si="10"/>
        <v>Próximo</v>
      </c>
      <c r="J704" s="11">
        <v>120</v>
      </c>
      <c r="K704" s="11">
        <v>120</v>
      </c>
      <c r="L704" s="12">
        <v>41090</v>
      </c>
      <c r="M704" t="s">
        <v>36</v>
      </c>
    </row>
    <row r="705" spans="1:13" ht="30" customHeight="1">
      <c r="A705" s="6" t="s">
        <v>1313</v>
      </c>
      <c r="B705" s="7" t="s">
        <v>1311</v>
      </c>
      <c r="C705" s="7" t="s">
        <v>1312</v>
      </c>
      <c r="D705" s="6" t="s">
        <v>18</v>
      </c>
      <c r="E705" s="7" t="s">
        <v>1260</v>
      </c>
      <c r="F705" s="13">
        <v>46204</v>
      </c>
      <c r="G705" s="9">
        <f>IFERROR(VLOOKUP(D705,Listas!$A$2:$B$20,2,FALSE()),999)</f>
        <v>1</v>
      </c>
      <c r="H705" s="9" t="str">
        <f t="shared" ca="1" si="10"/>
        <v>Próximo</v>
      </c>
      <c r="J705" s="11">
        <v>120</v>
      </c>
      <c r="K705" s="11">
        <v>120</v>
      </c>
      <c r="L705" s="12">
        <v>41090</v>
      </c>
      <c r="M705" t="s">
        <v>36</v>
      </c>
    </row>
    <row r="706" spans="1:13" ht="30" customHeight="1">
      <c r="A706" s="6" t="s">
        <v>1314</v>
      </c>
      <c r="B706" s="7" t="s">
        <v>1315</v>
      </c>
      <c r="C706" s="7" t="s">
        <v>1316</v>
      </c>
      <c r="D706" s="6" t="s">
        <v>18</v>
      </c>
      <c r="E706" s="7" t="s">
        <v>1260</v>
      </c>
      <c r="F706" s="13">
        <v>46204</v>
      </c>
      <c r="G706" s="9">
        <f>IFERROR(VLOOKUP(D706,Listas!$A$2:$B$20,2,FALSE()),999)</f>
        <v>1</v>
      </c>
      <c r="H706" s="9" t="str">
        <f t="shared" ca="1" si="10"/>
        <v>Próximo</v>
      </c>
      <c r="J706" s="11">
        <v>120</v>
      </c>
      <c r="K706" s="11">
        <v>120</v>
      </c>
      <c r="L706" s="12">
        <v>41090</v>
      </c>
      <c r="M706" t="s">
        <v>36</v>
      </c>
    </row>
    <row r="707" spans="1:13" ht="30" customHeight="1">
      <c r="A707" s="6" t="s">
        <v>1317</v>
      </c>
      <c r="B707" s="7" t="s">
        <v>1315</v>
      </c>
      <c r="C707" s="7" t="s">
        <v>1316</v>
      </c>
      <c r="D707" s="6" t="s">
        <v>18</v>
      </c>
      <c r="E707" s="7" t="s">
        <v>1260</v>
      </c>
      <c r="F707" s="13">
        <v>46204</v>
      </c>
      <c r="G707" s="9">
        <f>IFERROR(VLOOKUP(D707,Listas!$A$2:$B$20,2,FALSE()),999)</f>
        <v>1</v>
      </c>
      <c r="H707" s="9" t="str">
        <f t="shared" ca="1" si="10"/>
        <v>Próximo</v>
      </c>
      <c r="J707" s="11">
        <v>120</v>
      </c>
      <c r="K707" s="11">
        <v>120</v>
      </c>
      <c r="L707" s="12">
        <v>41090</v>
      </c>
      <c r="M707" t="s">
        <v>36</v>
      </c>
    </row>
    <row r="708" spans="1:13" ht="30" customHeight="1">
      <c r="A708" s="6" t="s">
        <v>1318</v>
      </c>
      <c r="B708" s="7" t="s">
        <v>1315</v>
      </c>
      <c r="C708" s="7" t="s">
        <v>1316</v>
      </c>
      <c r="D708" s="6" t="s">
        <v>18</v>
      </c>
      <c r="E708" s="7" t="s">
        <v>1260</v>
      </c>
      <c r="F708" s="13">
        <v>46204</v>
      </c>
      <c r="G708" s="9">
        <f>IFERROR(VLOOKUP(D708,Listas!$A$2:$B$20,2,FALSE()),999)</f>
        <v>1</v>
      </c>
      <c r="H708" s="9" t="str">
        <f t="shared" ca="1" si="10"/>
        <v>Próximo</v>
      </c>
      <c r="J708" s="11">
        <v>120</v>
      </c>
      <c r="K708" s="11">
        <v>120</v>
      </c>
      <c r="L708" s="12">
        <v>41090</v>
      </c>
      <c r="M708" t="s">
        <v>36</v>
      </c>
    </row>
    <row r="709" spans="1:13" ht="30" customHeight="1">
      <c r="A709" s="6" t="s">
        <v>1319</v>
      </c>
      <c r="B709" s="7" t="s">
        <v>1315</v>
      </c>
      <c r="C709" s="7" t="s">
        <v>1316</v>
      </c>
      <c r="D709" s="6" t="s">
        <v>18</v>
      </c>
      <c r="E709" s="7" t="s">
        <v>1260</v>
      </c>
      <c r="F709" s="13">
        <v>46204</v>
      </c>
      <c r="G709" s="9">
        <f>IFERROR(VLOOKUP(D709,Listas!$A$2:$B$20,2,FALSE()),999)</f>
        <v>1</v>
      </c>
      <c r="H709" s="9" t="str">
        <f t="shared" ref="H709:H772" ca="1" si="11">IF(F709="","Sin fecha",IF(TODAY()-F709&gt;180,"Revisar",IF(TODAY()-F709&gt;90,"Próximo","Vigente")))</f>
        <v>Próximo</v>
      </c>
      <c r="J709" s="11">
        <v>120</v>
      </c>
      <c r="K709" s="11">
        <v>120</v>
      </c>
      <c r="L709" s="12">
        <v>41090</v>
      </c>
      <c r="M709" t="s">
        <v>36</v>
      </c>
    </row>
    <row r="710" spans="1:13" ht="30" customHeight="1">
      <c r="A710" s="6" t="s">
        <v>1320</v>
      </c>
      <c r="B710" s="7" t="s">
        <v>1315</v>
      </c>
      <c r="C710" s="7" t="s">
        <v>1316</v>
      </c>
      <c r="D710" s="6" t="s">
        <v>18</v>
      </c>
      <c r="E710" s="7" t="s">
        <v>1260</v>
      </c>
      <c r="F710" s="13">
        <v>46204</v>
      </c>
      <c r="G710" s="9">
        <f>IFERROR(VLOOKUP(D710,Listas!$A$2:$B$20,2,FALSE()),999)</f>
        <v>1</v>
      </c>
      <c r="H710" s="9" t="str">
        <f t="shared" ca="1" si="11"/>
        <v>Próximo</v>
      </c>
      <c r="J710" s="11">
        <v>120</v>
      </c>
      <c r="K710" s="11">
        <v>120</v>
      </c>
      <c r="L710" s="12">
        <v>41090</v>
      </c>
      <c r="M710" t="s">
        <v>36</v>
      </c>
    </row>
    <row r="711" spans="1:13" ht="30" customHeight="1">
      <c r="A711" s="6" t="s">
        <v>1321</v>
      </c>
      <c r="B711" s="7" t="s">
        <v>1315</v>
      </c>
      <c r="C711" s="7" t="s">
        <v>1316</v>
      </c>
      <c r="D711" s="6" t="s">
        <v>18</v>
      </c>
      <c r="E711" s="7" t="s">
        <v>1260</v>
      </c>
      <c r="F711" s="13">
        <v>46204</v>
      </c>
      <c r="G711" s="9">
        <f>IFERROR(VLOOKUP(D711,Listas!$A$2:$B$20,2,FALSE()),999)</f>
        <v>1</v>
      </c>
      <c r="H711" s="9" t="str">
        <f t="shared" ca="1" si="11"/>
        <v>Próximo</v>
      </c>
      <c r="J711" s="11">
        <v>120</v>
      </c>
      <c r="K711" s="11">
        <v>120</v>
      </c>
      <c r="L711" s="12">
        <v>41090</v>
      </c>
      <c r="M711" t="s">
        <v>36</v>
      </c>
    </row>
    <row r="712" spans="1:13" ht="30" customHeight="1">
      <c r="A712" s="6" t="s">
        <v>1322</v>
      </c>
      <c r="B712" s="7" t="s">
        <v>1315</v>
      </c>
      <c r="C712" s="7" t="s">
        <v>1316</v>
      </c>
      <c r="D712" s="6" t="s">
        <v>18</v>
      </c>
      <c r="E712" s="7" t="s">
        <v>1260</v>
      </c>
      <c r="F712" s="13">
        <v>46204</v>
      </c>
      <c r="G712" s="9">
        <f>IFERROR(VLOOKUP(D712,Listas!$A$2:$B$20,2,FALSE()),999)</f>
        <v>1</v>
      </c>
      <c r="H712" s="9" t="str">
        <f t="shared" ca="1" si="11"/>
        <v>Próximo</v>
      </c>
      <c r="J712" s="11">
        <v>120</v>
      </c>
      <c r="K712" s="11">
        <v>120</v>
      </c>
      <c r="L712" s="12">
        <v>41090</v>
      </c>
      <c r="M712" t="s">
        <v>36</v>
      </c>
    </row>
    <row r="713" spans="1:13" ht="30" customHeight="1">
      <c r="A713" s="6" t="s">
        <v>1323</v>
      </c>
      <c r="B713" s="7" t="s">
        <v>1315</v>
      </c>
      <c r="C713" s="7" t="s">
        <v>1316</v>
      </c>
      <c r="D713" s="6" t="s">
        <v>18</v>
      </c>
      <c r="E713" s="7" t="s">
        <v>1260</v>
      </c>
      <c r="F713" s="13">
        <v>46204</v>
      </c>
      <c r="G713" s="9">
        <f>IFERROR(VLOOKUP(D713,Listas!$A$2:$B$20,2,FALSE()),999)</f>
        <v>1</v>
      </c>
      <c r="H713" s="9" t="str">
        <f t="shared" ca="1" si="11"/>
        <v>Próximo</v>
      </c>
      <c r="J713" s="11">
        <v>120</v>
      </c>
      <c r="K713" s="11">
        <v>120</v>
      </c>
      <c r="L713" s="12">
        <v>41090</v>
      </c>
      <c r="M713" t="s">
        <v>36</v>
      </c>
    </row>
    <row r="714" spans="1:13" ht="30" customHeight="1">
      <c r="A714" s="6" t="s">
        <v>1324</v>
      </c>
      <c r="B714" s="7" t="s">
        <v>1315</v>
      </c>
      <c r="C714" s="7" t="s">
        <v>1316</v>
      </c>
      <c r="D714" s="6" t="s">
        <v>18</v>
      </c>
      <c r="E714" s="7" t="s">
        <v>1260</v>
      </c>
      <c r="F714" s="13">
        <v>46204</v>
      </c>
      <c r="G714" s="9">
        <f>IFERROR(VLOOKUP(D714,Listas!$A$2:$B$20,2,FALSE()),999)</f>
        <v>1</v>
      </c>
      <c r="H714" s="9" t="str">
        <f t="shared" ca="1" si="11"/>
        <v>Próximo</v>
      </c>
      <c r="J714" s="11">
        <v>120</v>
      </c>
      <c r="K714" s="11">
        <v>120</v>
      </c>
      <c r="L714" s="12">
        <v>41090</v>
      </c>
      <c r="M714" t="s">
        <v>36</v>
      </c>
    </row>
    <row r="715" spans="1:13" ht="30" customHeight="1">
      <c r="A715" s="6" t="s">
        <v>1325</v>
      </c>
      <c r="B715" s="7" t="s">
        <v>1315</v>
      </c>
      <c r="C715" s="7" t="s">
        <v>1316</v>
      </c>
      <c r="D715" s="6" t="s">
        <v>18</v>
      </c>
      <c r="E715" s="7" t="s">
        <v>1260</v>
      </c>
      <c r="F715" s="13">
        <v>46204</v>
      </c>
      <c r="G715" s="9">
        <f>IFERROR(VLOOKUP(D715,Listas!$A$2:$B$20,2,FALSE()),999)</f>
        <v>1</v>
      </c>
      <c r="H715" s="9" t="str">
        <f t="shared" ca="1" si="11"/>
        <v>Próximo</v>
      </c>
      <c r="J715" s="11">
        <v>120</v>
      </c>
      <c r="K715" s="11">
        <v>120</v>
      </c>
      <c r="L715" s="12">
        <v>41090</v>
      </c>
      <c r="M715" t="s">
        <v>36</v>
      </c>
    </row>
    <row r="716" spans="1:13" ht="30" customHeight="1">
      <c r="A716" s="6" t="s">
        <v>1326</v>
      </c>
      <c r="B716" s="7" t="s">
        <v>1315</v>
      </c>
      <c r="C716" s="7" t="s">
        <v>1316</v>
      </c>
      <c r="D716" s="6" t="s">
        <v>18</v>
      </c>
      <c r="E716" s="7" t="s">
        <v>1260</v>
      </c>
      <c r="F716" s="13">
        <v>46204</v>
      </c>
      <c r="G716" s="9">
        <f>IFERROR(VLOOKUP(D716,Listas!$A$2:$B$20,2,FALSE()),999)</f>
        <v>1</v>
      </c>
      <c r="H716" s="9" t="str">
        <f t="shared" ca="1" si="11"/>
        <v>Próximo</v>
      </c>
      <c r="J716" s="11">
        <v>120</v>
      </c>
      <c r="K716" s="11">
        <v>120</v>
      </c>
      <c r="L716" s="12">
        <v>41090</v>
      </c>
      <c r="M716" t="s">
        <v>36</v>
      </c>
    </row>
    <row r="717" spans="1:13" ht="30" customHeight="1">
      <c r="A717" s="6" t="s">
        <v>1327</v>
      </c>
      <c r="B717" s="7" t="s">
        <v>1328</v>
      </c>
      <c r="C717" s="7" t="s">
        <v>1329</v>
      </c>
      <c r="D717" s="6" t="s">
        <v>18</v>
      </c>
      <c r="E717" s="7" t="s">
        <v>1260</v>
      </c>
      <c r="F717" s="13">
        <v>46204</v>
      </c>
      <c r="G717" s="9">
        <f>IFERROR(VLOOKUP(D717,Listas!$A$2:$B$20,2,FALSE()),999)</f>
        <v>1</v>
      </c>
      <c r="H717" s="9" t="str">
        <f t="shared" ca="1" si="11"/>
        <v>Próximo</v>
      </c>
      <c r="J717" s="11">
        <v>120</v>
      </c>
      <c r="K717" s="11">
        <v>120</v>
      </c>
      <c r="L717" s="12">
        <v>41090</v>
      </c>
      <c r="M717" t="s">
        <v>36</v>
      </c>
    </row>
    <row r="718" spans="1:13" ht="30" customHeight="1">
      <c r="A718" s="6" t="s">
        <v>1330</v>
      </c>
      <c r="B718" s="7" t="s">
        <v>1331</v>
      </c>
      <c r="C718" s="7" t="s">
        <v>1332</v>
      </c>
      <c r="D718" s="6" t="s">
        <v>18</v>
      </c>
      <c r="E718" s="7" t="s">
        <v>1260</v>
      </c>
      <c r="F718" s="13">
        <v>46204</v>
      </c>
      <c r="G718" s="9">
        <f>IFERROR(VLOOKUP(D718,Listas!$A$2:$B$20,2,FALSE()),999)</f>
        <v>1</v>
      </c>
      <c r="H718" s="9" t="str">
        <f t="shared" ca="1" si="11"/>
        <v>Próximo</v>
      </c>
      <c r="J718" s="11">
        <v>120</v>
      </c>
      <c r="K718" s="11">
        <v>120</v>
      </c>
      <c r="L718" s="12">
        <v>41090</v>
      </c>
      <c r="M718" t="s">
        <v>36</v>
      </c>
    </row>
    <row r="719" spans="1:13" ht="30" customHeight="1">
      <c r="A719" s="6" t="s">
        <v>1333</v>
      </c>
      <c r="B719" s="7" t="s">
        <v>1334</v>
      </c>
      <c r="C719" s="7" t="s">
        <v>1335</v>
      </c>
      <c r="D719" s="6" t="s">
        <v>18</v>
      </c>
      <c r="E719" s="7" t="s">
        <v>1260</v>
      </c>
      <c r="F719" s="13">
        <v>46204</v>
      </c>
      <c r="G719" s="9">
        <f>IFERROR(VLOOKUP(D719,Listas!$A$2:$B$20,2,FALSE()),999)</f>
        <v>1</v>
      </c>
      <c r="H719" s="9" t="str">
        <f t="shared" ca="1" si="11"/>
        <v>Próximo</v>
      </c>
      <c r="J719" s="11">
        <v>60</v>
      </c>
      <c r="K719" s="11">
        <v>60</v>
      </c>
      <c r="L719" s="12">
        <v>43481</v>
      </c>
      <c r="M719" t="s">
        <v>36</v>
      </c>
    </row>
    <row r="720" spans="1:13" ht="30" customHeight="1">
      <c r="A720" s="6" t="s">
        <v>1336</v>
      </c>
      <c r="B720" s="7" t="s">
        <v>1337</v>
      </c>
      <c r="C720" s="7" t="s">
        <v>1337</v>
      </c>
      <c r="D720" s="6" t="s">
        <v>18</v>
      </c>
      <c r="E720" s="7" t="s">
        <v>1260</v>
      </c>
      <c r="F720" s="13">
        <v>46204</v>
      </c>
      <c r="G720" s="9">
        <f>IFERROR(VLOOKUP(D720,Listas!$A$2:$B$20,2,FALSE()),999)</f>
        <v>1</v>
      </c>
      <c r="H720" s="9" t="str">
        <f t="shared" ca="1" si="11"/>
        <v>Próximo</v>
      </c>
      <c r="J720" s="11">
        <v>1</v>
      </c>
      <c r="K720" s="11">
        <v>1</v>
      </c>
      <c r="L720" s="12">
        <v>44986</v>
      </c>
      <c r="M720" t="s">
        <v>36</v>
      </c>
    </row>
    <row r="721" spans="1:13" ht="30" customHeight="1">
      <c r="A721" s="6" t="s">
        <v>1338</v>
      </c>
      <c r="B721" s="7" t="s">
        <v>1339</v>
      </c>
      <c r="C721" s="7" t="s">
        <v>1339</v>
      </c>
      <c r="D721" s="6" t="s">
        <v>18</v>
      </c>
      <c r="E721" s="7" t="s">
        <v>1260</v>
      </c>
      <c r="F721" s="13">
        <v>46204</v>
      </c>
      <c r="G721" s="9">
        <f>IFERROR(VLOOKUP(D721,Listas!$A$2:$B$20,2,FALSE()),999)</f>
        <v>1</v>
      </c>
      <c r="H721" s="9" t="str">
        <f t="shared" ca="1" si="11"/>
        <v>Próximo</v>
      </c>
      <c r="J721" s="11">
        <v>1</v>
      </c>
      <c r="K721" s="11">
        <v>1</v>
      </c>
      <c r="L721" s="12">
        <v>43451</v>
      </c>
      <c r="M721" t="s">
        <v>36</v>
      </c>
    </row>
    <row r="722" spans="1:13" ht="30" customHeight="1">
      <c r="A722" s="6" t="s">
        <v>1340</v>
      </c>
      <c r="B722" s="7" t="s">
        <v>1341</v>
      </c>
      <c r="C722" s="7" t="s">
        <v>1342</v>
      </c>
      <c r="D722" s="6" t="s">
        <v>18</v>
      </c>
      <c r="E722" s="7" t="s">
        <v>1260</v>
      </c>
      <c r="F722" s="13">
        <v>46204</v>
      </c>
      <c r="G722" s="9">
        <f>IFERROR(VLOOKUP(D722,Listas!$A$2:$B$20,2,FALSE()),999)</f>
        <v>1</v>
      </c>
      <c r="H722" s="9" t="str">
        <f t="shared" ca="1" si="11"/>
        <v>Próximo</v>
      </c>
      <c r="J722" s="11">
        <v>120</v>
      </c>
      <c r="K722" s="11">
        <v>92</v>
      </c>
      <c r="L722" s="12">
        <v>43482</v>
      </c>
      <c r="M722" t="s">
        <v>20</v>
      </c>
    </row>
    <row r="723" spans="1:13" ht="30" customHeight="1">
      <c r="A723" s="6" t="s">
        <v>1343</v>
      </c>
      <c r="B723" s="7" t="s">
        <v>1344</v>
      </c>
      <c r="C723" s="7" t="s">
        <v>1345</v>
      </c>
      <c r="D723" s="6" t="s">
        <v>18</v>
      </c>
      <c r="E723" s="7" t="s">
        <v>1260</v>
      </c>
      <c r="F723" s="13">
        <v>46204</v>
      </c>
      <c r="G723" s="9">
        <f>IFERROR(VLOOKUP(D723,Listas!$A$2:$B$20,2,FALSE()),999)</f>
        <v>1</v>
      </c>
      <c r="H723" s="9" t="str">
        <f t="shared" ca="1" si="11"/>
        <v>Próximo</v>
      </c>
      <c r="J723" s="11">
        <v>120</v>
      </c>
      <c r="K723" s="11">
        <v>120</v>
      </c>
      <c r="L723" s="12">
        <v>41090</v>
      </c>
      <c r="M723" t="s">
        <v>36</v>
      </c>
    </row>
    <row r="724" spans="1:13" ht="30" customHeight="1">
      <c r="A724" s="6" t="s">
        <v>1346</v>
      </c>
      <c r="B724" s="7" t="s">
        <v>1344</v>
      </c>
      <c r="C724" s="7" t="s">
        <v>1345</v>
      </c>
      <c r="D724" s="6" t="s">
        <v>18</v>
      </c>
      <c r="E724" s="7" t="s">
        <v>1260</v>
      </c>
      <c r="F724" s="13">
        <v>46204</v>
      </c>
      <c r="G724" s="9">
        <f>IFERROR(VLOOKUP(D724,Listas!$A$2:$B$20,2,FALSE()),999)</f>
        <v>1</v>
      </c>
      <c r="H724" s="9" t="str">
        <f t="shared" ca="1" si="11"/>
        <v>Próximo</v>
      </c>
      <c r="J724" s="11">
        <v>120</v>
      </c>
      <c r="K724" s="11">
        <v>120</v>
      </c>
      <c r="L724" s="12">
        <v>41090</v>
      </c>
      <c r="M724" t="s">
        <v>36</v>
      </c>
    </row>
    <row r="725" spans="1:13" ht="30" customHeight="1">
      <c r="A725" s="6" t="s">
        <v>1347</v>
      </c>
      <c r="B725" s="7" t="s">
        <v>1348</v>
      </c>
      <c r="C725" s="7" t="s">
        <v>1349</v>
      </c>
      <c r="D725" s="6" t="s">
        <v>18</v>
      </c>
      <c r="E725" s="7" t="s">
        <v>1350</v>
      </c>
      <c r="F725" s="8"/>
      <c r="G725" s="9">
        <f>IFERROR(VLOOKUP(D725,Listas!$A$2:$B$20,2,FALSE()),999)</f>
        <v>1</v>
      </c>
      <c r="H725" s="9" t="str">
        <f t="shared" ca="1" si="11"/>
        <v>Sin fecha</v>
      </c>
      <c r="J725" s="11">
        <v>120</v>
      </c>
      <c r="K725" s="11">
        <v>120</v>
      </c>
      <c r="L725" s="12">
        <v>41090</v>
      </c>
      <c r="M725" t="s">
        <v>36</v>
      </c>
    </row>
    <row r="726" spans="1:13" ht="30" customHeight="1">
      <c r="A726" s="6" t="s">
        <v>1351</v>
      </c>
      <c r="B726" s="7" t="s">
        <v>1352</v>
      </c>
      <c r="C726" s="7" t="s">
        <v>1353</v>
      </c>
      <c r="D726" s="6" t="s">
        <v>18</v>
      </c>
      <c r="E726" s="7" t="s">
        <v>1350</v>
      </c>
      <c r="F726" s="8"/>
      <c r="G726" s="9">
        <f>IFERROR(VLOOKUP(D726,Listas!$A$2:$B$20,2,FALSE()),999)</f>
        <v>1</v>
      </c>
      <c r="H726" s="9" t="str">
        <f t="shared" ca="1" si="11"/>
        <v>Sin fecha</v>
      </c>
      <c r="J726" s="11">
        <v>120</v>
      </c>
      <c r="K726" s="11">
        <v>120</v>
      </c>
      <c r="L726" s="12">
        <v>41090</v>
      </c>
      <c r="M726" t="s">
        <v>36</v>
      </c>
    </row>
    <row r="727" spans="1:13" ht="30" customHeight="1">
      <c r="A727" s="6" t="s">
        <v>1354</v>
      </c>
      <c r="B727" s="7" t="s">
        <v>1352</v>
      </c>
      <c r="C727" s="7" t="s">
        <v>1353</v>
      </c>
      <c r="D727" s="6" t="s">
        <v>18</v>
      </c>
      <c r="E727" s="7" t="s">
        <v>1350</v>
      </c>
      <c r="F727" s="8"/>
      <c r="G727" s="9">
        <f>IFERROR(VLOOKUP(D727,Listas!$A$2:$B$20,2,FALSE()),999)</f>
        <v>1</v>
      </c>
      <c r="H727" s="9" t="str">
        <f t="shared" ca="1" si="11"/>
        <v>Sin fecha</v>
      </c>
      <c r="J727" s="11">
        <v>120</v>
      </c>
      <c r="K727" s="11">
        <v>120</v>
      </c>
      <c r="L727" s="12">
        <v>42551</v>
      </c>
      <c r="M727" t="s">
        <v>36</v>
      </c>
    </row>
    <row r="728" spans="1:13" ht="30" customHeight="1">
      <c r="A728" s="6" t="s">
        <v>1355</v>
      </c>
      <c r="B728" s="7" t="s">
        <v>1356</v>
      </c>
      <c r="C728" s="7" t="s">
        <v>1357</v>
      </c>
      <c r="D728" s="6" t="s">
        <v>18</v>
      </c>
      <c r="E728" s="7" t="s">
        <v>1350</v>
      </c>
      <c r="F728" s="8"/>
      <c r="G728" s="9">
        <f>IFERROR(VLOOKUP(D728,Listas!$A$2:$B$20,2,FALSE()),999)</f>
        <v>1</v>
      </c>
      <c r="H728" s="9" t="str">
        <f t="shared" ca="1" si="11"/>
        <v>Sin fecha</v>
      </c>
      <c r="J728" s="11">
        <v>120</v>
      </c>
      <c r="K728" s="11">
        <v>68</v>
      </c>
      <c r="L728" s="12">
        <v>44197</v>
      </c>
      <c r="M728" t="s">
        <v>20</v>
      </c>
    </row>
    <row r="729" spans="1:13" ht="30" customHeight="1">
      <c r="A729" s="6" t="s">
        <v>1358</v>
      </c>
      <c r="B729" s="7" t="s">
        <v>1359</v>
      </c>
      <c r="C729" s="7" t="s">
        <v>1360</v>
      </c>
      <c r="D729" s="6" t="s">
        <v>18</v>
      </c>
      <c r="E729" s="7" t="s">
        <v>1350</v>
      </c>
      <c r="F729" s="8"/>
      <c r="G729" s="9">
        <f>IFERROR(VLOOKUP(D729,Listas!$A$2:$B$20,2,FALSE()),999)</f>
        <v>1</v>
      </c>
      <c r="H729" s="9" t="str">
        <f t="shared" ca="1" si="11"/>
        <v>Sin fecha</v>
      </c>
      <c r="J729" s="11">
        <v>120</v>
      </c>
      <c r="K729" s="11">
        <v>120</v>
      </c>
      <c r="L729" s="12">
        <v>42063</v>
      </c>
      <c r="M729" t="s">
        <v>36</v>
      </c>
    </row>
    <row r="730" spans="1:13" ht="30" customHeight="1">
      <c r="A730" s="6" t="s">
        <v>1361</v>
      </c>
      <c r="B730" s="7" t="s">
        <v>1359</v>
      </c>
      <c r="C730" s="7" t="s">
        <v>1362</v>
      </c>
      <c r="D730" s="6" t="s">
        <v>18</v>
      </c>
      <c r="E730" s="7" t="s">
        <v>1350</v>
      </c>
      <c r="F730" s="8"/>
      <c r="G730" s="9">
        <f>IFERROR(VLOOKUP(D730,Listas!$A$2:$B$20,2,FALSE()),999)</f>
        <v>1</v>
      </c>
      <c r="H730" s="9" t="str">
        <f t="shared" ca="1" si="11"/>
        <v>Sin fecha</v>
      </c>
      <c r="J730" s="11">
        <v>120</v>
      </c>
      <c r="K730" s="11">
        <v>70</v>
      </c>
      <c r="L730" s="12">
        <v>44136</v>
      </c>
      <c r="M730" t="s">
        <v>20</v>
      </c>
    </row>
    <row r="731" spans="1:13" ht="30" customHeight="1">
      <c r="A731" s="6" t="s">
        <v>1363</v>
      </c>
      <c r="B731" s="7" t="s">
        <v>1364</v>
      </c>
      <c r="C731" s="7" t="s">
        <v>1365</v>
      </c>
      <c r="D731" s="6" t="s">
        <v>18</v>
      </c>
      <c r="E731" s="7" t="s">
        <v>1350</v>
      </c>
      <c r="F731" s="8"/>
      <c r="G731" s="9">
        <f>IFERROR(VLOOKUP(D731,Listas!$A$2:$B$20,2,FALSE()),999)</f>
        <v>1</v>
      </c>
      <c r="H731" s="9" t="str">
        <f t="shared" ca="1" si="11"/>
        <v>Sin fecha</v>
      </c>
      <c r="J731" s="11">
        <v>120</v>
      </c>
      <c r="K731" s="11">
        <v>120</v>
      </c>
      <c r="L731" s="12">
        <v>41090</v>
      </c>
      <c r="M731" t="s">
        <v>36</v>
      </c>
    </row>
    <row r="732" spans="1:13" ht="30" customHeight="1">
      <c r="A732" s="6" t="s">
        <v>1366</v>
      </c>
      <c r="B732" s="7" t="s">
        <v>1364</v>
      </c>
      <c r="C732" s="7" t="s">
        <v>1367</v>
      </c>
      <c r="D732" s="6" t="s">
        <v>18</v>
      </c>
      <c r="E732" s="7" t="s">
        <v>1350</v>
      </c>
      <c r="F732" s="8"/>
      <c r="G732" s="9">
        <f>IFERROR(VLOOKUP(D732,Listas!$A$2:$B$20,2,FALSE()),999)</f>
        <v>1</v>
      </c>
      <c r="H732" s="9" t="str">
        <f t="shared" ca="1" si="11"/>
        <v>Sin fecha</v>
      </c>
      <c r="J732" s="11">
        <v>120</v>
      </c>
      <c r="K732" s="11">
        <v>108</v>
      </c>
      <c r="L732" s="12">
        <v>42995</v>
      </c>
      <c r="M732" t="s">
        <v>20</v>
      </c>
    </row>
    <row r="733" spans="1:13" ht="30" customHeight="1">
      <c r="A733" s="6" t="s">
        <v>1368</v>
      </c>
      <c r="B733" s="7" t="s">
        <v>1364</v>
      </c>
      <c r="C733" s="7" t="s">
        <v>1367</v>
      </c>
      <c r="D733" s="6" t="s">
        <v>18</v>
      </c>
      <c r="E733" s="7" t="s">
        <v>1350</v>
      </c>
      <c r="F733" s="8"/>
      <c r="G733" s="9">
        <f>IFERROR(VLOOKUP(D733,Listas!$A$2:$B$20,2,FALSE()),999)</f>
        <v>1</v>
      </c>
      <c r="H733" s="9" t="str">
        <f t="shared" ca="1" si="11"/>
        <v>Sin fecha</v>
      </c>
      <c r="J733" s="11">
        <v>120</v>
      </c>
      <c r="K733" s="11">
        <v>108</v>
      </c>
      <c r="L733" s="12">
        <v>42995</v>
      </c>
      <c r="M733" t="s">
        <v>20</v>
      </c>
    </row>
    <row r="734" spans="1:13" ht="30" customHeight="1">
      <c r="A734" s="6" t="s">
        <v>1369</v>
      </c>
      <c r="B734" s="7" t="s">
        <v>1364</v>
      </c>
      <c r="C734" s="7" t="s">
        <v>1367</v>
      </c>
      <c r="D734" s="6" t="s">
        <v>18</v>
      </c>
      <c r="E734" s="7" t="s">
        <v>1350</v>
      </c>
      <c r="F734" s="8"/>
      <c r="G734" s="9">
        <f>IFERROR(VLOOKUP(D734,Listas!$A$2:$B$20,2,FALSE()),999)</f>
        <v>1</v>
      </c>
      <c r="H734" s="9" t="str">
        <f t="shared" ca="1" si="11"/>
        <v>Sin fecha</v>
      </c>
      <c r="J734" s="11">
        <v>120</v>
      </c>
      <c r="K734" s="11">
        <v>108</v>
      </c>
      <c r="L734" s="12">
        <v>42995</v>
      </c>
      <c r="M734" t="s">
        <v>20</v>
      </c>
    </row>
    <row r="735" spans="1:13" ht="30" customHeight="1">
      <c r="A735" s="6" t="s">
        <v>1370</v>
      </c>
      <c r="B735" s="7" t="s">
        <v>1364</v>
      </c>
      <c r="C735" s="7" t="s">
        <v>1367</v>
      </c>
      <c r="D735" s="6" t="s">
        <v>18</v>
      </c>
      <c r="E735" s="7" t="s">
        <v>1350</v>
      </c>
      <c r="F735" s="8"/>
      <c r="G735" s="9">
        <f>IFERROR(VLOOKUP(D735,Listas!$A$2:$B$20,2,FALSE()),999)</f>
        <v>1</v>
      </c>
      <c r="H735" s="9" t="str">
        <f t="shared" ca="1" si="11"/>
        <v>Sin fecha</v>
      </c>
      <c r="J735" s="11">
        <v>120</v>
      </c>
      <c r="K735" s="11">
        <v>108</v>
      </c>
      <c r="L735" s="12">
        <v>42995</v>
      </c>
      <c r="M735" t="s">
        <v>20</v>
      </c>
    </row>
    <row r="736" spans="1:13" ht="30" customHeight="1">
      <c r="A736" s="6" t="s">
        <v>1371</v>
      </c>
      <c r="B736" s="7" t="s">
        <v>1372</v>
      </c>
      <c r="C736" s="7" t="s">
        <v>1373</v>
      </c>
      <c r="D736" s="6" t="s">
        <v>18</v>
      </c>
      <c r="E736" s="7" t="s">
        <v>1350</v>
      </c>
      <c r="F736" s="8"/>
      <c r="G736" s="9">
        <f>IFERROR(VLOOKUP(D736,Listas!$A$2:$B$20,2,FALSE()),999)</f>
        <v>1</v>
      </c>
      <c r="H736" s="9" t="str">
        <f t="shared" ca="1" si="11"/>
        <v>Sin fecha</v>
      </c>
      <c r="J736" s="11">
        <v>120</v>
      </c>
      <c r="K736" s="11">
        <v>118</v>
      </c>
      <c r="L736" s="12">
        <v>42704</v>
      </c>
      <c r="M736" t="s">
        <v>20</v>
      </c>
    </row>
    <row r="737" spans="1:13" ht="30" customHeight="1">
      <c r="A737" s="6" t="s">
        <v>1374</v>
      </c>
      <c r="B737" s="7" t="s">
        <v>1375</v>
      </c>
      <c r="C737" s="7" t="s">
        <v>1376</v>
      </c>
      <c r="D737" s="6" t="s">
        <v>18</v>
      </c>
      <c r="E737" s="7" t="s">
        <v>1350</v>
      </c>
      <c r="F737" s="8"/>
      <c r="G737" s="9">
        <f>IFERROR(VLOOKUP(D737,Listas!$A$2:$B$20,2,FALSE()),999)</f>
        <v>1</v>
      </c>
      <c r="H737" s="9" t="str">
        <f t="shared" ca="1" si="11"/>
        <v>Sin fecha</v>
      </c>
      <c r="J737" s="11">
        <v>120</v>
      </c>
      <c r="K737" s="11">
        <v>96</v>
      </c>
      <c r="L737" s="12">
        <v>43365</v>
      </c>
      <c r="M737" t="s">
        <v>20</v>
      </c>
    </row>
    <row r="738" spans="1:13" ht="30" customHeight="1">
      <c r="A738" s="6" t="s">
        <v>1377</v>
      </c>
      <c r="B738" s="7" t="s">
        <v>1378</v>
      </c>
      <c r="C738" s="7" t="s">
        <v>1379</v>
      </c>
      <c r="D738" s="6" t="s">
        <v>18</v>
      </c>
      <c r="E738" s="7" t="s">
        <v>1380</v>
      </c>
      <c r="F738" s="8"/>
      <c r="G738" s="9">
        <f>IFERROR(VLOOKUP(D738,Listas!$A$2:$B$20,2,FALSE()),999)</f>
        <v>1</v>
      </c>
      <c r="H738" s="9" t="str">
        <f t="shared" ca="1" si="11"/>
        <v>Sin fecha</v>
      </c>
      <c r="J738" s="11">
        <v>120</v>
      </c>
      <c r="K738" s="11">
        <v>8</v>
      </c>
      <c r="L738" s="12">
        <v>46023</v>
      </c>
      <c r="M738" t="s">
        <v>20</v>
      </c>
    </row>
    <row r="739" spans="1:13" ht="30" customHeight="1">
      <c r="A739" s="6" t="s">
        <v>1381</v>
      </c>
      <c r="B739" s="7" t="s">
        <v>1382</v>
      </c>
      <c r="C739" s="7" t="s">
        <v>1383</v>
      </c>
      <c r="D739" s="6" t="s">
        <v>18</v>
      </c>
      <c r="E739" s="7" t="s">
        <v>1380</v>
      </c>
      <c r="F739" s="8"/>
      <c r="G739" s="9">
        <f>IFERROR(VLOOKUP(D739,Listas!$A$2:$B$20,2,FALSE()),999)</f>
        <v>1</v>
      </c>
      <c r="H739" s="9" t="str">
        <f t="shared" ca="1" si="11"/>
        <v>Sin fecha</v>
      </c>
      <c r="J739" s="11">
        <v>120</v>
      </c>
      <c r="K739" s="11">
        <v>8</v>
      </c>
      <c r="L739" s="12">
        <v>46023</v>
      </c>
      <c r="M739" t="s">
        <v>20</v>
      </c>
    </row>
    <row r="740" spans="1:13" ht="30" customHeight="1">
      <c r="A740" s="6" t="s">
        <v>1384</v>
      </c>
      <c r="B740" s="7" t="s">
        <v>1385</v>
      </c>
      <c r="C740" s="7" t="s">
        <v>1386</v>
      </c>
      <c r="D740" s="6" t="s">
        <v>18</v>
      </c>
      <c r="E740" s="7" t="s">
        <v>1380</v>
      </c>
      <c r="F740" s="8"/>
      <c r="G740" s="9">
        <f>IFERROR(VLOOKUP(D740,Listas!$A$2:$B$20,2,FALSE()),999)</f>
        <v>1</v>
      </c>
      <c r="H740" s="9" t="str">
        <f t="shared" ca="1" si="11"/>
        <v>Sin fecha</v>
      </c>
      <c r="J740" s="11">
        <v>120</v>
      </c>
      <c r="K740" s="11">
        <v>8</v>
      </c>
      <c r="L740" s="12">
        <v>46023</v>
      </c>
      <c r="M740" t="s">
        <v>20</v>
      </c>
    </row>
    <row r="741" spans="1:13" ht="30" customHeight="1">
      <c r="A741" s="6" t="s">
        <v>1387</v>
      </c>
      <c r="B741" s="7" t="s">
        <v>1388</v>
      </c>
      <c r="C741" s="7" t="s">
        <v>1389</v>
      </c>
      <c r="D741" s="6" t="s">
        <v>18</v>
      </c>
      <c r="E741" s="7" t="s">
        <v>1380</v>
      </c>
      <c r="F741" s="8"/>
      <c r="G741" s="9">
        <f>IFERROR(VLOOKUP(D741,Listas!$A$2:$B$20,2,FALSE()),999)</f>
        <v>1</v>
      </c>
      <c r="H741" s="9" t="str">
        <f t="shared" ca="1" si="11"/>
        <v>Sin fecha</v>
      </c>
      <c r="J741" s="11">
        <v>120</v>
      </c>
      <c r="K741" s="11">
        <v>120</v>
      </c>
      <c r="L741" s="12">
        <v>41090</v>
      </c>
      <c r="M741" t="s">
        <v>36</v>
      </c>
    </row>
    <row r="742" spans="1:13" ht="30" customHeight="1">
      <c r="A742" s="6" t="s">
        <v>1390</v>
      </c>
      <c r="B742" s="7" t="s">
        <v>1391</v>
      </c>
      <c r="C742" s="7" t="s">
        <v>1392</v>
      </c>
      <c r="D742" s="6" t="s">
        <v>18</v>
      </c>
      <c r="E742" s="7" t="s">
        <v>1380</v>
      </c>
      <c r="F742" s="8"/>
      <c r="G742" s="9">
        <f>IFERROR(VLOOKUP(D742,Listas!$A$2:$B$20,2,FALSE()),999)</f>
        <v>1</v>
      </c>
      <c r="H742" s="9" t="str">
        <f t="shared" ca="1" si="11"/>
        <v>Sin fecha</v>
      </c>
      <c r="J742" s="11">
        <v>120</v>
      </c>
      <c r="K742" s="11">
        <v>120</v>
      </c>
      <c r="L742" s="12">
        <v>41090</v>
      </c>
      <c r="M742" t="s">
        <v>36</v>
      </c>
    </row>
    <row r="743" spans="1:13" ht="30" customHeight="1">
      <c r="A743" s="6" t="s">
        <v>1393</v>
      </c>
      <c r="B743" s="7" t="s">
        <v>1394</v>
      </c>
      <c r="C743" s="7" t="s">
        <v>1395</v>
      </c>
      <c r="D743" s="6" t="s">
        <v>18</v>
      </c>
      <c r="E743" s="7" t="s">
        <v>1380</v>
      </c>
      <c r="F743" s="8"/>
      <c r="G743" s="9">
        <f>IFERROR(VLOOKUP(D743,Listas!$A$2:$B$20,2,FALSE()),999)</f>
        <v>1</v>
      </c>
      <c r="H743" s="9" t="str">
        <f t="shared" ca="1" si="11"/>
        <v>Sin fecha</v>
      </c>
      <c r="J743" s="11">
        <v>120</v>
      </c>
      <c r="K743" s="11">
        <v>8</v>
      </c>
      <c r="L743" s="12">
        <v>46023</v>
      </c>
      <c r="M743" t="s">
        <v>20</v>
      </c>
    </row>
    <row r="744" spans="1:13" ht="30" customHeight="1">
      <c r="A744" s="6" t="s">
        <v>1396</v>
      </c>
      <c r="B744" s="7" t="s">
        <v>1397</v>
      </c>
      <c r="C744" s="7" t="s">
        <v>1398</v>
      </c>
      <c r="D744" s="6" t="s">
        <v>18</v>
      </c>
      <c r="E744" s="7" t="s">
        <v>1380</v>
      </c>
      <c r="F744" s="8"/>
      <c r="G744" s="9">
        <f>IFERROR(VLOOKUP(D744,Listas!$A$2:$B$20,2,FALSE()),999)</f>
        <v>1</v>
      </c>
      <c r="H744" s="9" t="str">
        <f t="shared" ca="1" si="11"/>
        <v>Sin fecha</v>
      </c>
      <c r="J744" s="11">
        <v>120</v>
      </c>
      <c r="K744" s="11">
        <v>120</v>
      </c>
      <c r="L744" s="12">
        <v>41090</v>
      </c>
      <c r="M744" t="s">
        <v>36</v>
      </c>
    </row>
    <row r="745" spans="1:13" ht="30" customHeight="1">
      <c r="A745" s="6" t="s">
        <v>1399</v>
      </c>
      <c r="B745" s="7" t="s">
        <v>1400</v>
      </c>
      <c r="C745" s="7" t="s">
        <v>1401</v>
      </c>
      <c r="D745" s="6" t="s">
        <v>18</v>
      </c>
      <c r="E745" s="7" t="s">
        <v>1380</v>
      </c>
      <c r="F745" s="8"/>
      <c r="G745" s="9">
        <f>IFERROR(VLOOKUP(D745,Listas!$A$2:$B$20,2,FALSE()),999)</f>
        <v>1</v>
      </c>
      <c r="H745" s="9" t="str">
        <f t="shared" ca="1" si="11"/>
        <v>Sin fecha</v>
      </c>
      <c r="J745" s="11">
        <v>120</v>
      </c>
      <c r="K745" s="11">
        <v>120</v>
      </c>
      <c r="L745" s="12">
        <v>41090</v>
      </c>
      <c r="M745" t="s">
        <v>36</v>
      </c>
    </row>
    <row r="746" spans="1:13" ht="30" customHeight="1">
      <c r="A746" s="6" t="s">
        <v>1402</v>
      </c>
      <c r="B746" s="7" t="s">
        <v>1403</v>
      </c>
      <c r="C746" s="7" t="s">
        <v>1404</v>
      </c>
      <c r="D746" s="6" t="s">
        <v>18</v>
      </c>
      <c r="E746" s="7" t="s">
        <v>1405</v>
      </c>
      <c r="F746" s="13">
        <v>46018</v>
      </c>
      <c r="G746" s="9">
        <f>IFERROR(VLOOKUP(D746,Listas!$A$2:$B$20,2,FALSE()),999)</f>
        <v>1</v>
      </c>
      <c r="H746" s="9" t="str">
        <f t="shared" ca="1" si="11"/>
        <v>Revisar</v>
      </c>
      <c r="J746" s="11">
        <v>120</v>
      </c>
      <c r="K746" s="11">
        <v>84</v>
      </c>
      <c r="L746" s="12">
        <v>43710</v>
      </c>
      <c r="M746" t="s">
        <v>20</v>
      </c>
    </row>
    <row r="747" spans="1:13" ht="30" customHeight="1">
      <c r="A747" s="6" t="s">
        <v>1406</v>
      </c>
      <c r="B747" s="7" t="s">
        <v>1403</v>
      </c>
      <c r="C747" s="7" t="s">
        <v>1407</v>
      </c>
      <c r="D747" s="6" t="s">
        <v>18</v>
      </c>
      <c r="E747" s="7" t="s">
        <v>1405</v>
      </c>
      <c r="F747" s="13">
        <v>46019</v>
      </c>
      <c r="G747" s="9">
        <f>IFERROR(VLOOKUP(D747,Listas!$A$2:$B$20,2,FALSE()),999)</f>
        <v>1</v>
      </c>
      <c r="H747" s="9" t="str">
        <f t="shared" ca="1" si="11"/>
        <v>Revisar</v>
      </c>
      <c r="J747" s="11">
        <v>120</v>
      </c>
      <c r="K747" s="11">
        <v>84</v>
      </c>
      <c r="L747" s="12">
        <v>43710</v>
      </c>
      <c r="M747" t="s">
        <v>20</v>
      </c>
    </row>
    <row r="748" spans="1:13" ht="30" customHeight="1">
      <c r="A748" s="6" t="s">
        <v>1408</v>
      </c>
      <c r="B748" s="7" t="s">
        <v>1409</v>
      </c>
      <c r="C748" s="7" t="s">
        <v>1410</v>
      </c>
      <c r="D748" s="6" t="s">
        <v>18</v>
      </c>
      <c r="E748" s="7" t="s">
        <v>1405</v>
      </c>
      <c r="F748" s="8"/>
      <c r="G748" s="9">
        <f>IFERROR(VLOOKUP(D748,Listas!$A$2:$B$20,2,FALSE()),999)</f>
        <v>1</v>
      </c>
      <c r="H748" s="9" t="str">
        <f t="shared" ca="1" si="11"/>
        <v>Sin fecha</v>
      </c>
      <c r="J748" s="11">
        <v>120</v>
      </c>
      <c r="K748" s="11">
        <v>120</v>
      </c>
      <c r="L748" s="12">
        <v>41820</v>
      </c>
      <c r="M748" t="s">
        <v>36</v>
      </c>
    </row>
    <row r="749" spans="1:13" ht="30" customHeight="1">
      <c r="A749" s="6" t="s">
        <v>1411</v>
      </c>
      <c r="B749" s="7" t="s">
        <v>1412</v>
      </c>
      <c r="C749" s="7" t="s">
        <v>1413</v>
      </c>
      <c r="D749" s="6" t="s">
        <v>18</v>
      </c>
      <c r="E749" s="7" t="s">
        <v>1405</v>
      </c>
      <c r="F749" s="13">
        <v>45999</v>
      </c>
      <c r="G749" s="9">
        <f>IFERROR(VLOOKUP(D749,Listas!$A$2:$B$20,2,FALSE()),999)</f>
        <v>1</v>
      </c>
      <c r="H749" s="9" t="str">
        <f t="shared" ca="1" si="11"/>
        <v>Revisar</v>
      </c>
      <c r="J749" s="11">
        <v>60</v>
      </c>
      <c r="K749" s="11">
        <v>60</v>
      </c>
      <c r="L749" s="12">
        <v>43770</v>
      </c>
      <c r="M749" t="s">
        <v>36</v>
      </c>
    </row>
    <row r="750" spans="1:13" ht="30" customHeight="1">
      <c r="A750" s="6" t="s">
        <v>1414</v>
      </c>
      <c r="B750" s="7" t="s">
        <v>1412</v>
      </c>
      <c r="C750" s="7" t="s">
        <v>1413</v>
      </c>
      <c r="D750" s="6" t="s">
        <v>18</v>
      </c>
      <c r="E750" s="7" t="s">
        <v>1405</v>
      </c>
      <c r="F750" s="13">
        <v>46008</v>
      </c>
      <c r="G750" s="9">
        <f>IFERROR(VLOOKUP(D750,Listas!$A$2:$B$20,2,FALSE()),999)</f>
        <v>1</v>
      </c>
      <c r="H750" s="9" t="str">
        <f t="shared" ca="1" si="11"/>
        <v>Revisar</v>
      </c>
      <c r="J750" s="11">
        <v>60</v>
      </c>
      <c r="K750" s="11">
        <v>60</v>
      </c>
      <c r="L750" s="12">
        <v>43770</v>
      </c>
      <c r="M750" t="s">
        <v>36</v>
      </c>
    </row>
    <row r="751" spans="1:13" ht="30" customHeight="1">
      <c r="A751" s="6" t="s">
        <v>1415</v>
      </c>
      <c r="B751" s="7" t="s">
        <v>1412</v>
      </c>
      <c r="C751" s="7" t="s">
        <v>1413</v>
      </c>
      <c r="D751" s="6" t="s">
        <v>18</v>
      </c>
      <c r="E751" s="7" t="s">
        <v>1405</v>
      </c>
      <c r="F751" s="13">
        <v>46011</v>
      </c>
      <c r="G751" s="9">
        <f>IFERROR(VLOOKUP(D751,Listas!$A$2:$B$20,2,FALSE()),999)</f>
        <v>1</v>
      </c>
      <c r="H751" s="9" t="str">
        <f t="shared" ca="1" si="11"/>
        <v>Revisar</v>
      </c>
      <c r="J751" s="11">
        <v>60</v>
      </c>
      <c r="K751" s="11">
        <v>60</v>
      </c>
      <c r="L751" s="12">
        <v>43770</v>
      </c>
      <c r="M751" t="s">
        <v>36</v>
      </c>
    </row>
    <row r="752" spans="1:13" ht="30" customHeight="1">
      <c r="A752" s="6" t="s">
        <v>1416</v>
      </c>
      <c r="B752" s="7" t="s">
        <v>1412</v>
      </c>
      <c r="C752" s="7" t="s">
        <v>1413</v>
      </c>
      <c r="D752" s="6" t="s">
        <v>18</v>
      </c>
      <c r="E752" s="7" t="s">
        <v>1405</v>
      </c>
      <c r="F752" s="13">
        <v>46004</v>
      </c>
      <c r="G752" s="9">
        <f>IFERROR(VLOOKUP(D752,Listas!$A$2:$B$20,2,FALSE()),999)</f>
        <v>1</v>
      </c>
      <c r="H752" s="9" t="str">
        <f t="shared" ca="1" si="11"/>
        <v>Revisar</v>
      </c>
      <c r="J752" s="11">
        <v>60</v>
      </c>
      <c r="K752" s="11">
        <v>60</v>
      </c>
      <c r="L752" s="12">
        <v>43770</v>
      </c>
      <c r="M752" t="s">
        <v>36</v>
      </c>
    </row>
    <row r="753" spans="1:13" ht="30" customHeight="1">
      <c r="A753" s="6" t="s">
        <v>1417</v>
      </c>
      <c r="B753" s="7" t="s">
        <v>1412</v>
      </c>
      <c r="C753" s="7" t="s">
        <v>1413</v>
      </c>
      <c r="D753" s="6" t="s">
        <v>18</v>
      </c>
      <c r="E753" s="7" t="s">
        <v>1405</v>
      </c>
      <c r="F753" s="13">
        <v>46001</v>
      </c>
      <c r="G753" s="9">
        <f>IFERROR(VLOOKUP(D753,Listas!$A$2:$B$20,2,FALSE()),999)</f>
        <v>1</v>
      </c>
      <c r="H753" s="9" t="str">
        <f t="shared" ca="1" si="11"/>
        <v>Revisar</v>
      </c>
      <c r="J753" s="11">
        <v>60</v>
      </c>
      <c r="K753" s="11">
        <v>60</v>
      </c>
      <c r="L753" s="12">
        <v>43770</v>
      </c>
      <c r="M753" t="s">
        <v>36</v>
      </c>
    </row>
    <row r="754" spans="1:13" ht="30" customHeight="1">
      <c r="A754" s="6" t="s">
        <v>1418</v>
      </c>
      <c r="B754" s="7" t="s">
        <v>1412</v>
      </c>
      <c r="C754" s="7" t="s">
        <v>1413</v>
      </c>
      <c r="D754" s="6" t="s">
        <v>18</v>
      </c>
      <c r="E754" s="7" t="s">
        <v>1405</v>
      </c>
      <c r="F754" s="13">
        <v>46000</v>
      </c>
      <c r="G754" s="9">
        <f>IFERROR(VLOOKUP(D754,Listas!$A$2:$B$20,2,FALSE()),999)</f>
        <v>1</v>
      </c>
      <c r="H754" s="9" t="str">
        <f t="shared" ca="1" si="11"/>
        <v>Revisar</v>
      </c>
      <c r="J754" s="11">
        <v>60</v>
      </c>
      <c r="K754" s="11">
        <v>60</v>
      </c>
      <c r="L754" s="12">
        <v>43770</v>
      </c>
      <c r="M754" t="s">
        <v>36</v>
      </c>
    </row>
    <row r="755" spans="1:13" ht="30" customHeight="1">
      <c r="A755" s="6" t="s">
        <v>1419</v>
      </c>
      <c r="B755" s="7" t="s">
        <v>1412</v>
      </c>
      <c r="C755" s="7" t="s">
        <v>1413</v>
      </c>
      <c r="D755" s="6" t="s">
        <v>18</v>
      </c>
      <c r="E755" s="7" t="s">
        <v>1405</v>
      </c>
      <c r="F755" s="13">
        <v>46007</v>
      </c>
      <c r="G755" s="9">
        <f>IFERROR(VLOOKUP(D755,Listas!$A$2:$B$20,2,FALSE()),999)</f>
        <v>1</v>
      </c>
      <c r="H755" s="9" t="str">
        <f t="shared" ca="1" si="11"/>
        <v>Revisar</v>
      </c>
      <c r="J755" s="11">
        <v>60</v>
      </c>
      <c r="K755" s="11">
        <v>60</v>
      </c>
      <c r="L755" s="12">
        <v>43770</v>
      </c>
      <c r="M755" t="s">
        <v>36</v>
      </c>
    </row>
    <row r="756" spans="1:13" ht="30" customHeight="1">
      <c r="A756" s="6" t="s">
        <v>1420</v>
      </c>
      <c r="B756" s="7" t="s">
        <v>1412</v>
      </c>
      <c r="C756" s="7" t="s">
        <v>1413</v>
      </c>
      <c r="D756" s="6" t="s">
        <v>18</v>
      </c>
      <c r="E756" s="7" t="s">
        <v>1405</v>
      </c>
      <c r="F756" s="13">
        <v>46006</v>
      </c>
      <c r="G756" s="9">
        <f>IFERROR(VLOOKUP(D756,Listas!$A$2:$B$20,2,FALSE()),999)</f>
        <v>1</v>
      </c>
      <c r="H756" s="9" t="str">
        <f t="shared" ca="1" si="11"/>
        <v>Revisar</v>
      </c>
      <c r="J756" s="11">
        <v>60</v>
      </c>
      <c r="K756" s="11">
        <v>60</v>
      </c>
      <c r="L756" s="12">
        <v>43770</v>
      </c>
      <c r="M756" t="s">
        <v>36</v>
      </c>
    </row>
    <row r="757" spans="1:13" ht="30" customHeight="1">
      <c r="A757" s="6" t="s">
        <v>1421</v>
      </c>
      <c r="B757" s="7" t="s">
        <v>1412</v>
      </c>
      <c r="C757" s="7" t="s">
        <v>1413</v>
      </c>
      <c r="D757" s="6" t="s">
        <v>18</v>
      </c>
      <c r="E757" s="7" t="s">
        <v>1405</v>
      </c>
      <c r="F757" s="13">
        <v>46017</v>
      </c>
      <c r="G757" s="9">
        <f>IFERROR(VLOOKUP(D757,Listas!$A$2:$B$20,2,FALSE()),999)</f>
        <v>1</v>
      </c>
      <c r="H757" s="9" t="str">
        <f t="shared" ca="1" si="11"/>
        <v>Revisar</v>
      </c>
      <c r="J757" s="11">
        <v>60</v>
      </c>
      <c r="K757" s="11">
        <v>60</v>
      </c>
      <c r="L757" s="12">
        <v>43770</v>
      </c>
      <c r="M757" t="s">
        <v>36</v>
      </c>
    </row>
    <row r="758" spans="1:13" ht="30" customHeight="1">
      <c r="A758" s="6" t="s">
        <v>1422</v>
      </c>
      <c r="B758" s="7" t="s">
        <v>1412</v>
      </c>
      <c r="C758" s="7" t="s">
        <v>1413</v>
      </c>
      <c r="D758" s="6" t="s">
        <v>18</v>
      </c>
      <c r="E758" s="7" t="s">
        <v>1405</v>
      </c>
      <c r="F758" s="13">
        <v>45994</v>
      </c>
      <c r="G758" s="9">
        <f>IFERROR(VLOOKUP(D758,Listas!$A$2:$B$20,2,FALSE()),999)</f>
        <v>1</v>
      </c>
      <c r="H758" s="9" t="str">
        <f t="shared" ca="1" si="11"/>
        <v>Revisar</v>
      </c>
      <c r="J758" s="11">
        <v>60</v>
      </c>
      <c r="K758" s="11">
        <v>60</v>
      </c>
      <c r="L758" s="12">
        <v>43770</v>
      </c>
      <c r="M758" t="s">
        <v>36</v>
      </c>
    </row>
    <row r="759" spans="1:13" ht="30" customHeight="1">
      <c r="A759" s="6" t="s">
        <v>1423</v>
      </c>
      <c r="B759" s="7" t="s">
        <v>1412</v>
      </c>
      <c r="C759" s="7" t="s">
        <v>1413</v>
      </c>
      <c r="D759" s="6" t="s">
        <v>18</v>
      </c>
      <c r="E759" s="7" t="s">
        <v>1405</v>
      </c>
      <c r="F759" s="13">
        <v>46014</v>
      </c>
      <c r="G759" s="9">
        <f>IFERROR(VLOOKUP(D759,Listas!$A$2:$B$20,2,FALSE()),999)</f>
        <v>1</v>
      </c>
      <c r="H759" s="9" t="str">
        <f t="shared" ca="1" si="11"/>
        <v>Revisar</v>
      </c>
      <c r="J759" s="11">
        <v>60</v>
      </c>
      <c r="K759" s="11">
        <v>60</v>
      </c>
      <c r="L759" s="12">
        <v>43770</v>
      </c>
      <c r="M759" t="s">
        <v>36</v>
      </c>
    </row>
    <row r="760" spans="1:13" ht="30" customHeight="1">
      <c r="A760" s="6" t="s">
        <v>1424</v>
      </c>
      <c r="B760" s="7" t="s">
        <v>1412</v>
      </c>
      <c r="C760" s="7" t="s">
        <v>1413</v>
      </c>
      <c r="D760" s="6" t="s">
        <v>18</v>
      </c>
      <c r="E760" s="7" t="s">
        <v>1405</v>
      </c>
      <c r="F760" s="13">
        <v>46005</v>
      </c>
      <c r="G760" s="9">
        <f>IFERROR(VLOOKUP(D760,Listas!$A$2:$B$20,2,FALSE()),999)</f>
        <v>1</v>
      </c>
      <c r="H760" s="9" t="str">
        <f t="shared" ca="1" si="11"/>
        <v>Revisar</v>
      </c>
      <c r="J760" s="11">
        <v>60</v>
      </c>
      <c r="K760" s="11">
        <v>60</v>
      </c>
      <c r="L760" s="12">
        <v>43770</v>
      </c>
      <c r="M760" t="s">
        <v>36</v>
      </c>
    </row>
    <row r="761" spans="1:13" ht="30" customHeight="1">
      <c r="A761" s="6" t="s">
        <v>1425</v>
      </c>
      <c r="B761" s="7" t="s">
        <v>1412</v>
      </c>
      <c r="C761" s="7" t="s">
        <v>1413</v>
      </c>
      <c r="D761" s="6" t="s">
        <v>18</v>
      </c>
      <c r="E761" s="7" t="s">
        <v>1405</v>
      </c>
      <c r="F761" s="13">
        <v>45995</v>
      </c>
      <c r="G761" s="9">
        <f>IFERROR(VLOOKUP(D761,Listas!$A$2:$B$20,2,FALSE()),999)</f>
        <v>1</v>
      </c>
      <c r="H761" s="9" t="str">
        <f t="shared" ca="1" si="11"/>
        <v>Revisar</v>
      </c>
      <c r="J761" s="11">
        <v>60</v>
      </c>
      <c r="K761" s="11">
        <v>60</v>
      </c>
      <c r="L761" s="12">
        <v>43770</v>
      </c>
      <c r="M761" t="s">
        <v>36</v>
      </c>
    </row>
    <row r="762" spans="1:13" ht="30" customHeight="1">
      <c r="A762" s="6" t="s">
        <v>1426</v>
      </c>
      <c r="B762" s="7" t="s">
        <v>1412</v>
      </c>
      <c r="C762" s="7" t="s">
        <v>1413</v>
      </c>
      <c r="D762" s="6" t="s">
        <v>18</v>
      </c>
      <c r="E762" s="7" t="s">
        <v>1405</v>
      </c>
      <c r="F762" s="13">
        <v>46003</v>
      </c>
      <c r="G762" s="9">
        <f>IFERROR(VLOOKUP(D762,Listas!$A$2:$B$20,2,FALSE()),999)</f>
        <v>1</v>
      </c>
      <c r="H762" s="9" t="str">
        <f t="shared" ca="1" si="11"/>
        <v>Revisar</v>
      </c>
      <c r="J762" s="11">
        <v>60</v>
      </c>
      <c r="K762" s="11">
        <v>60</v>
      </c>
      <c r="L762" s="12">
        <v>43770</v>
      </c>
      <c r="M762" t="s">
        <v>36</v>
      </c>
    </row>
    <row r="763" spans="1:13" ht="30" customHeight="1">
      <c r="A763" s="6" t="s">
        <v>1427</v>
      </c>
      <c r="B763" s="7" t="s">
        <v>1412</v>
      </c>
      <c r="C763" s="7" t="s">
        <v>1413</v>
      </c>
      <c r="D763" s="6" t="s">
        <v>18</v>
      </c>
      <c r="E763" s="7" t="s">
        <v>1405</v>
      </c>
      <c r="F763" s="13">
        <v>46015</v>
      </c>
      <c r="G763" s="9">
        <f>IFERROR(VLOOKUP(D763,Listas!$A$2:$B$20,2,FALSE()),999)</f>
        <v>1</v>
      </c>
      <c r="H763" s="9" t="str">
        <f t="shared" ca="1" si="11"/>
        <v>Revisar</v>
      </c>
      <c r="J763" s="11">
        <v>60</v>
      </c>
      <c r="K763" s="11">
        <v>60</v>
      </c>
      <c r="L763" s="12">
        <v>43770</v>
      </c>
      <c r="M763" t="s">
        <v>36</v>
      </c>
    </row>
    <row r="764" spans="1:13" ht="30" customHeight="1">
      <c r="A764" s="6" t="s">
        <v>1428</v>
      </c>
      <c r="B764" s="7" t="s">
        <v>1412</v>
      </c>
      <c r="C764" s="7" t="s">
        <v>1413</v>
      </c>
      <c r="D764" s="6" t="s">
        <v>18</v>
      </c>
      <c r="E764" s="7" t="s">
        <v>1405</v>
      </c>
      <c r="F764" s="13">
        <v>45996</v>
      </c>
      <c r="G764" s="9">
        <f>IFERROR(VLOOKUP(D764,Listas!$A$2:$B$20,2,FALSE()),999)</f>
        <v>1</v>
      </c>
      <c r="H764" s="9" t="str">
        <f t="shared" ca="1" si="11"/>
        <v>Revisar</v>
      </c>
      <c r="J764" s="11">
        <v>60</v>
      </c>
      <c r="K764" s="11">
        <v>60</v>
      </c>
      <c r="L764" s="12">
        <v>43770</v>
      </c>
      <c r="M764" t="s">
        <v>36</v>
      </c>
    </row>
    <row r="765" spans="1:13" ht="30" customHeight="1">
      <c r="A765" s="6" t="s">
        <v>1429</v>
      </c>
      <c r="B765" s="7" t="s">
        <v>1412</v>
      </c>
      <c r="C765" s="7" t="s">
        <v>1413</v>
      </c>
      <c r="D765" s="6" t="s">
        <v>18</v>
      </c>
      <c r="E765" s="7" t="s">
        <v>1405</v>
      </c>
      <c r="F765" s="13">
        <v>46002</v>
      </c>
      <c r="G765" s="9">
        <f>IFERROR(VLOOKUP(D765,Listas!$A$2:$B$20,2,FALSE()),999)</f>
        <v>1</v>
      </c>
      <c r="H765" s="9" t="str">
        <f t="shared" ca="1" si="11"/>
        <v>Revisar</v>
      </c>
      <c r="J765" s="11">
        <v>60</v>
      </c>
      <c r="K765" s="11">
        <v>60</v>
      </c>
      <c r="L765" s="12">
        <v>43770</v>
      </c>
      <c r="M765" t="s">
        <v>36</v>
      </c>
    </row>
    <row r="766" spans="1:13" ht="30" customHeight="1">
      <c r="A766" s="6" t="s">
        <v>1430</v>
      </c>
      <c r="B766" s="7" t="s">
        <v>1412</v>
      </c>
      <c r="C766" s="7" t="s">
        <v>1413</v>
      </c>
      <c r="D766" s="6" t="s">
        <v>18</v>
      </c>
      <c r="E766" s="7" t="s">
        <v>1405</v>
      </c>
      <c r="F766" s="13">
        <v>45998</v>
      </c>
      <c r="G766" s="9">
        <f>IFERROR(VLOOKUP(D766,Listas!$A$2:$B$20,2,FALSE()),999)</f>
        <v>1</v>
      </c>
      <c r="H766" s="9" t="str">
        <f t="shared" ca="1" si="11"/>
        <v>Revisar</v>
      </c>
      <c r="J766" s="11">
        <v>60</v>
      </c>
      <c r="K766" s="11">
        <v>60</v>
      </c>
      <c r="L766" s="12">
        <v>43770</v>
      </c>
      <c r="M766" t="s">
        <v>36</v>
      </c>
    </row>
    <row r="767" spans="1:13" ht="30" customHeight="1">
      <c r="A767" s="6" t="s">
        <v>1431</v>
      </c>
      <c r="B767" s="7" t="s">
        <v>1412</v>
      </c>
      <c r="C767" s="7" t="s">
        <v>1413</v>
      </c>
      <c r="D767" s="6" t="s">
        <v>18</v>
      </c>
      <c r="E767" s="7" t="s">
        <v>1405</v>
      </c>
      <c r="F767" s="13">
        <v>45997</v>
      </c>
      <c r="G767" s="9">
        <f>IFERROR(VLOOKUP(D767,Listas!$A$2:$B$20,2,FALSE()),999)</f>
        <v>1</v>
      </c>
      <c r="H767" s="9" t="str">
        <f t="shared" ca="1" si="11"/>
        <v>Revisar</v>
      </c>
      <c r="J767" s="11">
        <v>60</v>
      </c>
      <c r="K767" s="11">
        <v>60</v>
      </c>
      <c r="L767" s="12">
        <v>43770</v>
      </c>
      <c r="M767" t="s">
        <v>36</v>
      </c>
    </row>
    <row r="768" spans="1:13" ht="30" customHeight="1">
      <c r="A768" s="6" t="s">
        <v>1432</v>
      </c>
      <c r="B768" s="7" t="s">
        <v>1412</v>
      </c>
      <c r="C768" s="7" t="s">
        <v>1433</v>
      </c>
      <c r="D768" s="6" t="s">
        <v>18</v>
      </c>
      <c r="E768" s="7" t="s">
        <v>1405</v>
      </c>
      <c r="F768" s="13">
        <v>46009</v>
      </c>
      <c r="G768" s="9">
        <f>IFERROR(VLOOKUP(D768,Listas!$A$2:$B$20,2,FALSE()),999)</f>
        <v>1</v>
      </c>
      <c r="H768" s="9" t="str">
        <f t="shared" ca="1" si="11"/>
        <v>Revisar</v>
      </c>
      <c r="J768" s="11">
        <v>60</v>
      </c>
      <c r="K768" s="11">
        <v>36</v>
      </c>
      <c r="L768" s="12">
        <v>45170</v>
      </c>
      <c r="M768" t="s">
        <v>20</v>
      </c>
    </row>
    <row r="769" spans="1:13" ht="30" customHeight="1">
      <c r="A769" s="6" t="s">
        <v>1434</v>
      </c>
      <c r="B769" s="7" t="s">
        <v>1412</v>
      </c>
      <c r="C769" s="7" t="s">
        <v>1433</v>
      </c>
      <c r="D769" s="6" t="s">
        <v>18</v>
      </c>
      <c r="E769" s="7" t="s">
        <v>1405</v>
      </c>
      <c r="F769" s="13">
        <v>46016</v>
      </c>
      <c r="G769" s="9">
        <f>IFERROR(VLOOKUP(D769,Listas!$A$2:$B$20,2,FALSE()),999)</f>
        <v>1</v>
      </c>
      <c r="H769" s="9" t="str">
        <f t="shared" ca="1" si="11"/>
        <v>Revisar</v>
      </c>
      <c r="J769" s="11">
        <v>60</v>
      </c>
      <c r="K769" s="11">
        <v>36</v>
      </c>
      <c r="L769" s="12">
        <v>45170</v>
      </c>
      <c r="M769" t="s">
        <v>20</v>
      </c>
    </row>
    <row r="770" spans="1:13" ht="30" customHeight="1">
      <c r="A770" s="6" t="s">
        <v>1435</v>
      </c>
      <c r="B770" s="7" t="s">
        <v>1412</v>
      </c>
      <c r="C770" s="7" t="s">
        <v>1433</v>
      </c>
      <c r="D770" s="6" t="s">
        <v>18</v>
      </c>
      <c r="E770" s="7" t="s">
        <v>1405</v>
      </c>
      <c r="F770" s="13">
        <v>45992</v>
      </c>
      <c r="G770" s="9">
        <f>IFERROR(VLOOKUP(D770,Listas!$A$2:$B$20,2,FALSE()),999)</f>
        <v>1</v>
      </c>
      <c r="H770" s="9" t="str">
        <f t="shared" ca="1" si="11"/>
        <v>Revisar</v>
      </c>
      <c r="J770" s="11">
        <v>60</v>
      </c>
      <c r="K770" s="11">
        <v>36</v>
      </c>
      <c r="L770" s="12">
        <v>45170</v>
      </c>
      <c r="M770" t="s">
        <v>20</v>
      </c>
    </row>
    <row r="771" spans="1:13" ht="30" customHeight="1">
      <c r="A771" s="6" t="s">
        <v>1436</v>
      </c>
      <c r="B771" s="7" t="s">
        <v>1412</v>
      </c>
      <c r="C771" s="7" t="s">
        <v>1433</v>
      </c>
      <c r="D771" s="6" t="s">
        <v>18</v>
      </c>
      <c r="E771" s="7" t="s">
        <v>1405</v>
      </c>
      <c r="F771" s="13">
        <v>45993</v>
      </c>
      <c r="G771" s="9">
        <f>IFERROR(VLOOKUP(D771,Listas!$A$2:$B$20,2,FALSE()),999)</f>
        <v>1</v>
      </c>
      <c r="H771" s="9" t="str">
        <f t="shared" ca="1" si="11"/>
        <v>Revisar</v>
      </c>
      <c r="J771" s="11">
        <v>60</v>
      </c>
      <c r="K771" s="11">
        <v>36</v>
      </c>
      <c r="L771" s="12">
        <v>45170</v>
      </c>
      <c r="M771" t="s">
        <v>20</v>
      </c>
    </row>
    <row r="772" spans="1:13" ht="30" customHeight="1">
      <c r="A772" s="6" t="s">
        <v>1437</v>
      </c>
      <c r="B772" s="7" t="s">
        <v>1412</v>
      </c>
      <c r="C772" s="7" t="s">
        <v>1433</v>
      </c>
      <c r="D772" s="6" t="s">
        <v>18</v>
      </c>
      <c r="E772" s="7" t="s">
        <v>1405</v>
      </c>
      <c r="F772" s="13">
        <v>46010</v>
      </c>
      <c r="G772" s="9">
        <f>IFERROR(VLOOKUP(D772,Listas!$A$2:$B$20,2,FALSE()),999)</f>
        <v>1</v>
      </c>
      <c r="H772" s="9" t="str">
        <f t="shared" ca="1" si="11"/>
        <v>Revisar</v>
      </c>
      <c r="J772" s="11">
        <v>60</v>
      </c>
      <c r="K772" s="11">
        <v>36</v>
      </c>
      <c r="L772" s="12">
        <v>45170</v>
      </c>
      <c r="M772" t="s">
        <v>20</v>
      </c>
    </row>
    <row r="773" spans="1:13" ht="30" customHeight="1">
      <c r="A773" s="6" t="s">
        <v>1438</v>
      </c>
      <c r="B773" s="7" t="s">
        <v>1439</v>
      </c>
      <c r="C773" s="7" t="s">
        <v>1440</v>
      </c>
      <c r="D773" s="6" t="s">
        <v>18</v>
      </c>
      <c r="E773" s="7" t="s">
        <v>1405</v>
      </c>
      <c r="F773" s="8"/>
      <c r="G773" s="9">
        <f>IFERROR(VLOOKUP(D773,Listas!$A$2:$B$20,2,FALSE()),999)</f>
        <v>1</v>
      </c>
      <c r="H773" s="9" t="str">
        <f t="shared" ref="H773:H836" ca="1" si="12">IF(F773="","Sin fecha",IF(TODAY()-F773&gt;180,"Revisar",IF(TODAY()-F773&gt;90,"Próximo","Vigente")))</f>
        <v>Sin fecha</v>
      </c>
      <c r="J773" s="11">
        <v>60</v>
      </c>
      <c r="K773" s="11">
        <v>60</v>
      </c>
      <c r="L773" s="12">
        <v>41333</v>
      </c>
      <c r="M773" t="s">
        <v>36</v>
      </c>
    </row>
    <row r="774" spans="1:13" ht="30" customHeight="1">
      <c r="A774" s="6" t="s">
        <v>1441</v>
      </c>
      <c r="B774" s="7" t="s">
        <v>1439</v>
      </c>
      <c r="C774" s="7" t="s">
        <v>1440</v>
      </c>
      <c r="D774" s="6" t="s">
        <v>18</v>
      </c>
      <c r="E774" s="7" t="s">
        <v>1405</v>
      </c>
      <c r="F774" s="8"/>
      <c r="G774" s="9">
        <f>IFERROR(VLOOKUP(D774,Listas!$A$2:$B$20,2,FALSE()),999)</f>
        <v>1</v>
      </c>
      <c r="H774" s="9" t="str">
        <f t="shared" ca="1" si="12"/>
        <v>Sin fecha</v>
      </c>
      <c r="J774" s="11">
        <v>60</v>
      </c>
      <c r="K774" s="11">
        <v>60</v>
      </c>
      <c r="L774" s="12">
        <v>41333</v>
      </c>
      <c r="M774" t="s">
        <v>36</v>
      </c>
    </row>
    <row r="775" spans="1:13" ht="30" customHeight="1">
      <c r="A775" s="6" t="s">
        <v>1442</v>
      </c>
      <c r="B775" s="7" t="s">
        <v>1439</v>
      </c>
      <c r="C775" s="7" t="s">
        <v>1440</v>
      </c>
      <c r="D775" s="6" t="s">
        <v>18</v>
      </c>
      <c r="E775" s="7" t="s">
        <v>1405</v>
      </c>
      <c r="F775" s="8"/>
      <c r="G775" s="9">
        <f>IFERROR(VLOOKUP(D775,Listas!$A$2:$B$20,2,FALSE()),999)</f>
        <v>1</v>
      </c>
      <c r="H775" s="9" t="str">
        <f t="shared" ca="1" si="12"/>
        <v>Sin fecha</v>
      </c>
      <c r="J775" s="11">
        <v>60</v>
      </c>
      <c r="K775" s="11">
        <v>60</v>
      </c>
      <c r="L775" s="12">
        <v>41333</v>
      </c>
      <c r="M775" t="s">
        <v>36</v>
      </c>
    </row>
    <row r="776" spans="1:13" ht="30" customHeight="1">
      <c r="A776" s="6" t="s">
        <v>1443</v>
      </c>
      <c r="B776" s="7" t="s">
        <v>1439</v>
      </c>
      <c r="C776" s="7" t="s">
        <v>1440</v>
      </c>
      <c r="D776" s="6" t="s">
        <v>18</v>
      </c>
      <c r="E776" s="7" t="s">
        <v>1405</v>
      </c>
      <c r="F776" s="8"/>
      <c r="G776" s="9">
        <f>IFERROR(VLOOKUP(D776,Listas!$A$2:$B$20,2,FALSE()),999)</f>
        <v>1</v>
      </c>
      <c r="H776" s="9" t="str">
        <f t="shared" ca="1" si="12"/>
        <v>Sin fecha</v>
      </c>
      <c r="J776" s="11">
        <v>60</v>
      </c>
      <c r="K776" s="11">
        <v>60</v>
      </c>
      <c r="L776" s="12">
        <v>41333</v>
      </c>
      <c r="M776" t="s">
        <v>36</v>
      </c>
    </row>
    <row r="777" spans="1:13" ht="30" customHeight="1">
      <c r="A777" s="6" t="s">
        <v>1444</v>
      </c>
      <c r="B777" s="7" t="s">
        <v>1439</v>
      </c>
      <c r="C777" s="7" t="s">
        <v>1440</v>
      </c>
      <c r="D777" s="6" t="s">
        <v>18</v>
      </c>
      <c r="E777" s="7" t="s">
        <v>1405</v>
      </c>
      <c r="F777" s="8"/>
      <c r="G777" s="9">
        <f>IFERROR(VLOOKUP(D777,Listas!$A$2:$B$20,2,FALSE()),999)</f>
        <v>1</v>
      </c>
      <c r="H777" s="9" t="str">
        <f t="shared" ca="1" si="12"/>
        <v>Sin fecha</v>
      </c>
      <c r="J777" s="11">
        <v>60</v>
      </c>
      <c r="K777" s="11">
        <v>60</v>
      </c>
      <c r="L777" s="12">
        <v>41333</v>
      </c>
      <c r="M777" t="s">
        <v>36</v>
      </c>
    </row>
    <row r="778" spans="1:13" ht="30" customHeight="1">
      <c r="A778" s="6" t="s">
        <v>1445</v>
      </c>
      <c r="B778" s="7" t="s">
        <v>1439</v>
      </c>
      <c r="C778" s="7" t="s">
        <v>1440</v>
      </c>
      <c r="D778" s="6" t="s">
        <v>18</v>
      </c>
      <c r="E778" s="7" t="s">
        <v>1405</v>
      </c>
      <c r="F778" s="8"/>
      <c r="G778" s="9">
        <f>IFERROR(VLOOKUP(D778,Listas!$A$2:$B$20,2,FALSE()),999)</f>
        <v>1</v>
      </c>
      <c r="H778" s="9" t="str">
        <f t="shared" ca="1" si="12"/>
        <v>Sin fecha</v>
      </c>
      <c r="J778" s="11">
        <v>60</v>
      </c>
      <c r="K778" s="11">
        <v>60</v>
      </c>
      <c r="L778" s="12">
        <v>41333</v>
      </c>
      <c r="M778" t="s">
        <v>36</v>
      </c>
    </row>
    <row r="779" spans="1:13" ht="30" customHeight="1">
      <c r="A779" s="6" t="s">
        <v>1446</v>
      </c>
      <c r="B779" s="7" t="s">
        <v>1447</v>
      </c>
      <c r="C779" s="7" t="s">
        <v>1440</v>
      </c>
      <c r="D779" s="6" t="s">
        <v>18</v>
      </c>
      <c r="E779" s="7" t="s">
        <v>1405</v>
      </c>
      <c r="F779" s="8"/>
      <c r="G779" s="9">
        <f>IFERROR(VLOOKUP(D779,Listas!$A$2:$B$20,2,FALSE()),999)</f>
        <v>1</v>
      </c>
      <c r="H779" s="9" t="str">
        <f t="shared" ca="1" si="12"/>
        <v>Sin fecha</v>
      </c>
      <c r="J779" s="11">
        <v>120</v>
      </c>
      <c r="K779" s="11">
        <v>120</v>
      </c>
      <c r="L779" s="12">
        <v>41090</v>
      </c>
      <c r="M779" t="s">
        <v>36</v>
      </c>
    </row>
    <row r="780" spans="1:13" ht="30" customHeight="1">
      <c r="A780" s="6" t="s">
        <v>1448</v>
      </c>
      <c r="B780" s="7" t="s">
        <v>1449</v>
      </c>
      <c r="C780" s="7" t="s">
        <v>1440</v>
      </c>
      <c r="D780" s="6" t="s">
        <v>18</v>
      </c>
      <c r="E780" s="7" t="s">
        <v>1405</v>
      </c>
      <c r="F780" s="8"/>
      <c r="G780" s="9">
        <f>IFERROR(VLOOKUP(D780,Listas!$A$2:$B$20,2,FALSE()),999)</f>
        <v>1</v>
      </c>
      <c r="H780" s="9" t="str">
        <f t="shared" ca="1" si="12"/>
        <v>Sin fecha</v>
      </c>
      <c r="J780" s="11">
        <v>60</v>
      </c>
      <c r="K780" s="11">
        <v>60</v>
      </c>
      <c r="L780" s="12">
        <v>41333</v>
      </c>
      <c r="M780" t="s">
        <v>36</v>
      </c>
    </row>
    <row r="781" spans="1:13" ht="30" customHeight="1">
      <c r="A781" s="6" t="s">
        <v>1450</v>
      </c>
      <c r="B781" s="7" t="s">
        <v>1449</v>
      </c>
      <c r="C781" s="7" t="s">
        <v>1440</v>
      </c>
      <c r="D781" s="6" t="s">
        <v>18</v>
      </c>
      <c r="E781" s="7" t="s">
        <v>1405</v>
      </c>
      <c r="F781" s="8"/>
      <c r="G781" s="9">
        <f>IFERROR(VLOOKUP(D781,Listas!$A$2:$B$20,2,FALSE()),999)</f>
        <v>1</v>
      </c>
      <c r="H781" s="9" t="str">
        <f t="shared" ca="1" si="12"/>
        <v>Sin fecha</v>
      </c>
      <c r="J781" s="11">
        <v>60</v>
      </c>
      <c r="K781" s="11">
        <v>60</v>
      </c>
      <c r="L781" s="12">
        <v>41333</v>
      </c>
      <c r="M781" t="s">
        <v>36</v>
      </c>
    </row>
    <row r="782" spans="1:13" ht="30" customHeight="1">
      <c r="A782" s="6" t="s">
        <v>1451</v>
      </c>
      <c r="B782" s="7" t="s">
        <v>1449</v>
      </c>
      <c r="C782" s="7" t="s">
        <v>1440</v>
      </c>
      <c r="D782" s="6" t="s">
        <v>18</v>
      </c>
      <c r="E782" s="7" t="s">
        <v>1405</v>
      </c>
      <c r="F782" s="8"/>
      <c r="G782" s="9">
        <f>IFERROR(VLOOKUP(D782,Listas!$A$2:$B$20,2,FALSE()),999)</f>
        <v>1</v>
      </c>
      <c r="H782" s="9" t="str">
        <f t="shared" ca="1" si="12"/>
        <v>Sin fecha</v>
      </c>
      <c r="J782" s="11">
        <v>120</v>
      </c>
      <c r="K782" s="11">
        <v>120</v>
      </c>
      <c r="L782" s="12">
        <v>41090</v>
      </c>
      <c r="M782" t="s">
        <v>36</v>
      </c>
    </row>
    <row r="783" spans="1:13" ht="30" customHeight="1">
      <c r="A783" s="6" t="s">
        <v>1452</v>
      </c>
      <c r="B783" s="7" t="s">
        <v>1449</v>
      </c>
      <c r="C783" s="7" t="s">
        <v>1440</v>
      </c>
      <c r="D783" s="6" t="s">
        <v>18</v>
      </c>
      <c r="E783" s="7" t="s">
        <v>1405</v>
      </c>
      <c r="F783" s="8"/>
      <c r="G783" s="9">
        <f>IFERROR(VLOOKUP(D783,Listas!$A$2:$B$20,2,FALSE()),999)</f>
        <v>1</v>
      </c>
      <c r="H783" s="9" t="str">
        <f t="shared" ca="1" si="12"/>
        <v>Sin fecha</v>
      </c>
      <c r="J783" s="11">
        <v>60</v>
      </c>
      <c r="K783" s="11">
        <v>60</v>
      </c>
      <c r="L783" s="12">
        <v>41333</v>
      </c>
      <c r="M783" t="s">
        <v>36</v>
      </c>
    </row>
    <row r="784" spans="1:13" ht="30" customHeight="1">
      <c r="A784" s="6" t="s">
        <v>1453</v>
      </c>
      <c r="B784" s="7" t="s">
        <v>1449</v>
      </c>
      <c r="C784" s="7" t="s">
        <v>1440</v>
      </c>
      <c r="D784" s="6" t="s">
        <v>18</v>
      </c>
      <c r="E784" s="7" t="s">
        <v>1405</v>
      </c>
      <c r="F784" s="8"/>
      <c r="G784" s="9">
        <f>IFERROR(VLOOKUP(D784,Listas!$A$2:$B$20,2,FALSE()),999)</f>
        <v>1</v>
      </c>
      <c r="H784" s="9" t="str">
        <f t="shared" ca="1" si="12"/>
        <v>Sin fecha</v>
      </c>
      <c r="J784" s="11">
        <v>60</v>
      </c>
      <c r="K784" s="11">
        <v>60</v>
      </c>
      <c r="L784" s="12">
        <v>41333</v>
      </c>
      <c r="M784" t="s">
        <v>36</v>
      </c>
    </row>
    <row r="785" spans="1:13" ht="30" customHeight="1">
      <c r="A785" s="6" t="s">
        <v>1454</v>
      </c>
      <c r="B785" s="7" t="s">
        <v>1449</v>
      </c>
      <c r="C785" s="7" t="s">
        <v>1440</v>
      </c>
      <c r="D785" s="6" t="s">
        <v>18</v>
      </c>
      <c r="E785" s="7" t="s">
        <v>1405</v>
      </c>
      <c r="F785" s="8"/>
      <c r="G785" s="9">
        <f>IFERROR(VLOOKUP(D785,Listas!$A$2:$B$20,2,FALSE()),999)</f>
        <v>1</v>
      </c>
      <c r="H785" s="9" t="str">
        <f t="shared" ca="1" si="12"/>
        <v>Sin fecha</v>
      </c>
      <c r="J785" s="11">
        <v>120</v>
      </c>
      <c r="K785" s="11">
        <v>120</v>
      </c>
      <c r="L785" s="12">
        <v>41090</v>
      </c>
      <c r="M785" t="s">
        <v>36</v>
      </c>
    </row>
    <row r="786" spans="1:13" ht="30" customHeight="1">
      <c r="A786" s="6" t="s">
        <v>1455</v>
      </c>
      <c r="B786" s="7" t="s">
        <v>1456</v>
      </c>
      <c r="C786" s="7" t="s">
        <v>1457</v>
      </c>
      <c r="D786" s="6" t="s">
        <v>18</v>
      </c>
      <c r="E786" s="7" t="s">
        <v>1405</v>
      </c>
      <c r="F786" s="13">
        <v>46020</v>
      </c>
      <c r="G786" s="9">
        <f>IFERROR(VLOOKUP(D786,Listas!$A$2:$B$20,2,FALSE()),999)</f>
        <v>1</v>
      </c>
      <c r="H786" s="9" t="str">
        <f t="shared" ca="1" si="12"/>
        <v>Revisar</v>
      </c>
      <c r="J786" s="11">
        <v>120</v>
      </c>
      <c r="K786" s="11">
        <v>37</v>
      </c>
      <c r="L786" s="12">
        <v>45139</v>
      </c>
      <c r="M786" t="s">
        <v>20</v>
      </c>
    </row>
    <row r="787" spans="1:13" ht="30" customHeight="1">
      <c r="A787" s="6" t="s">
        <v>1458</v>
      </c>
      <c r="B787" s="7" t="s">
        <v>1412</v>
      </c>
      <c r="C787" s="7" t="s">
        <v>1413</v>
      </c>
      <c r="D787" s="6" t="s">
        <v>18</v>
      </c>
      <c r="E787" s="7" t="s">
        <v>1459</v>
      </c>
      <c r="F787" s="13">
        <v>46012</v>
      </c>
      <c r="G787" s="9">
        <f>IFERROR(VLOOKUP(D787,Listas!$A$2:$B$20,2,FALSE()),999)</f>
        <v>1</v>
      </c>
      <c r="H787" s="9" t="str">
        <f t="shared" ca="1" si="12"/>
        <v>Revisar</v>
      </c>
      <c r="J787" s="11">
        <v>60</v>
      </c>
      <c r="K787" s="11">
        <v>60</v>
      </c>
      <c r="L787" s="12">
        <v>43770</v>
      </c>
      <c r="M787" t="s">
        <v>36</v>
      </c>
    </row>
    <row r="788" spans="1:13" ht="30" customHeight="1">
      <c r="A788" s="6" t="s">
        <v>1460</v>
      </c>
      <c r="B788" s="7" t="s">
        <v>1412</v>
      </c>
      <c r="C788" s="7" t="s">
        <v>1413</v>
      </c>
      <c r="D788" s="6" t="s">
        <v>18</v>
      </c>
      <c r="E788" s="7" t="s">
        <v>1461</v>
      </c>
      <c r="F788" s="13">
        <v>46013</v>
      </c>
      <c r="G788" s="9">
        <f>IFERROR(VLOOKUP(D788,Listas!$A$2:$B$20,2,FALSE()),999)</f>
        <v>1</v>
      </c>
      <c r="H788" s="9" t="str">
        <f t="shared" ca="1" si="12"/>
        <v>Revisar</v>
      </c>
      <c r="J788" s="11">
        <v>60</v>
      </c>
      <c r="K788" s="11">
        <v>60</v>
      </c>
      <c r="L788" s="12">
        <v>43770</v>
      </c>
      <c r="M788" t="s">
        <v>36</v>
      </c>
    </row>
    <row r="789" spans="1:13" ht="45">
      <c r="A789" s="6" t="s">
        <v>1462</v>
      </c>
      <c r="B789" s="7" t="s">
        <v>1412</v>
      </c>
      <c r="C789" s="7" t="s">
        <v>1463</v>
      </c>
      <c r="D789" s="6" t="s">
        <v>18</v>
      </c>
      <c r="E789" s="7" t="s">
        <v>1464</v>
      </c>
      <c r="F789" s="13"/>
      <c r="G789" s="9">
        <f>IFERROR(VLOOKUP(D789,Listas!$A$2:$B$20,2,FALSE()),999)</f>
        <v>1</v>
      </c>
      <c r="H789" s="9" t="str">
        <f t="shared" ca="1" si="12"/>
        <v>Sin fecha</v>
      </c>
      <c r="J789" s="11">
        <v>120</v>
      </c>
      <c r="K789" s="11">
        <v>120</v>
      </c>
      <c r="L789" s="12">
        <v>39263</v>
      </c>
      <c r="M789" t="s">
        <v>36</v>
      </c>
    </row>
    <row r="790" spans="1:13" ht="45">
      <c r="A790" s="6" t="s">
        <v>1465</v>
      </c>
      <c r="B790" s="7" t="s">
        <v>1412</v>
      </c>
      <c r="C790" s="7" t="s">
        <v>1466</v>
      </c>
      <c r="D790" s="6" t="s">
        <v>1467</v>
      </c>
      <c r="E790" s="7" t="s">
        <v>1468</v>
      </c>
      <c r="F790" s="13"/>
      <c r="G790" s="9">
        <f>IFERROR(VLOOKUP(D790,Listas!$A$2:$B$20,2,FALSE()),999)</f>
        <v>2</v>
      </c>
      <c r="H790" s="9" t="str">
        <f t="shared" ca="1" si="12"/>
        <v>Sin fecha</v>
      </c>
      <c r="J790" s="11">
        <v>60</v>
      </c>
      <c r="K790" s="11">
        <v>60</v>
      </c>
      <c r="L790" s="12">
        <v>41090</v>
      </c>
      <c r="M790" t="s">
        <v>36</v>
      </c>
    </row>
    <row r="791" spans="1:13" ht="45">
      <c r="A791" s="6" t="s">
        <v>1469</v>
      </c>
      <c r="B791" s="7" t="s">
        <v>1412</v>
      </c>
      <c r="C791" s="7" t="s">
        <v>1470</v>
      </c>
      <c r="D791" s="6" t="s">
        <v>1467</v>
      </c>
      <c r="E791" s="7" t="s">
        <v>1471</v>
      </c>
      <c r="F791" s="13"/>
      <c r="G791" s="9">
        <f>IFERROR(VLOOKUP(D791,Listas!$A$2:$B$20,2,FALSE()),999)</f>
        <v>2</v>
      </c>
      <c r="H791" s="9" t="str">
        <f t="shared" ca="1" si="12"/>
        <v>Sin fecha</v>
      </c>
      <c r="J791" s="11">
        <v>60</v>
      </c>
      <c r="K791" s="11">
        <v>60</v>
      </c>
      <c r="L791" s="12">
        <v>41090</v>
      </c>
      <c r="M791" t="s">
        <v>36</v>
      </c>
    </row>
    <row r="792" spans="1:13" ht="45">
      <c r="A792" s="6" t="s">
        <v>1472</v>
      </c>
      <c r="B792" s="7" t="s">
        <v>1412</v>
      </c>
      <c r="C792" s="7" t="s">
        <v>1473</v>
      </c>
      <c r="D792" s="6" t="s">
        <v>18</v>
      </c>
      <c r="E792" s="7" t="s">
        <v>1474</v>
      </c>
      <c r="F792" s="13"/>
      <c r="G792" s="9">
        <f>IFERROR(VLOOKUP(D792,Listas!$A$2:$B$20,2,FALSE()),999)</f>
        <v>1</v>
      </c>
      <c r="H792" s="9" t="str">
        <f t="shared" ca="1" si="12"/>
        <v>Sin fecha</v>
      </c>
      <c r="J792" s="11">
        <v>60</v>
      </c>
      <c r="K792" s="11">
        <v>60</v>
      </c>
      <c r="L792" s="12">
        <v>41090</v>
      </c>
      <c r="M792" t="s">
        <v>36</v>
      </c>
    </row>
    <row r="793" spans="1:13" ht="45">
      <c r="A793" s="6" t="s">
        <v>1475</v>
      </c>
      <c r="B793" s="7" t="s">
        <v>1412</v>
      </c>
      <c r="C793" s="7" t="s">
        <v>1463</v>
      </c>
      <c r="D793" s="6" t="s">
        <v>18</v>
      </c>
      <c r="E793" s="7" t="s">
        <v>1476</v>
      </c>
      <c r="F793" s="13"/>
      <c r="G793" s="9">
        <f>IFERROR(VLOOKUP(D793,Listas!$A$2:$B$20,2,FALSE()),999)</f>
        <v>1</v>
      </c>
      <c r="H793" s="9" t="str">
        <f t="shared" ca="1" si="12"/>
        <v>Sin fecha</v>
      </c>
      <c r="J793" s="11">
        <v>60</v>
      </c>
      <c r="K793" s="11">
        <v>60</v>
      </c>
      <c r="L793" s="12">
        <v>41090</v>
      </c>
      <c r="M793" t="s">
        <v>36</v>
      </c>
    </row>
    <row r="794" spans="1:13" ht="45">
      <c r="A794" s="6" t="s">
        <v>1477</v>
      </c>
      <c r="B794" s="7" t="s">
        <v>1412</v>
      </c>
      <c r="C794" s="7" t="s">
        <v>1478</v>
      </c>
      <c r="D794" s="6" t="s">
        <v>18</v>
      </c>
      <c r="E794" s="7" t="s">
        <v>1479</v>
      </c>
      <c r="F794" s="13"/>
      <c r="G794" s="9">
        <f>IFERROR(VLOOKUP(D794,Listas!$A$2:$B$20,2,FALSE()),999)</f>
        <v>1</v>
      </c>
      <c r="H794" s="9" t="str">
        <f t="shared" ca="1" si="12"/>
        <v>Sin fecha</v>
      </c>
      <c r="J794" s="11">
        <v>60</v>
      </c>
      <c r="K794" s="11">
        <v>60</v>
      </c>
      <c r="L794" s="12">
        <v>41090</v>
      </c>
      <c r="M794" t="s">
        <v>36</v>
      </c>
    </row>
    <row r="795" spans="1:13" ht="30">
      <c r="A795" s="6" t="s">
        <v>1480</v>
      </c>
      <c r="B795" s="7" t="s">
        <v>1412</v>
      </c>
      <c r="C795" s="7" t="s">
        <v>1481</v>
      </c>
      <c r="D795" s="6" t="s">
        <v>18</v>
      </c>
      <c r="E795" s="7" t="s">
        <v>1482</v>
      </c>
      <c r="F795" s="13"/>
      <c r="G795" s="9">
        <f>IFERROR(VLOOKUP(D795,Listas!$A$2:$B$20,2,FALSE()),999)</f>
        <v>1</v>
      </c>
      <c r="H795" s="9" t="str">
        <f t="shared" ca="1" si="12"/>
        <v>Sin fecha</v>
      </c>
      <c r="J795" s="11">
        <v>60</v>
      </c>
      <c r="K795" s="11">
        <v>60</v>
      </c>
      <c r="L795" s="12">
        <v>41090</v>
      </c>
      <c r="M795" t="s">
        <v>36</v>
      </c>
    </row>
    <row r="796" spans="1:13" ht="45">
      <c r="A796" s="6" t="s">
        <v>1483</v>
      </c>
      <c r="B796" s="7" t="s">
        <v>1412</v>
      </c>
      <c r="C796" s="7" t="s">
        <v>1484</v>
      </c>
      <c r="D796" s="6" t="s">
        <v>18</v>
      </c>
      <c r="E796" s="7" t="s">
        <v>1485</v>
      </c>
      <c r="F796" s="13"/>
      <c r="G796" s="9">
        <f>IFERROR(VLOOKUP(D796,Listas!$A$2:$B$20,2,FALSE()),999)</f>
        <v>1</v>
      </c>
      <c r="H796" s="9" t="str">
        <f t="shared" ca="1" si="12"/>
        <v>Sin fecha</v>
      </c>
      <c r="J796" s="11">
        <v>60</v>
      </c>
      <c r="K796" s="11">
        <v>60</v>
      </c>
      <c r="L796" s="12">
        <v>41090</v>
      </c>
      <c r="M796" t="s">
        <v>36</v>
      </c>
    </row>
    <row r="797" spans="1:13" ht="30">
      <c r="A797" s="6" t="s">
        <v>1486</v>
      </c>
      <c r="B797" s="7" t="s">
        <v>1412</v>
      </c>
      <c r="C797" s="7" t="s">
        <v>1487</v>
      </c>
      <c r="D797" s="6" t="s">
        <v>18</v>
      </c>
      <c r="E797" s="7" t="s">
        <v>1488</v>
      </c>
      <c r="F797" s="13"/>
      <c r="G797" s="9">
        <f>IFERROR(VLOOKUP(D797,Listas!$A$2:$B$20,2,FALSE()),999)</f>
        <v>1</v>
      </c>
      <c r="H797" s="9" t="str">
        <f t="shared" ca="1" si="12"/>
        <v>Sin fecha</v>
      </c>
      <c r="J797" s="11">
        <v>60</v>
      </c>
      <c r="K797" s="11">
        <v>60</v>
      </c>
      <c r="L797" s="12">
        <v>41090</v>
      </c>
      <c r="M797" t="s">
        <v>36</v>
      </c>
    </row>
    <row r="798" spans="1:13" ht="30">
      <c r="A798" s="6" t="s">
        <v>1489</v>
      </c>
      <c r="B798" s="7" t="s">
        <v>1490</v>
      </c>
      <c r="C798" s="7" t="s">
        <v>1491</v>
      </c>
      <c r="D798" s="6" t="s">
        <v>18</v>
      </c>
      <c r="E798" s="7" t="s">
        <v>1492</v>
      </c>
      <c r="F798" s="13"/>
      <c r="G798" s="9">
        <f>IFERROR(VLOOKUP(D798,Listas!$A$2:$B$20,2,FALSE()),999)</f>
        <v>1</v>
      </c>
      <c r="H798" s="9" t="str">
        <f t="shared" ca="1" si="12"/>
        <v>Sin fecha</v>
      </c>
      <c r="J798" s="11">
        <v>60</v>
      </c>
      <c r="K798" s="11">
        <v>60</v>
      </c>
      <c r="L798" s="12">
        <v>41090</v>
      </c>
      <c r="M798" t="s">
        <v>36</v>
      </c>
    </row>
    <row r="799" spans="1:13" ht="30">
      <c r="A799" s="6" t="s">
        <v>1493</v>
      </c>
      <c r="B799" s="7" t="s">
        <v>1412</v>
      </c>
      <c r="C799" s="7" t="s">
        <v>1494</v>
      </c>
      <c r="D799" s="6" t="s">
        <v>18</v>
      </c>
      <c r="E799" s="7" t="s">
        <v>1464</v>
      </c>
      <c r="F799" s="13"/>
      <c r="G799" s="9">
        <f>IFERROR(VLOOKUP(D799,Listas!$A$2:$B$20,2,FALSE()),999)</f>
        <v>1</v>
      </c>
      <c r="H799" s="9" t="str">
        <f t="shared" ca="1" si="12"/>
        <v>Sin fecha</v>
      </c>
      <c r="J799" s="11">
        <v>60</v>
      </c>
      <c r="K799" s="11">
        <v>60</v>
      </c>
      <c r="L799" s="12">
        <v>41090</v>
      </c>
      <c r="M799" t="s">
        <v>36</v>
      </c>
    </row>
    <row r="800" spans="1:13" ht="30">
      <c r="A800" s="6" t="s">
        <v>1495</v>
      </c>
      <c r="B800" s="7" t="s">
        <v>1412</v>
      </c>
      <c r="C800" s="7" t="s">
        <v>1496</v>
      </c>
      <c r="D800" s="6" t="s">
        <v>1467</v>
      </c>
      <c r="E800" s="7" t="s">
        <v>1468</v>
      </c>
      <c r="F800" s="13"/>
      <c r="G800" s="9">
        <f>IFERROR(VLOOKUP(D800,Listas!$A$2:$B$20,2,FALSE()),999)</f>
        <v>2</v>
      </c>
      <c r="H800" s="9" t="str">
        <f t="shared" ca="1" si="12"/>
        <v>Sin fecha</v>
      </c>
      <c r="J800" s="11">
        <v>60</v>
      </c>
      <c r="K800" s="11">
        <v>60</v>
      </c>
      <c r="L800" s="12">
        <v>41090</v>
      </c>
      <c r="M800" t="s">
        <v>36</v>
      </c>
    </row>
    <row r="801" spans="1:13" ht="30">
      <c r="A801" s="6" t="s">
        <v>1497</v>
      </c>
      <c r="B801" s="7" t="s">
        <v>1490</v>
      </c>
      <c r="C801" s="7" t="s">
        <v>1498</v>
      </c>
      <c r="D801" s="6" t="s">
        <v>18</v>
      </c>
      <c r="E801" s="7" t="s">
        <v>1482</v>
      </c>
      <c r="F801" s="13"/>
      <c r="G801" s="9">
        <f>IFERROR(VLOOKUP(D801,Listas!$A$2:$B$20,2,FALSE()),999)</f>
        <v>1</v>
      </c>
      <c r="H801" s="9" t="str">
        <f t="shared" ca="1" si="12"/>
        <v>Sin fecha</v>
      </c>
      <c r="J801" s="11">
        <v>60</v>
      </c>
      <c r="K801" s="11">
        <v>60</v>
      </c>
      <c r="L801" s="12">
        <v>41090</v>
      </c>
      <c r="M801" t="s">
        <v>36</v>
      </c>
    </row>
    <row r="802" spans="1:13" ht="30">
      <c r="A802" s="6" t="s">
        <v>1499</v>
      </c>
      <c r="B802" s="7" t="s">
        <v>1490</v>
      </c>
      <c r="C802" s="7" t="s">
        <v>1498</v>
      </c>
      <c r="D802" s="6" t="s">
        <v>18</v>
      </c>
      <c r="E802" s="7" t="s">
        <v>1482</v>
      </c>
      <c r="F802" s="13"/>
      <c r="G802" s="9">
        <f>IFERROR(VLOOKUP(D802,Listas!$A$2:$B$20,2,FALSE()),999)</f>
        <v>1</v>
      </c>
      <c r="H802" s="9" t="str">
        <f t="shared" ca="1" si="12"/>
        <v>Sin fecha</v>
      </c>
      <c r="J802" s="11">
        <v>60</v>
      </c>
      <c r="K802" s="11">
        <v>60</v>
      </c>
      <c r="L802" s="12">
        <v>41090</v>
      </c>
      <c r="M802" t="s">
        <v>36</v>
      </c>
    </row>
    <row r="803" spans="1:13" ht="30">
      <c r="A803" s="6" t="s">
        <v>1500</v>
      </c>
      <c r="B803" s="7" t="s">
        <v>1412</v>
      </c>
      <c r="C803" s="7" t="s">
        <v>1501</v>
      </c>
      <c r="D803" s="6" t="s">
        <v>18</v>
      </c>
      <c r="E803" s="7" t="s">
        <v>1482</v>
      </c>
      <c r="F803" s="13"/>
      <c r="G803" s="9">
        <f>IFERROR(VLOOKUP(D803,Listas!$A$2:$B$20,2,FALSE()),999)</f>
        <v>1</v>
      </c>
      <c r="H803" s="9" t="str">
        <f t="shared" ca="1" si="12"/>
        <v>Sin fecha</v>
      </c>
      <c r="J803" s="11">
        <v>60</v>
      </c>
      <c r="K803" s="11">
        <v>60</v>
      </c>
      <c r="L803" s="12">
        <v>41090</v>
      </c>
      <c r="M803" t="s">
        <v>36</v>
      </c>
    </row>
    <row r="804" spans="1:13" ht="45">
      <c r="A804" s="6" t="s">
        <v>1502</v>
      </c>
      <c r="B804" s="7" t="s">
        <v>1412</v>
      </c>
      <c r="C804" s="7" t="s">
        <v>1503</v>
      </c>
      <c r="D804" s="6" t="s">
        <v>18</v>
      </c>
      <c r="E804" s="7" t="s">
        <v>1504</v>
      </c>
      <c r="F804" s="13"/>
      <c r="G804" s="9">
        <f>IFERROR(VLOOKUP(D804,Listas!$A$2:$B$20,2,FALSE()),999)</f>
        <v>1</v>
      </c>
      <c r="H804" s="9" t="str">
        <f t="shared" ca="1" si="12"/>
        <v>Sin fecha</v>
      </c>
      <c r="J804" s="11">
        <v>60</v>
      </c>
      <c r="K804" s="11">
        <v>60</v>
      </c>
      <c r="L804" s="12">
        <v>41090</v>
      </c>
      <c r="M804" t="s">
        <v>36</v>
      </c>
    </row>
    <row r="805" spans="1:13" ht="45">
      <c r="A805" s="6" t="s">
        <v>1505</v>
      </c>
      <c r="B805" s="7" t="s">
        <v>1412</v>
      </c>
      <c r="C805" s="7" t="s">
        <v>1506</v>
      </c>
      <c r="D805" s="6" t="s">
        <v>18</v>
      </c>
      <c r="E805" s="7" t="s">
        <v>1474</v>
      </c>
      <c r="F805" s="13"/>
      <c r="G805" s="9">
        <f>IFERROR(VLOOKUP(D805,Listas!$A$2:$B$20,2,FALSE()),999)</f>
        <v>1</v>
      </c>
      <c r="H805" s="9" t="str">
        <f t="shared" ca="1" si="12"/>
        <v>Sin fecha</v>
      </c>
      <c r="J805" s="11">
        <v>60</v>
      </c>
      <c r="K805" s="11">
        <v>60</v>
      </c>
      <c r="L805" s="12">
        <v>41090</v>
      </c>
      <c r="M805" t="s">
        <v>36</v>
      </c>
    </row>
    <row r="806" spans="1:13" ht="30">
      <c r="A806" s="6" t="s">
        <v>1507</v>
      </c>
      <c r="B806" s="7" t="s">
        <v>1490</v>
      </c>
      <c r="C806" s="7" t="s">
        <v>1498</v>
      </c>
      <c r="D806" s="6" t="s">
        <v>18</v>
      </c>
      <c r="E806" s="7" t="s">
        <v>1482</v>
      </c>
      <c r="F806" s="13"/>
      <c r="G806" s="9">
        <f>IFERROR(VLOOKUP(D806,Listas!$A$2:$B$20,2,FALSE()),999)</f>
        <v>1</v>
      </c>
      <c r="H806" s="9" t="str">
        <f t="shared" ca="1" si="12"/>
        <v>Sin fecha</v>
      </c>
      <c r="J806" s="11">
        <v>60</v>
      </c>
      <c r="K806" s="11">
        <v>60</v>
      </c>
      <c r="L806" s="12">
        <v>41455</v>
      </c>
      <c r="M806" t="s">
        <v>36</v>
      </c>
    </row>
    <row r="807" spans="1:13" ht="30">
      <c r="A807" s="6" t="s">
        <v>1508</v>
      </c>
      <c r="B807" s="7" t="s">
        <v>1490</v>
      </c>
      <c r="C807" s="7" t="s">
        <v>1498</v>
      </c>
      <c r="D807" s="6" t="s">
        <v>18</v>
      </c>
      <c r="E807" s="7" t="s">
        <v>1482</v>
      </c>
      <c r="F807" s="13"/>
      <c r="G807" s="9">
        <f>IFERROR(VLOOKUP(D807,Listas!$A$2:$B$20,2,FALSE()),999)</f>
        <v>1</v>
      </c>
      <c r="H807" s="9" t="str">
        <f t="shared" ca="1" si="12"/>
        <v>Sin fecha</v>
      </c>
      <c r="J807" s="11">
        <v>60</v>
      </c>
      <c r="K807" s="11">
        <v>60</v>
      </c>
      <c r="L807" s="12">
        <v>41455</v>
      </c>
      <c r="M807" t="s">
        <v>36</v>
      </c>
    </row>
    <row r="808" spans="1:13" ht="30">
      <c r="A808" s="6" t="s">
        <v>1509</v>
      </c>
      <c r="B808" s="7" t="s">
        <v>1490</v>
      </c>
      <c r="C808" s="7" t="s">
        <v>1498</v>
      </c>
      <c r="D808" s="6" t="s">
        <v>18</v>
      </c>
      <c r="E808" s="7" t="s">
        <v>1482</v>
      </c>
      <c r="F808" s="13"/>
      <c r="G808" s="9">
        <f>IFERROR(VLOOKUP(D808,Listas!$A$2:$B$20,2,FALSE()),999)</f>
        <v>1</v>
      </c>
      <c r="H808" s="9" t="str">
        <f t="shared" ca="1" si="12"/>
        <v>Sin fecha</v>
      </c>
      <c r="J808" s="11">
        <v>60</v>
      </c>
      <c r="K808" s="11">
        <v>60</v>
      </c>
      <c r="L808" s="12">
        <v>41455</v>
      </c>
      <c r="M808" t="s">
        <v>36</v>
      </c>
    </row>
    <row r="809" spans="1:13" ht="30">
      <c r="A809" s="6" t="s">
        <v>1510</v>
      </c>
      <c r="B809" s="7" t="s">
        <v>1511</v>
      </c>
      <c r="C809" s="7" t="s">
        <v>1512</v>
      </c>
      <c r="D809" s="6" t="s">
        <v>1467</v>
      </c>
      <c r="E809" s="7" t="s">
        <v>1513</v>
      </c>
      <c r="F809" s="13"/>
      <c r="G809" s="9">
        <f>IFERROR(VLOOKUP(D809,Listas!$A$2:$B$20,2,FALSE()),999)</f>
        <v>2</v>
      </c>
      <c r="H809" s="9" t="str">
        <f t="shared" ca="1" si="12"/>
        <v>Sin fecha</v>
      </c>
      <c r="J809" s="11">
        <v>60</v>
      </c>
      <c r="K809" s="11">
        <v>60</v>
      </c>
      <c r="L809" s="12">
        <v>41455</v>
      </c>
      <c r="M809" t="s">
        <v>36</v>
      </c>
    </row>
    <row r="810" spans="1:13" ht="45">
      <c r="A810" s="6" t="s">
        <v>1514</v>
      </c>
      <c r="B810" s="7" t="s">
        <v>1412</v>
      </c>
      <c r="C810" s="7" t="s">
        <v>1515</v>
      </c>
      <c r="D810" s="6" t="s">
        <v>18</v>
      </c>
      <c r="E810" s="7" t="s">
        <v>1476</v>
      </c>
      <c r="F810" s="13"/>
      <c r="G810" s="9">
        <f>IFERROR(VLOOKUP(D810,Listas!$A$2:$B$20,2,FALSE()),999)</f>
        <v>1</v>
      </c>
      <c r="H810" s="9" t="str">
        <f t="shared" ca="1" si="12"/>
        <v>Sin fecha</v>
      </c>
      <c r="J810" s="11">
        <v>60</v>
      </c>
      <c r="K810" s="11">
        <v>60</v>
      </c>
      <c r="L810" s="12">
        <v>41455</v>
      </c>
      <c r="M810" t="s">
        <v>36</v>
      </c>
    </row>
    <row r="811" spans="1:13" ht="45">
      <c r="A811" s="6" t="s">
        <v>1516</v>
      </c>
      <c r="B811" s="7" t="s">
        <v>1412</v>
      </c>
      <c r="C811" s="7" t="s">
        <v>1517</v>
      </c>
      <c r="D811" s="6" t="s">
        <v>18</v>
      </c>
      <c r="E811" s="7" t="s">
        <v>1476</v>
      </c>
      <c r="F811" s="13"/>
      <c r="G811" s="9">
        <f>IFERROR(VLOOKUP(D811,Listas!$A$2:$B$20,2,FALSE()),999)</f>
        <v>1</v>
      </c>
      <c r="H811" s="9" t="str">
        <f t="shared" ca="1" si="12"/>
        <v>Sin fecha</v>
      </c>
      <c r="J811" s="11">
        <v>60</v>
      </c>
      <c r="K811" s="11">
        <v>60</v>
      </c>
      <c r="L811" s="12">
        <v>41455</v>
      </c>
      <c r="M811" t="s">
        <v>36</v>
      </c>
    </row>
    <row r="812" spans="1:13" ht="30">
      <c r="A812" s="6" t="s">
        <v>1518</v>
      </c>
      <c r="B812" s="7" t="s">
        <v>1412</v>
      </c>
      <c r="C812" s="7" t="s">
        <v>1494</v>
      </c>
      <c r="D812" s="6" t="s">
        <v>18</v>
      </c>
      <c r="E812" s="7" t="s">
        <v>1519</v>
      </c>
      <c r="F812" s="13"/>
      <c r="G812" s="9">
        <f>IFERROR(VLOOKUP(D812,Listas!$A$2:$B$20,2,FALSE()),999)</f>
        <v>1</v>
      </c>
      <c r="H812" s="9" t="str">
        <f t="shared" ca="1" si="12"/>
        <v>Sin fecha</v>
      </c>
      <c r="J812" s="11">
        <v>60</v>
      </c>
      <c r="K812" s="11">
        <v>60</v>
      </c>
      <c r="L812" s="12">
        <v>41455</v>
      </c>
      <c r="M812" t="s">
        <v>36</v>
      </c>
    </row>
    <row r="813" spans="1:13" ht="30">
      <c r="A813" s="6" t="s">
        <v>1520</v>
      </c>
      <c r="B813" s="7" t="s">
        <v>1412</v>
      </c>
      <c r="C813" s="7" t="s">
        <v>228</v>
      </c>
      <c r="D813" s="6" t="s">
        <v>18</v>
      </c>
      <c r="E813" s="7" t="s">
        <v>1521</v>
      </c>
      <c r="F813" s="13"/>
      <c r="G813" s="9">
        <f>IFERROR(VLOOKUP(D813,Listas!$A$2:$B$20,2,FALSE()),999)</f>
        <v>1</v>
      </c>
      <c r="H813" s="9" t="str">
        <f t="shared" ca="1" si="12"/>
        <v>Sin fecha</v>
      </c>
      <c r="J813" s="11">
        <v>60</v>
      </c>
      <c r="K813" s="11">
        <v>60</v>
      </c>
      <c r="L813" s="12">
        <v>41455</v>
      </c>
      <c r="M813" t="s">
        <v>36</v>
      </c>
    </row>
    <row r="814" spans="1:13" ht="45">
      <c r="A814" s="6" t="s">
        <v>1522</v>
      </c>
      <c r="B814" s="7" t="s">
        <v>1412</v>
      </c>
      <c r="C814" s="7" t="s">
        <v>1523</v>
      </c>
      <c r="D814" s="6" t="s">
        <v>18</v>
      </c>
      <c r="E814" s="7" t="s">
        <v>1476</v>
      </c>
      <c r="F814" s="13"/>
      <c r="G814" s="9">
        <f>IFERROR(VLOOKUP(D814,Listas!$A$2:$B$20,2,FALSE()),999)</f>
        <v>1</v>
      </c>
      <c r="H814" s="9" t="str">
        <f t="shared" ca="1" si="12"/>
        <v>Sin fecha</v>
      </c>
      <c r="J814" s="11">
        <v>60</v>
      </c>
      <c r="K814" s="11">
        <v>60</v>
      </c>
      <c r="L814" s="12">
        <v>41455</v>
      </c>
      <c r="M814" t="s">
        <v>36</v>
      </c>
    </row>
    <row r="815" spans="1:13" ht="30">
      <c r="A815" s="6" t="s">
        <v>1524</v>
      </c>
      <c r="B815" s="7" t="s">
        <v>1412</v>
      </c>
      <c r="C815" s="7" t="s">
        <v>228</v>
      </c>
      <c r="D815" s="6" t="s">
        <v>18</v>
      </c>
      <c r="E815" s="7" t="s">
        <v>1525</v>
      </c>
      <c r="F815" s="13"/>
      <c r="G815" s="9">
        <f>IFERROR(VLOOKUP(D815,Listas!$A$2:$B$20,2,FALSE()),999)</f>
        <v>1</v>
      </c>
      <c r="H815" s="9" t="str">
        <f t="shared" ca="1" si="12"/>
        <v>Sin fecha</v>
      </c>
      <c r="J815" s="11">
        <v>60</v>
      </c>
      <c r="K815" s="11">
        <v>60</v>
      </c>
      <c r="L815" s="12">
        <v>41455</v>
      </c>
      <c r="M815" t="s">
        <v>36</v>
      </c>
    </row>
    <row r="816" spans="1:13" ht="30">
      <c r="A816" s="6" t="s">
        <v>1526</v>
      </c>
      <c r="B816" s="7" t="s">
        <v>1412</v>
      </c>
      <c r="C816" s="7" t="s">
        <v>1527</v>
      </c>
      <c r="D816" s="6" t="s">
        <v>18</v>
      </c>
      <c r="E816" s="7" t="s">
        <v>1525</v>
      </c>
      <c r="F816" s="13"/>
      <c r="G816" s="9">
        <f>IFERROR(VLOOKUP(D816,Listas!$A$2:$B$20,2,FALSE()),999)</f>
        <v>1</v>
      </c>
      <c r="H816" s="9" t="str">
        <f t="shared" ca="1" si="12"/>
        <v>Sin fecha</v>
      </c>
      <c r="J816" s="11">
        <v>60</v>
      </c>
      <c r="K816" s="11">
        <v>60</v>
      </c>
      <c r="L816" s="12">
        <v>41455</v>
      </c>
      <c r="M816" t="s">
        <v>36</v>
      </c>
    </row>
    <row r="817" spans="1:13" ht="30">
      <c r="A817" s="6" t="s">
        <v>1528</v>
      </c>
      <c r="B817" s="7" t="s">
        <v>1412</v>
      </c>
      <c r="C817" s="7" t="s">
        <v>1498</v>
      </c>
      <c r="D817" s="6" t="s">
        <v>18</v>
      </c>
      <c r="E817" s="7" t="s">
        <v>1482</v>
      </c>
      <c r="F817" s="13"/>
      <c r="G817" s="9">
        <f>IFERROR(VLOOKUP(D817,Listas!$A$2:$B$20,2,FALSE()),999)</f>
        <v>1</v>
      </c>
      <c r="H817" s="9" t="str">
        <f t="shared" ca="1" si="12"/>
        <v>Sin fecha</v>
      </c>
      <c r="J817" s="11">
        <v>60</v>
      </c>
      <c r="K817" s="11">
        <v>60</v>
      </c>
      <c r="L817" s="12">
        <v>41455</v>
      </c>
      <c r="M817" t="s">
        <v>36</v>
      </c>
    </row>
    <row r="818" spans="1:13" ht="30">
      <c r="A818" s="6" t="s">
        <v>1529</v>
      </c>
      <c r="B818" s="7" t="s">
        <v>1511</v>
      </c>
      <c r="C818" s="7" t="s">
        <v>1530</v>
      </c>
      <c r="D818" s="6" t="s">
        <v>18</v>
      </c>
      <c r="E818" s="7" t="s">
        <v>1525</v>
      </c>
      <c r="F818" s="13"/>
      <c r="G818" s="9">
        <f>IFERROR(VLOOKUP(D818,Listas!$A$2:$B$20,2,FALSE()),999)</f>
        <v>1</v>
      </c>
      <c r="H818" s="9" t="str">
        <f t="shared" ca="1" si="12"/>
        <v>Sin fecha</v>
      </c>
      <c r="J818" s="11">
        <v>60</v>
      </c>
      <c r="K818" s="11">
        <v>60</v>
      </c>
      <c r="L818" s="12">
        <v>41455</v>
      </c>
      <c r="M818" t="s">
        <v>36</v>
      </c>
    </row>
    <row r="819" spans="1:13" ht="45">
      <c r="A819" s="6" t="s">
        <v>1531</v>
      </c>
      <c r="B819" s="7" t="s">
        <v>1412</v>
      </c>
      <c r="C819" s="7" t="s">
        <v>1532</v>
      </c>
      <c r="D819" s="6" t="s">
        <v>18</v>
      </c>
      <c r="E819" s="7" t="s">
        <v>1525</v>
      </c>
      <c r="F819" s="13"/>
      <c r="G819" s="9">
        <f>IFERROR(VLOOKUP(D819,Listas!$A$2:$B$20,2,FALSE()),999)</f>
        <v>1</v>
      </c>
      <c r="H819" s="9" t="str">
        <f t="shared" ca="1" si="12"/>
        <v>Sin fecha</v>
      </c>
      <c r="J819" s="11">
        <v>60</v>
      </c>
      <c r="K819" s="11">
        <v>60</v>
      </c>
      <c r="L819" s="12">
        <v>41455</v>
      </c>
      <c r="M819" t="s">
        <v>36</v>
      </c>
    </row>
    <row r="820" spans="1:13" ht="30">
      <c r="A820" s="6" t="s">
        <v>1533</v>
      </c>
      <c r="B820" s="7" t="s">
        <v>1511</v>
      </c>
      <c r="C820" s="7" t="s">
        <v>1534</v>
      </c>
      <c r="D820" s="6" t="s">
        <v>18</v>
      </c>
      <c r="E820" s="7" t="s">
        <v>1535</v>
      </c>
      <c r="F820" s="13"/>
      <c r="G820" s="9">
        <f>IFERROR(VLOOKUP(D820,Listas!$A$2:$B$20,2,FALSE()),999)</f>
        <v>1</v>
      </c>
      <c r="H820" s="9" t="str">
        <f t="shared" ca="1" si="12"/>
        <v>Sin fecha</v>
      </c>
      <c r="J820" s="11">
        <v>60</v>
      </c>
      <c r="K820" s="11">
        <v>60</v>
      </c>
      <c r="L820" s="12">
        <v>41455</v>
      </c>
      <c r="M820" t="s">
        <v>36</v>
      </c>
    </row>
    <row r="821" spans="1:13" ht="45">
      <c r="A821" s="6" t="s">
        <v>1536</v>
      </c>
      <c r="B821" s="7" t="s">
        <v>1412</v>
      </c>
      <c r="C821" s="7" t="s">
        <v>1537</v>
      </c>
      <c r="D821" s="6" t="s">
        <v>18</v>
      </c>
      <c r="E821" s="7" t="s">
        <v>1464</v>
      </c>
      <c r="F821" s="13"/>
      <c r="G821" s="9">
        <f>IFERROR(VLOOKUP(D821,Listas!$A$2:$B$20,2,FALSE()),999)</f>
        <v>1</v>
      </c>
      <c r="H821" s="9" t="str">
        <f t="shared" ca="1" si="12"/>
        <v>Sin fecha</v>
      </c>
      <c r="J821" s="11">
        <v>60</v>
      </c>
      <c r="K821" s="11">
        <v>60</v>
      </c>
      <c r="L821" s="12">
        <v>41455</v>
      </c>
      <c r="M821" t="s">
        <v>36</v>
      </c>
    </row>
    <row r="822" spans="1:13" ht="45">
      <c r="A822" s="6" t="s">
        <v>1538</v>
      </c>
      <c r="B822" s="7" t="s">
        <v>1412</v>
      </c>
      <c r="C822" s="7" t="s">
        <v>1539</v>
      </c>
      <c r="D822" s="6" t="s">
        <v>1467</v>
      </c>
      <c r="E822" s="7" t="s">
        <v>1513</v>
      </c>
      <c r="F822" s="13"/>
      <c r="G822" s="9">
        <f>IFERROR(VLOOKUP(D822,Listas!$A$2:$B$20,2,FALSE()),999)</f>
        <v>2</v>
      </c>
      <c r="H822" s="9" t="str">
        <f t="shared" ca="1" si="12"/>
        <v>Sin fecha</v>
      </c>
      <c r="J822" s="11">
        <v>60</v>
      </c>
      <c r="K822" s="11">
        <v>60</v>
      </c>
      <c r="L822" s="12">
        <v>41455</v>
      </c>
      <c r="M822" t="s">
        <v>36</v>
      </c>
    </row>
    <row r="823" spans="1:13" ht="30">
      <c r="A823" s="6" t="s">
        <v>1540</v>
      </c>
      <c r="B823" s="7" t="s">
        <v>1412</v>
      </c>
      <c r="C823" s="7" t="s">
        <v>1494</v>
      </c>
      <c r="D823" s="6" t="s">
        <v>18</v>
      </c>
      <c r="E823" s="7" t="s">
        <v>1476</v>
      </c>
      <c r="F823" s="13"/>
      <c r="G823" s="9">
        <f>IFERROR(VLOOKUP(D823,Listas!$A$2:$B$20,2,FALSE()),999)</f>
        <v>1</v>
      </c>
      <c r="H823" s="9" t="str">
        <f t="shared" ca="1" si="12"/>
        <v>Sin fecha</v>
      </c>
      <c r="J823" s="11">
        <v>60</v>
      </c>
      <c r="K823" s="11">
        <v>60</v>
      </c>
      <c r="L823" s="12">
        <v>41455</v>
      </c>
      <c r="M823" t="s">
        <v>36</v>
      </c>
    </row>
    <row r="824" spans="1:13" ht="30">
      <c r="A824" s="6" t="s">
        <v>1541</v>
      </c>
      <c r="B824" s="7" t="s">
        <v>1412</v>
      </c>
      <c r="C824" s="7" t="s">
        <v>1494</v>
      </c>
      <c r="D824" s="6" t="s">
        <v>18</v>
      </c>
      <c r="E824" s="7" t="s">
        <v>1476</v>
      </c>
      <c r="F824" s="13"/>
      <c r="G824" s="9">
        <f>IFERROR(VLOOKUP(D824,Listas!$A$2:$B$20,2,FALSE()),999)</f>
        <v>1</v>
      </c>
      <c r="H824" s="9" t="str">
        <f t="shared" ca="1" si="12"/>
        <v>Sin fecha</v>
      </c>
      <c r="J824" s="11">
        <v>60</v>
      </c>
      <c r="K824" s="11">
        <v>60</v>
      </c>
      <c r="L824" s="12">
        <v>41455</v>
      </c>
      <c r="M824" t="s">
        <v>36</v>
      </c>
    </row>
    <row r="825" spans="1:13" ht="30">
      <c r="A825" s="6" t="s">
        <v>1542</v>
      </c>
      <c r="B825" s="7" t="s">
        <v>1412</v>
      </c>
      <c r="C825" s="7" t="s">
        <v>1494</v>
      </c>
      <c r="D825" s="6" t="s">
        <v>18</v>
      </c>
      <c r="E825" s="7" t="s">
        <v>1543</v>
      </c>
      <c r="F825" s="13"/>
      <c r="G825" s="9">
        <f>IFERROR(VLOOKUP(D825,Listas!$A$2:$B$20,2,FALSE()),999)</f>
        <v>1</v>
      </c>
      <c r="H825" s="9" t="str">
        <f t="shared" ca="1" si="12"/>
        <v>Sin fecha</v>
      </c>
      <c r="J825" s="11">
        <v>60</v>
      </c>
      <c r="K825" s="11">
        <v>60</v>
      </c>
      <c r="L825" s="12">
        <v>41455</v>
      </c>
      <c r="M825" t="s">
        <v>36</v>
      </c>
    </row>
    <row r="826" spans="1:13" ht="30">
      <c r="A826" s="6" t="s">
        <v>1544</v>
      </c>
      <c r="B826" s="7" t="s">
        <v>1412</v>
      </c>
      <c r="C826" s="7" t="s">
        <v>1494</v>
      </c>
      <c r="D826" s="6" t="s">
        <v>18</v>
      </c>
      <c r="E826" s="7" t="s">
        <v>1464</v>
      </c>
      <c r="F826" s="13"/>
      <c r="G826" s="9">
        <f>IFERROR(VLOOKUP(D826,Listas!$A$2:$B$20,2,FALSE()),999)</f>
        <v>1</v>
      </c>
      <c r="H826" s="9" t="str">
        <f t="shared" ca="1" si="12"/>
        <v>Sin fecha</v>
      </c>
      <c r="J826" s="11">
        <v>60</v>
      </c>
      <c r="K826" s="11">
        <v>60</v>
      </c>
      <c r="L826" s="12">
        <v>41455</v>
      </c>
      <c r="M826" t="s">
        <v>36</v>
      </c>
    </row>
    <row r="827" spans="1:13" ht="30">
      <c r="A827" s="6" t="s">
        <v>1545</v>
      </c>
      <c r="B827" s="7" t="s">
        <v>1412</v>
      </c>
      <c r="C827" s="7" t="s">
        <v>1546</v>
      </c>
      <c r="D827" s="6" t="s">
        <v>18</v>
      </c>
      <c r="E827" s="7" t="s">
        <v>1547</v>
      </c>
      <c r="F827" s="13"/>
      <c r="G827" s="9">
        <f>IFERROR(VLOOKUP(D827,Listas!$A$2:$B$20,2,FALSE()),999)</f>
        <v>1</v>
      </c>
      <c r="H827" s="9" t="str">
        <f t="shared" ca="1" si="12"/>
        <v>Sin fecha</v>
      </c>
      <c r="J827" s="11">
        <v>60</v>
      </c>
      <c r="K827" s="11">
        <v>60</v>
      </c>
      <c r="L827" s="12">
        <v>41455</v>
      </c>
      <c r="M827" t="s">
        <v>36</v>
      </c>
    </row>
    <row r="828" spans="1:13" ht="30">
      <c r="A828" s="6" t="s">
        <v>1548</v>
      </c>
      <c r="B828" s="7" t="s">
        <v>1412</v>
      </c>
      <c r="C828" s="7" t="s">
        <v>1549</v>
      </c>
      <c r="D828" s="6" t="s">
        <v>1467</v>
      </c>
      <c r="E828" s="7" t="s">
        <v>1513</v>
      </c>
      <c r="F828" s="13"/>
      <c r="G828" s="9">
        <f>IFERROR(VLOOKUP(D828,Listas!$A$2:$B$20,2,FALSE()),999)</f>
        <v>2</v>
      </c>
      <c r="H828" s="9" t="str">
        <f t="shared" ca="1" si="12"/>
        <v>Sin fecha</v>
      </c>
      <c r="J828" s="11">
        <v>60</v>
      </c>
      <c r="K828" s="11">
        <v>60</v>
      </c>
      <c r="L828" s="12">
        <v>41455</v>
      </c>
      <c r="M828" t="s">
        <v>36</v>
      </c>
    </row>
    <row r="829" spans="1:13" ht="30">
      <c r="A829" s="6" t="s">
        <v>1550</v>
      </c>
      <c r="B829" s="7" t="s">
        <v>1412</v>
      </c>
      <c r="C829" s="7" t="s">
        <v>1487</v>
      </c>
      <c r="D829" s="6" t="s">
        <v>18</v>
      </c>
      <c r="E829" s="7" t="s">
        <v>1474</v>
      </c>
      <c r="F829" s="13"/>
      <c r="G829" s="9">
        <f>IFERROR(VLOOKUP(D829,Listas!$A$2:$B$20,2,FALSE()),999)</f>
        <v>1</v>
      </c>
      <c r="H829" s="9" t="str">
        <f t="shared" ca="1" si="12"/>
        <v>Sin fecha</v>
      </c>
      <c r="J829" s="11">
        <v>60</v>
      </c>
      <c r="K829" s="11">
        <v>60</v>
      </c>
      <c r="L829" s="12">
        <v>41455</v>
      </c>
      <c r="M829" t="s">
        <v>36</v>
      </c>
    </row>
    <row r="830" spans="1:13" ht="30">
      <c r="A830" s="6" t="s">
        <v>1551</v>
      </c>
      <c r="B830" s="7" t="s">
        <v>1412</v>
      </c>
      <c r="C830" s="7" t="s">
        <v>1494</v>
      </c>
      <c r="D830" s="6" t="s">
        <v>18</v>
      </c>
      <c r="E830" s="7" t="s">
        <v>1464</v>
      </c>
      <c r="F830" s="13"/>
      <c r="G830" s="9">
        <f>IFERROR(VLOOKUP(D830,Listas!$A$2:$B$20,2,FALSE()),999)</f>
        <v>1</v>
      </c>
      <c r="H830" s="9" t="str">
        <f t="shared" ca="1" si="12"/>
        <v>Sin fecha</v>
      </c>
      <c r="J830" s="11">
        <v>60</v>
      </c>
      <c r="K830" s="11">
        <v>60</v>
      </c>
      <c r="L830" s="12">
        <v>41455</v>
      </c>
      <c r="M830" t="s">
        <v>36</v>
      </c>
    </row>
    <row r="831" spans="1:13" ht="45">
      <c r="A831" s="6" t="s">
        <v>1552</v>
      </c>
      <c r="B831" s="7" t="s">
        <v>1412</v>
      </c>
      <c r="C831" s="7" t="s">
        <v>1553</v>
      </c>
      <c r="D831" s="6" t="s">
        <v>1467</v>
      </c>
      <c r="E831" s="7" t="s">
        <v>1488</v>
      </c>
      <c r="F831" s="13"/>
      <c r="G831" s="9">
        <f>IFERROR(VLOOKUP(D831,Listas!$A$2:$B$20,2,FALSE()),999)</f>
        <v>2</v>
      </c>
      <c r="H831" s="9" t="str">
        <f t="shared" ca="1" si="12"/>
        <v>Sin fecha</v>
      </c>
      <c r="J831" s="11">
        <v>60</v>
      </c>
      <c r="K831" s="11">
        <v>60</v>
      </c>
      <c r="L831" s="12">
        <v>41455</v>
      </c>
      <c r="M831" t="s">
        <v>36</v>
      </c>
    </row>
    <row r="832" spans="1:13" ht="45">
      <c r="A832" s="6" t="s">
        <v>1554</v>
      </c>
      <c r="B832" s="7" t="s">
        <v>1412</v>
      </c>
      <c r="C832" s="7" t="s">
        <v>1555</v>
      </c>
      <c r="D832" s="6" t="s">
        <v>18</v>
      </c>
      <c r="E832" s="7" t="s">
        <v>1556</v>
      </c>
      <c r="F832" s="13"/>
      <c r="G832" s="9">
        <f>IFERROR(VLOOKUP(D832,Listas!$A$2:$B$20,2,FALSE()),999)</f>
        <v>1</v>
      </c>
      <c r="H832" s="9" t="str">
        <f t="shared" ca="1" si="12"/>
        <v>Sin fecha</v>
      </c>
      <c r="J832" s="11">
        <v>60</v>
      </c>
      <c r="K832" s="11">
        <v>60</v>
      </c>
      <c r="L832" s="12">
        <v>41455</v>
      </c>
      <c r="M832" t="s">
        <v>36</v>
      </c>
    </row>
    <row r="833" spans="1:13" ht="45">
      <c r="A833" s="6" t="s">
        <v>1557</v>
      </c>
      <c r="B833" s="7" t="s">
        <v>1412</v>
      </c>
      <c r="C833" s="7" t="s">
        <v>1558</v>
      </c>
      <c r="D833" s="6" t="s">
        <v>18</v>
      </c>
      <c r="E833" s="7" t="s">
        <v>1504</v>
      </c>
      <c r="F833" s="13"/>
      <c r="G833" s="9">
        <f>IFERROR(VLOOKUP(D833,Listas!$A$2:$B$20,2,FALSE()),999)</f>
        <v>1</v>
      </c>
      <c r="H833" s="9" t="str">
        <f t="shared" ca="1" si="12"/>
        <v>Sin fecha</v>
      </c>
      <c r="J833" s="11">
        <v>60</v>
      </c>
      <c r="K833" s="11">
        <v>60</v>
      </c>
      <c r="L833" s="12">
        <v>41455</v>
      </c>
      <c r="M833" t="s">
        <v>36</v>
      </c>
    </row>
    <row r="834" spans="1:13" ht="45">
      <c r="A834" s="6" t="s">
        <v>1559</v>
      </c>
      <c r="B834" s="7" t="s">
        <v>1412</v>
      </c>
      <c r="C834" s="7" t="s">
        <v>1560</v>
      </c>
      <c r="D834" s="6" t="s">
        <v>18</v>
      </c>
      <c r="E834" s="7" t="s">
        <v>1561</v>
      </c>
      <c r="F834" s="13"/>
      <c r="G834" s="9">
        <f>IFERROR(VLOOKUP(D834,Listas!$A$2:$B$20,2,FALSE()),999)</f>
        <v>1</v>
      </c>
      <c r="H834" s="9" t="str">
        <f t="shared" ca="1" si="12"/>
        <v>Sin fecha</v>
      </c>
      <c r="J834" s="11">
        <v>60</v>
      </c>
      <c r="K834" s="11">
        <v>60</v>
      </c>
      <c r="L834" s="12">
        <v>41455</v>
      </c>
      <c r="M834" t="s">
        <v>36</v>
      </c>
    </row>
    <row r="835" spans="1:13" ht="45">
      <c r="A835" s="6" t="s">
        <v>1562</v>
      </c>
      <c r="B835" s="7" t="s">
        <v>1412</v>
      </c>
      <c r="C835" s="7" t="s">
        <v>1555</v>
      </c>
      <c r="D835" s="6" t="s">
        <v>1467</v>
      </c>
      <c r="E835" s="7" t="s">
        <v>1468</v>
      </c>
      <c r="F835" s="13"/>
      <c r="G835" s="9">
        <f>IFERROR(VLOOKUP(D835,Listas!$A$2:$B$20,2,FALSE()),999)</f>
        <v>2</v>
      </c>
      <c r="H835" s="9" t="str">
        <f t="shared" ca="1" si="12"/>
        <v>Sin fecha</v>
      </c>
      <c r="J835" s="11">
        <v>60</v>
      </c>
      <c r="K835" s="11">
        <v>60</v>
      </c>
      <c r="L835" s="12">
        <v>41455</v>
      </c>
      <c r="M835" t="s">
        <v>36</v>
      </c>
    </row>
    <row r="836" spans="1:13" ht="45">
      <c r="A836" s="6" t="s">
        <v>1563</v>
      </c>
      <c r="B836" s="7" t="s">
        <v>1412</v>
      </c>
      <c r="C836" s="7" t="s">
        <v>1555</v>
      </c>
      <c r="D836" s="6" t="s">
        <v>1467</v>
      </c>
      <c r="E836" s="7" t="s">
        <v>1564</v>
      </c>
      <c r="F836" s="13"/>
      <c r="G836" s="9">
        <f>IFERROR(VLOOKUP(D836,Listas!$A$2:$B$20,2,FALSE()),999)</f>
        <v>2</v>
      </c>
      <c r="H836" s="9" t="str">
        <f t="shared" ca="1" si="12"/>
        <v>Sin fecha</v>
      </c>
      <c r="J836" s="11">
        <v>60</v>
      </c>
      <c r="K836" s="11">
        <v>60</v>
      </c>
      <c r="L836" s="12">
        <v>41455</v>
      </c>
      <c r="M836" t="s">
        <v>36</v>
      </c>
    </row>
    <row r="837" spans="1:13" ht="30">
      <c r="A837" s="6" t="s">
        <v>1565</v>
      </c>
      <c r="B837" s="7" t="s">
        <v>1412</v>
      </c>
      <c r="C837" s="7" t="s">
        <v>1566</v>
      </c>
      <c r="D837" s="6" t="s">
        <v>1467</v>
      </c>
      <c r="E837" s="7" t="s">
        <v>1567</v>
      </c>
      <c r="F837" s="13"/>
      <c r="G837" s="9">
        <f>IFERROR(VLOOKUP(D837,Listas!$A$2:$B$20,2,FALSE()),999)</f>
        <v>2</v>
      </c>
      <c r="H837" s="9" t="str">
        <f t="shared" ref="H837:H900" ca="1" si="13">IF(F837="","Sin fecha",IF(TODAY()-F837&gt;180,"Revisar",IF(TODAY()-F837&gt;90,"Próximo","Vigente")))</f>
        <v>Sin fecha</v>
      </c>
      <c r="J837" s="11">
        <v>60</v>
      </c>
      <c r="K837" s="11">
        <v>60</v>
      </c>
      <c r="L837" s="12">
        <v>41455</v>
      </c>
      <c r="M837" t="s">
        <v>36</v>
      </c>
    </row>
    <row r="838" spans="1:13" ht="45">
      <c r="A838" s="6" t="s">
        <v>1568</v>
      </c>
      <c r="B838" s="7" t="s">
        <v>1511</v>
      </c>
      <c r="C838" s="7" t="s">
        <v>1569</v>
      </c>
      <c r="D838" s="6" t="s">
        <v>18</v>
      </c>
      <c r="E838" s="7" t="s">
        <v>1485</v>
      </c>
      <c r="F838" s="13"/>
      <c r="G838" s="9">
        <f>IFERROR(VLOOKUP(D838,Listas!$A$2:$B$20,2,FALSE()),999)</f>
        <v>1</v>
      </c>
      <c r="H838" s="9" t="str">
        <f t="shared" ca="1" si="13"/>
        <v>Sin fecha</v>
      </c>
      <c r="J838" s="11">
        <v>60</v>
      </c>
      <c r="K838" s="11">
        <v>60</v>
      </c>
      <c r="L838" s="12">
        <v>41455</v>
      </c>
      <c r="M838" t="s">
        <v>36</v>
      </c>
    </row>
    <row r="839" spans="1:13" ht="30">
      <c r="A839" s="6" t="s">
        <v>1570</v>
      </c>
      <c r="B839" s="7" t="s">
        <v>1511</v>
      </c>
      <c r="C839" s="7" t="s">
        <v>1571</v>
      </c>
      <c r="D839" s="6" t="s">
        <v>18</v>
      </c>
      <c r="E839" s="7" t="s">
        <v>1504</v>
      </c>
      <c r="F839" s="13"/>
      <c r="G839" s="9">
        <f>IFERROR(VLOOKUP(D839,Listas!$A$2:$B$20,2,FALSE()),999)</f>
        <v>1</v>
      </c>
      <c r="H839" s="9" t="str">
        <f t="shared" ca="1" si="13"/>
        <v>Sin fecha</v>
      </c>
      <c r="J839" s="11">
        <v>60</v>
      </c>
      <c r="K839" s="11">
        <v>60</v>
      </c>
      <c r="L839" s="12">
        <v>41455</v>
      </c>
      <c r="M839" t="s">
        <v>36</v>
      </c>
    </row>
    <row r="840" spans="1:13" ht="30">
      <c r="A840" s="6" t="s">
        <v>1572</v>
      </c>
      <c r="B840" s="7" t="s">
        <v>1511</v>
      </c>
      <c r="C840" s="7" t="s">
        <v>1573</v>
      </c>
      <c r="D840" s="6" t="s">
        <v>1467</v>
      </c>
      <c r="E840" s="7" t="s">
        <v>1513</v>
      </c>
      <c r="F840" s="13"/>
      <c r="G840" s="9">
        <f>IFERROR(VLOOKUP(D840,Listas!$A$2:$B$20,2,FALSE()),999)</f>
        <v>2</v>
      </c>
      <c r="H840" s="9" t="str">
        <f t="shared" ca="1" si="13"/>
        <v>Sin fecha</v>
      </c>
      <c r="J840" s="11">
        <v>60</v>
      </c>
      <c r="K840" s="11">
        <v>60</v>
      </c>
      <c r="L840" s="12">
        <v>41090</v>
      </c>
      <c r="M840" t="s">
        <v>36</v>
      </c>
    </row>
    <row r="841" spans="1:13" ht="30">
      <c r="A841" s="6" t="s">
        <v>1574</v>
      </c>
      <c r="B841" s="7" t="s">
        <v>1511</v>
      </c>
      <c r="C841" s="7" t="s">
        <v>1575</v>
      </c>
      <c r="D841" s="6" t="s">
        <v>18</v>
      </c>
      <c r="E841" s="7" t="s">
        <v>1525</v>
      </c>
      <c r="F841" s="13"/>
      <c r="G841" s="9">
        <f>IFERROR(VLOOKUP(D841,Listas!$A$2:$B$20,2,FALSE()),999)</f>
        <v>1</v>
      </c>
      <c r="H841" s="9" t="str">
        <f t="shared" ca="1" si="13"/>
        <v>Sin fecha</v>
      </c>
      <c r="J841" s="11">
        <v>60</v>
      </c>
      <c r="K841" s="11">
        <v>60</v>
      </c>
      <c r="L841" s="12">
        <v>41455</v>
      </c>
      <c r="M841" t="s">
        <v>36</v>
      </c>
    </row>
    <row r="842" spans="1:13" ht="30">
      <c r="A842" s="6" t="s">
        <v>1576</v>
      </c>
      <c r="B842" s="7" t="s">
        <v>1412</v>
      </c>
      <c r="C842" s="7" t="s">
        <v>1577</v>
      </c>
      <c r="D842" s="6" t="s">
        <v>1467</v>
      </c>
      <c r="E842" s="7" t="s">
        <v>1504</v>
      </c>
      <c r="F842" s="13"/>
      <c r="G842" s="9">
        <f>IFERROR(VLOOKUP(D842,Listas!$A$2:$B$20,2,FALSE()),999)</f>
        <v>2</v>
      </c>
      <c r="H842" s="9" t="str">
        <f t="shared" ca="1" si="13"/>
        <v>Sin fecha</v>
      </c>
      <c r="J842" s="11">
        <v>60</v>
      </c>
      <c r="K842" s="11">
        <v>60</v>
      </c>
      <c r="L842" s="12">
        <v>41455</v>
      </c>
      <c r="M842" t="s">
        <v>36</v>
      </c>
    </row>
    <row r="843" spans="1:13" ht="45">
      <c r="A843" s="6" t="s">
        <v>1578</v>
      </c>
      <c r="B843" s="7" t="s">
        <v>1511</v>
      </c>
      <c r="C843" s="7" t="s">
        <v>1579</v>
      </c>
      <c r="D843" s="6" t="s">
        <v>1467</v>
      </c>
      <c r="E843" s="7" t="s">
        <v>1580</v>
      </c>
      <c r="F843" s="13"/>
      <c r="G843" s="9">
        <f>IFERROR(VLOOKUP(D843,Listas!$A$2:$B$20,2,FALSE()),999)</f>
        <v>2</v>
      </c>
      <c r="H843" s="9" t="str">
        <f t="shared" ca="1" si="13"/>
        <v>Sin fecha</v>
      </c>
      <c r="J843" s="11">
        <v>60</v>
      </c>
      <c r="K843" s="11">
        <v>60</v>
      </c>
      <c r="L843" s="12">
        <v>42400</v>
      </c>
      <c r="M843" t="s">
        <v>36</v>
      </c>
    </row>
    <row r="844" spans="1:13" ht="30">
      <c r="A844" s="6" t="s">
        <v>1581</v>
      </c>
      <c r="B844" s="7" t="s">
        <v>1412</v>
      </c>
      <c r="C844" s="7" t="s">
        <v>228</v>
      </c>
      <c r="D844" s="6" t="s">
        <v>1467</v>
      </c>
      <c r="E844" s="7" t="s">
        <v>1513</v>
      </c>
      <c r="F844" s="13"/>
      <c r="G844" s="9">
        <f>IFERROR(VLOOKUP(D844,Listas!$A$2:$B$20,2,FALSE()),999)</f>
        <v>2</v>
      </c>
      <c r="H844" s="9" t="str">
        <f t="shared" ca="1" si="13"/>
        <v>Sin fecha</v>
      </c>
      <c r="J844" s="11">
        <v>60</v>
      </c>
      <c r="K844" s="11">
        <v>60</v>
      </c>
      <c r="L844" s="12">
        <v>41455</v>
      </c>
      <c r="M844" t="s">
        <v>36</v>
      </c>
    </row>
    <row r="845" spans="1:13" ht="30">
      <c r="A845" s="6" t="s">
        <v>1582</v>
      </c>
      <c r="B845" s="7" t="s">
        <v>1412</v>
      </c>
      <c r="C845" s="7" t="s">
        <v>228</v>
      </c>
      <c r="D845" s="6" t="s">
        <v>1467</v>
      </c>
      <c r="E845" s="7" t="s">
        <v>1583</v>
      </c>
      <c r="F845" s="13"/>
      <c r="G845" s="9">
        <f>IFERROR(VLOOKUP(D845,Listas!$A$2:$B$20,2,FALSE()),999)</f>
        <v>2</v>
      </c>
      <c r="H845" s="9" t="str">
        <f t="shared" ca="1" si="13"/>
        <v>Sin fecha</v>
      </c>
      <c r="J845" s="11">
        <v>60</v>
      </c>
      <c r="K845" s="11">
        <v>60</v>
      </c>
      <c r="L845" s="12">
        <v>41455</v>
      </c>
      <c r="M845" t="s">
        <v>36</v>
      </c>
    </row>
    <row r="846" spans="1:13" ht="30">
      <c r="A846" s="6" t="s">
        <v>1584</v>
      </c>
      <c r="B846" s="7" t="s">
        <v>1412</v>
      </c>
      <c r="C846" s="7" t="s">
        <v>1585</v>
      </c>
      <c r="D846" s="6" t="s">
        <v>1467</v>
      </c>
      <c r="E846" s="7" t="s">
        <v>1586</v>
      </c>
      <c r="F846" s="13"/>
      <c r="G846" s="9">
        <f>IFERROR(VLOOKUP(D846,Listas!$A$2:$B$20,2,FALSE()),999)</f>
        <v>2</v>
      </c>
      <c r="H846" s="9" t="str">
        <f t="shared" ca="1" si="13"/>
        <v>Sin fecha</v>
      </c>
      <c r="J846" s="11">
        <v>60</v>
      </c>
      <c r="K846" s="11">
        <v>60</v>
      </c>
      <c r="L846" s="12">
        <v>41455</v>
      </c>
      <c r="M846" t="s">
        <v>36</v>
      </c>
    </row>
    <row r="847" spans="1:13" ht="30">
      <c r="A847" s="6" t="s">
        <v>1587</v>
      </c>
      <c r="B847" s="7" t="s">
        <v>1412</v>
      </c>
      <c r="C847" s="7" t="s">
        <v>228</v>
      </c>
      <c r="D847" s="6" t="s">
        <v>1467</v>
      </c>
      <c r="E847" s="7" t="s">
        <v>1513</v>
      </c>
      <c r="F847" s="13"/>
      <c r="G847" s="9">
        <f>IFERROR(VLOOKUP(D847,Listas!$A$2:$B$20,2,FALSE()),999)</f>
        <v>2</v>
      </c>
      <c r="H847" s="9" t="str">
        <f t="shared" ca="1" si="13"/>
        <v>Sin fecha</v>
      </c>
      <c r="J847" s="11">
        <v>60</v>
      </c>
      <c r="K847" s="11">
        <v>60</v>
      </c>
      <c r="L847" s="12">
        <v>41455</v>
      </c>
      <c r="M847" t="s">
        <v>36</v>
      </c>
    </row>
    <row r="848" spans="1:13" ht="30">
      <c r="A848" s="6" t="s">
        <v>1588</v>
      </c>
      <c r="B848" s="7" t="s">
        <v>1412</v>
      </c>
      <c r="C848" s="7" t="s">
        <v>228</v>
      </c>
      <c r="D848" s="6" t="s">
        <v>1467</v>
      </c>
      <c r="E848" s="7" t="s">
        <v>1535</v>
      </c>
      <c r="F848" s="13"/>
      <c r="G848" s="9">
        <f>IFERROR(VLOOKUP(D848,Listas!$A$2:$B$20,2,FALSE()),999)</f>
        <v>2</v>
      </c>
      <c r="H848" s="9" t="str">
        <f t="shared" ca="1" si="13"/>
        <v>Sin fecha</v>
      </c>
      <c r="J848" s="11">
        <v>60</v>
      </c>
      <c r="K848" s="11">
        <v>60</v>
      </c>
      <c r="L848" s="12">
        <v>41455</v>
      </c>
      <c r="M848" t="s">
        <v>36</v>
      </c>
    </row>
    <row r="849" spans="1:13" ht="30">
      <c r="A849" s="6" t="s">
        <v>1589</v>
      </c>
      <c r="B849" s="7" t="s">
        <v>1412</v>
      </c>
      <c r="C849" s="7" t="s">
        <v>228</v>
      </c>
      <c r="D849" s="6" t="s">
        <v>1467</v>
      </c>
      <c r="E849" s="7" t="s">
        <v>1535</v>
      </c>
      <c r="F849" s="13"/>
      <c r="G849" s="9">
        <f>IFERROR(VLOOKUP(D849,Listas!$A$2:$B$20,2,FALSE()),999)</f>
        <v>2</v>
      </c>
      <c r="H849" s="9" t="str">
        <f t="shared" ca="1" si="13"/>
        <v>Sin fecha</v>
      </c>
      <c r="J849" s="11">
        <v>60</v>
      </c>
      <c r="K849" s="11">
        <v>60</v>
      </c>
      <c r="L849" s="12">
        <v>41455</v>
      </c>
      <c r="M849" t="s">
        <v>36</v>
      </c>
    </row>
    <row r="850" spans="1:13" ht="30">
      <c r="A850" s="6" t="s">
        <v>1590</v>
      </c>
      <c r="B850" s="7" t="s">
        <v>1412</v>
      </c>
      <c r="C850" s="7" t="s">
        <v>228</v>
      </c>
      <c r="D850" s="6" t="s">
        <v>1467</v>
      </c>
      <c r="E850" s="7" t="s">
        <v>1513</v>
      </c>
      <c r="F850" s="13"/>
      <c r="G850" s="9">
        <f>IFERROR(VLOOKUP(D850,Listas!$A$2:$B$20,2,FALSE()),999)</f>
        <v>2</v>
      </c>
      <c r="H850" s="9" t="str">
        <f t="shared" ca="1" si="13"/>
        <v>Sin fecha</v>
      </c>
      <c r="J850" s="11">
        <v>60</v>
      </c>
      <c r="K850" s="11">
        <v>60</v>
      </c>
      <c r="L850" s="12">
        <v>41455</v>
      </c>
      <c r="M850" t="s">
        <v>36</v>
      </c>
    </row>
    <row r="851" spans="1:13" ht="30">
      <c r="A851" s="6" t="s">
        <v>1591</v>
      </c>
      <c r="B851" s="7" t="s">
        <v>1412</v>
      </c>
      <c r="C851" s="7" t="s">
        <v>228</v>
      </c>
      <c r="D851" s="6" t="s">
        <v>18</v>
      </c>
      <c r="E851" s="7" t="s">
        <v>1592</v>
      </c>
      <c r="F851" s="13"/>
      <c r="G851" s="9">
        <f>IFERROR(VLOOKUP(D851,Listas!$A$2:$B$20,2,FALSE()),999)</f>
        <v>1</v>
      </c>
      <c r="H851" s="9" t="str">
        <f t="shared" ca="1" si="13"/>
        <v>Sin fecha</v>
      </c>
      <c r="J851" s="11">
        <v>60</v>
      </c>
      <c r="K851" s="11">
        <v>60</v>
      </c>
      <c r="L851" s="12">
        <v>41455</v>
      </c>
      <c r="M851" t="s">
        <v>36</v>
      </c>
    </row>
    <row r="852" spans="1:13" ht="30">
      <c r="A852" s="6" t="s">
        <v>1593</v>
      </c>
      <c r="B852" s="7" t="s">
        <v>1412</v>
      </c>
      <c r="C852" s="7" t="s">
        <v>228</v>
      </c>
      <c r="D852" s="6" t="s">
        <v>1467</v>
      </c>
      <c r="E852" s="7" t="s">
        <v>1594</v>
      </c>
      <c r="F852" s="13"/>
      <c r="G852" s="9">
        <f>IFERROR(VLOOKUP(D852,Listas!$A$2:$B$20,2,FALSE()),999)</f>
        <v>2</v>
      </c>
      <c r="H852" s="9" t="str">
        <f t="shared" ca="1" si="13"/>
        <v>Sin fecha</v>
      </c>
      <c r="J852" s="11">
        <v>60</v>
      </c>
      <c r="K852" s="11">
        <v>60</v>
      </c>
      <c r="L852" s="12">
        <v>41455</v>
      </c>
      <c r="M852" t="s">
        <v>36</v>
      </c>
    </row>
    <row r="853" spans="1:13" ht="30">
      <c r="A853" s="6" t="s">
        <v>1595</v>
      </c>
      <c r="B853" s="7" t="s">
        <v>1412</v>
      </c>
      <c r="C853" s="7" t="s">
        <v>228</v>
      </c>
      <c r="D853" s="6" t="s">
        <v>18</v>
      </c>
      <c r="E853" s="7" t="s">
        <v>1504</v>
      </c>
      <c r="F853" s="13"/>
      <c r="G853" s="9">
        <f>IFERROR(VLOOKUP(D853,Listas!$A$2:$B$20,2,FALSE()),999)</f>
        <v>1</v>
      </c>
      <c r="H853" s="9" t="str">
        <f t="shared" ca="1" si="13"/>
        <v>Sin fecha</v>
      </c>
      <c r="J853" s="11">
        <v>60</v>
      </c>
      <c r="K853" s="11">
        <v>60</v>
      </c>
      <c r="L853" s="12">
        <v>41455</v>
      </c>
      <c r="M853" t="s">
        <v>36</v>
      </c>
    </row>
    <row r="854" spans="1:13" ht="30">
      <c r="A854" s="6" t="s">
        <v>1596</v>
      </c>
      <c r="B854" s="7" t="s">
        <v>1412</v>
      </c>
      <c r="C854" s="7" t="s">
        <v>228</v>
      </c>
      <c r="D854" s="6" t="s">
        <v>18</v>
      </c>
      <c r="E854" s="7" t="s">
        <v>1504</v>
      </c>
      <c r="F854" s="13"/>
      <c r="G854" s="9">
        <f>IFERROR(VLOOKUP(D854,Listas!$A$2:$B$20,2,FALSE()),999)</f>
        <v>1</v>
      </c>
      <c r="H854" s="9" t="str">
        <f t="shared" ca="1" si="13"/>
        <v>Sin fecha</v>
      </c>
      <c r="J854" s="11">
        <v>60</v>
      </c>
      <c r="K854" s="11">
        <v>60</v>
      </c>
      <c r="L854" s="12">
        <v>41455</v>
      </c>
      <c r="M854" t="s">
        <v>36</v>
      </c>
    </row>
    <row r="855" spans="1:13" ht="30">
      <c r="A855" s="6" t="s">
        <v>1597</v>
      </c>
      <c r="B855" s="7" t="s">
        <v>1412</v>
      </c>
      <c r="C855" s="7" t="s">
        <v>228</v>
      </c>
      <c r="D855" s="6" t="s">
        <v>18</v>
      </c>
      <c r="E855" s="7" t="s">
        <v>1592</v>
      </c>
      <c r="F855" s="13"/>
      <c r="G855" s="9">
        <f>IFERROR(VLOOKUP(D855,Listas!$A$2:$B$20,2,FALSE()),999)</f>
        <v>1</v>
      </c>
      <c r="H855" s="9" t="str">
        <f t="shared" ca="1" si="13"/>
        <v>Sin fecha</v>
      </c>
      <c r="J855" s="11">
        <v>60</v>
      </c>
      <c r="K855" s="11">
        <v>60</v>
      </c>
      <c r="L855" s="12">
        <v>41455</v>
      </c>
      <c r="M855" t="s">
        <v>36</v>
      </c>
    </row>
    <row r="856" spans="1:13" ht="30">
      <c r="A856" s="6" t="s">
        <v>1598</v>
      </c>
      <c r="B856" s="7" t="s">
        <v>1412</v>
      </c>
      <c r="C856" s="7" t="s">
        <v>228</v>
      </c>
      <c r="D856" s="6" t="s">
        <v>18</v>
      </c>
      <c r="E856" s="7" t="s">
        <v>1599</v>
      </c>
      <c r="F856" s="13"/>
      <c r="G856" s="9">
        <f>IFERROR(VLOOKUP(D856,Listas!$A$2:$B$20,2,FALSE()),999)</f>
        <v>1</v>
      </c>
      <c r="H856" s="9" t="str">
        <f t="shared" ca="1" si="13"/>
        <v>Sin fecha</v>
      </c>
      <c r="J856" s="11">
        <v>60</v>
      </c>
      <c r="K856" s="11">
        <v>60</v>
      </c>
      <c r="L856" s="12">
        <v>41455</v>
      </c>
      <c r="M856" t="s">
        <v>36</v>
      </c>
    </row>
    <row r="857" spans="1:13" ht="30">
      <c r="A857" s="6" t="s">
        <v>1600</v>
      </c>
      <c r="B857" s="7" t="s">
        <v>1412</v>
      </c>
      <c r="C857" s="7" t="s">
        <v>228</v>
      </c>
      <c r="D857" s="6" t="s">
        <v>18</v>
      </c>
      <c r="E857" s="7" t="s">
        <v>1601</v>
      </c>
      <c r="F857" s="13"/>
      <c r="G857" s="9">
        <f>IFERROR(VLOOKUP(D857,Listas!$A$2:$B$20,2,FALSE()),999)</f>
        <v>1</v>
      </c>
      <c r="H857" s="9" t="str">
        <f t="shared" ca="1" si="13"/>
        <v>Sin fecha</v>
      </c>
      <c r="J857" s="11">
        <v>60</v>
      </c>
      <c r="K857" s="11">
        <v>60</v>
      </c>
      <c r="L857" s="12">
        <v>41455</v>
      </c>
      <c r="M857" t="s">
        <v>36</v>
      </c>
    </row>
    <row r="858" spans="1:13" ht="30">
      <c r="A858" s="6" t="s">
        <v>1602</v>
      </c>
      <c r="B858" s="7" t="s">
        <v>1412</v>
      </c>
      <c r="C858" s="7" t="s">
        <v>228</v>
      </c>
      <c r="D858" s="6" t="s">
        <v>18</v>
      </c>
      <c r="E858" s="7" t="s">
        <v>1603</v>
      </c>
      <c r="F858" s="13"/>
      <c r="G858" s="9">
        <f>IFERROR(VLOOKUP(D858,Listas!$A$2:$B$20,2,FALSE()),999)</f>
        <v>1</v>
      </c>
      <c r="H858" s="9" t="str">
        <f t="shared" ca="1" si="13"/>
        <v>Sin fecha</v>
      </c>
      <c r="J858" s="11">
        <v>60</v>
      </c>
      <c r="K858" s="11">
        <v>60</v>
      </c>
      <c r="L858" s="12">
        <v>41455</v>
      </c>
      <c r="M858" t="s">
        <v>36</v>
      </c>
    </row>
    <row r="859" spans="1:13" ht="30">
      <c r="A859" s="6" t="s">
        <v>1604</v>
      </c>
      <c r="B859" s="7" t="s">
        <v>1412</v>
      </c>
      <c r="C859" s="7" t="s">
        <v>228</v>
      </c>
      <c r="D859" s="6" t="s">
        <v>1467</v>
      </c>
      <c r="E859" s="7" t="s">
        <v>1605</v>
      </c>
      <c r="F859" s="13"/>
      <c r="G859" s="9">
        <f>IFERROR(VLOOKUP(D859,Listas!$A$2:$B$20,2,FALSE()),999)</f>
        <v>2</v>
      </c>
      <c r="H859" s="9" t="str">
        <f t="shared" ca="1" si="13"/>
        <v>Sin fecha</v>
      </c>
      <c r="J859" s="11">
        <v>60</v>
      </c>
      <c r="K859" s="11">
        <v>60</v>
      </c>
      <c r="L859" s="12">
        <v>41455</v>
      </c>
      <c r="M859" t="s">
        <v>36</v>
      </c>
    </row>
    <row r="860" spans="1:13" ht="30">
      <c r="A860" s="6" t="s">
        <v>1606</v>
      </c>
      <c r="B860" s="7" t="s">
        <v>1412</v>
      </c>
      <c r="C860" s="7" t="s">
        <v>228</v>
      </c>
      <c r="D860" s="6" t="s">
        <v>18</v>
      </c>
      <c r="E860" s="7" t="s">
        <v>1488</v>
      </c>
      <c r="F860" s="13"/>
      <c r="G860" s="9">
        <f>IFERROR(VLOOKUP(D860,Listas!$A$2:$B$20,2,FALSE()),999)</f>
        <v>1</v>
      </c>
      <c r="H860" s="9" t="str">
        <f t="shared" ca="1" si="13"/>
        <v>Sin fecha</v>
      </c>
      <c r="J860" s="11">
        <v>60</v>
      </c>
      <c r="K860" s="11">
        <v>60</v>
      </c>
      <c r="L860" s="12">
        <v>41455</v>
      </c>
      <c r="M860" t="s">
        <v>36</v>
      </c>
    </row>
    <row r="861" spans="1:13" ht="30">
      <c r="A861" s="6" t="s">
        <v>1607</v>
      </c>
      <c r="B861" s="7" t="s">
        <v>1412</v>
      </c>
      <c r="C861" s="7" t="s">
        <v>228</v>
      </c>
      <c r="D861" s="6" t="s">
        <v>1467</v>
      </c>
      <c r="E861" s="7" t="s">
        <v>1605</v>
      </c>
      <c r="F861" s="13"/>
      <c r="G861" s="9">
        <f>IFERROR(VLOOKUP(D861,Listas!$A$2:$B$20,2,FALSE()),999)</f>
        <v>2</v>
      </c>
      <c r="H861" s="9" t="str">
        <f t="shared" ca="1" si="13"/>
        <v>Sin fecha</v>
      </c>
      <c r="J861" s="11">
        <v>60</v>
      </c>
      <c r="K861" s="11">
        <v>60</v>
      </c>
      <c r="L861" s="12">
        <v>41455</v>
      </c>
      <c r="M861" t="s">
        <v>36</v>
      </c>
    </row>
    <row r="862" spans="1:13" ht="30">
      <c r="A862" s="6" t="s">
        <v>1608</v>
      </c>
      <c r="B862" s="7" t="s">
        <v>1412</v>
      </c>
      <c r="C862" s="7" t="s">
        <v>228</v>
      </c>
      <c r="D862" s="6" t="s">
        <v>1467</v>
      </c>
      <c r="E862" s="7" t="s">
        <v>1543</v>
      </c>
      <c r="F862" s="13"/>
      <c r="G862" s="9">
        <f>IFERROR(VLOOKUP(D862,Listas!$A$2:$B$20,2,FALSE()),999)</f>
        <v>2</v>
      </c>
      <c r="H862" s="9" t="str">
        <f t="shared" ca="1" si="13"/>
        <v>Sin fecha</v>
      </c>
      <c r="J862" s="11">
        <v>60</v>
      </c>
      <c r="K862" s="11">
        <v>60</v>
      </c>
      <c r="L862" s="12">
        <v>41455</v>
      </c>
      <c r="M862" t="s">
        <v>36</v>
      </c>
    </row>
    <row r="863" spans="1:13" ht="30">
      <c r="A863" s="6" t="s">
        <v>1609</v>
      </c>
      <c r="B863" s="7" t="s">
        <v>1412</v>
      </c>
      <c r="C863" s="7" t="s">
        <v>228</v>
      </c>
      <c r="D863" s="6" t="s">
        <v>18</v>
      </c>
      <c r="E863" s="7" t="s">
        <v>1603</v>
      </c>
      <c r="F863" s="13"/>
      <c r="G863" s="9">
        <f>IFERROR(VLOOKUP(D863,Listas!$A$2:$B$20,2,FALSE()),999)</f>
        <v>1</v>
      </c>
      <c r="H863" s="9" t="str">
        <f t="shared" ca="1" si="13"/>
        <v>Sin fecha</v>
      </c>
      <c r="J863" s="11">
        <v>60</v>
      </c>
      <c r="K863" s="11">
        <v>60</v>
      </c>
      <c r="L863" s="12">
        <v>41455</v>
      </c>
      <c r="M863" t="s">
        <v>36</v>
      </c>
    </row>
    <row r="864" spans="1:13" ht="30">
      <c r="A864" s="6" t="s">
        <v>1610</v>
      </c>
      <c r="B864" s="7" t="s">
        <v>1412</v>
      </c>
      <c r="C864" s="7" t="s">
        <v>228</v>
      </c>
      <c r="D864" s="6" t="s">
        <v>18</v>
      </c>
      <c r="E864" s="7" t="s">
        <v>1543</v>
      </c>
      <c r="F864" s="13"/>
      <c r="G864" s="9">
        <f>IFERROR(VLOOKUP(D864,Listas!$A$2:$B$20,2,FALSE()),999)</f>
        <v>1</v>
      </c>
      <c r="H864" s="9" t="str">
        <f t="shared" ca="1" si="13"/>
        <v>Sin fecha</v>
      </c>
      <c r="J864" s="11">
        <v>60</v>
      </c>
      <c r="K864" s="11">
        <v>60</v>
      </c>
      <c r="L864" s="12">
        <v>41455</v>
      </c>
      <c r="M864" t="s">
        <v>36</v>
      </c>
    </row>
    <row r="865" spans="1:13" ht="30">
      <c r="A865" s="6" t="s">
        <v>1611</v>
      </c>
      <c r="B865" s="7" t="s">
        <v>1412</v>
      </c>
      <c r="C865" s="7" t="s">
        <v>228</v>
      </c>
      <c r="D865" s="6" t="s">
        <v>18</v>
      </c>
      <c r="E865" s="7" t="s">
        <v>1504</v>
      </c>
      <c r="F865" s="13"/>
      <c r="G865" s="9">
        <f>IFERROR(VLOOKUP(D865,Listas!$A$2:$B$20,2,FALSE()),999)</f>
        <v>1</v>
      </c>
      <c r="H865" s="9" t="str">
        <f t="shared" ca="1" si="13"/>
        <v>Sin fecha</v>
      </c>
      <c r="J865" s="11">
        <v>60</v>
      </c>
      <c r="K865" s="11">
        <v>60</v>
      </c>
      <c r="L865" s="12">
        <v>41455</v>
      </c>
      <c r="M865" t="s">
        <v>36</v>
      </c>
    </row>
    <row r="866" spans="1:13" ht="30">
      <c r="A866" s="6" t="s">
        <v>1612</v>
      </c>
      <c r="B866" s="7" t="s">
        <v>1412</v>
      </c>
      <c r="C866" s="7" t="s">
        <v>228</v>
      </c>
      <c r="D866" s="6" t="s">
        <v>18</v>
      </c>
      <c r="E866" s="7" t="s">
        <v>1488</v>
      </c>
      <c r="F866" s="13"/>
      <c r="G866" s="9">
        <f>IFERROR(VLOOKUP(D866,Listas!$A$2:$B$20,2,FALSE()),999)</f>
        <v>1</v>
      </c>
      <c r="H866" s="9" t="str">
        <f t="shared" ca="1" si="13"/>
        <v>Sin fecha</v>
      </c>
      <c r="J866" s="11">
        <v>60</v>
      </c>
      <c r="K866" s="11">
        <v>60</v>
      </c>
      <c r="L866" s="12">
        <v>41455</v>
      </c>
      <c r="M866" t="s">
        <v>36</v>
      </c>
    </row>
    <row r="867" spans="1:13" ht="30">
      <c r="A867" s="6" t="s">
        <v>1613</v>
      </c>
      <c r="B867" s="7" t="s">
        <v>1412</v>
      </c>
      <c r="C867" s="7" t="s">
        <v>228</v>
      </c>
      <c r="D867" s="6" t="s">
        <v>1467</v>
      </c>
      <c r="E867" s="7" t="s">
        <v>1614</v>
      </c>
      <c r="F867" s="13"/>
      <c r="G867" s="9">
        <f>IFERROR(VLOOKUP(D867,Listas!$A$2:$B$20,2,FALSE()),999)</f>
        <v>2</v>
      </c>
      <c r="H867" s="9" t="str">
        <f t="shared" ca="1" si="13"/>
        <v>Sin fecha</v>
      </c>
      <c r="J867" s="11">
        <v>60</v>
      </c>
      <c r="K867" s="11">
        <v>60</v>
      </c>
      <c r="L867" s="12">
        <v>42704</v>
      </c>
      <c r="M867" t="s">
        <v>36</v>
      </c>
    </row>
    <row r="868" spans="1:13" ht="30">
      <c r="A868" s="6" t="s">
        <v>1615</v>
      </c>
      <c r="B868" s="7" t="s">
        <v>1412</v>
      </c>
      <c r="C868" s="7" t="s">
        <v>228</v>
      </c>
      <c r="D868" s="6" t="s">
        <v>1467</v>
      </c>
      <c r="E868" s="7" t="s">
        <v>1513</v>
      </c>
      <c r="F868" s="13"/>
      <c r="G868" s="9">
        <f>IFERROR(VLOOKUP(D868,Listas!$A$2:$B$20,2,FALSE()),999)</f>
        <v>2</v>
      </c>
      <c r="H868" s="9" t="str">
        <f t="shared" ca="1" si="13"/>
        <v>Sin fecha</v>
      </c>
      <c r="J868" s="11">
        <v>60</v>
      </c>
      <c r="K868" s="11">
        <v>60</v>
      </c>
      <c r="L868" s="12">
        <v>42704</v>
      </c>
      <c r="M868" t="s">
        <v>36</v>
      </c>
    </row>
    <row r="869" spans="1:13" ht="30">
      <c r="A869" s="6" t="s">
        <v>1616</v>
      </c>
      <c r="B869" s="7" t="s">
        <v>1412</v>
      </c>
      <c r="C869" s="7" t="s">
        <v>228</v>
      </c>
      <c r="D869" s="6" t="s">
        <v>1467</v>
      </c>
      <c r="E869" s="7" t="s">
        <v>1513</v>
      </c>
      <c r="F869" s="13"/>
      <c r="G869" s="9">
        <f>IFERROR(VLOOKUP(D869,Listas!$A$2:$B$20,2,FALSE()),999)</f>
        <v>2</v>
      </c>
      <c r="H869" s="9" t="str">
        <f t="shared" ca="1" si="13"/>
        <v>Sin fecha</v>
      </c>
      <c r="J869" s="11">
        <v>60</v>
      </c>
      <c r="K869" s="11">
        <v>60</v>
      </c>
      <c r="L869" s="12">
        <v>42704</v>
      </c>
      <c r="M869" t="s">
        <v>36</v>
      </c>
    </row>
    <row r="870" spans="1:13" ht="30">
      <c r="A870" s="6" t="s">
        <v>1617</v>
      </c>
      <c r="B870" s="7" t="s">
        <v>1412</v>
      </c>
      <c r="C870" s="7" t="s">
        <v>228</v>
      </c>
      <c r="D870" s="6" t="s">
        <v>1467</v>
      </c>
      <c r="E870" s="7" t="s">
        <v>1513</v>
      </c>
      <c r="F870" s="13"/>
      <c r="G870" s="9">
        <f>IFERROR(VLOOKUP(D870,Listas!$A$2:$B$20,2,FALSE()),999)</f>
        <v>2</v>
      </c>
      <c r="H870" s="9" t="str">
        <f t="shared" ca="1" si="13"/>
        <v>Sin fecha</v>
      </c>
      <c r="J870" s="11">
        <v>60</v>
      </c>
      <c r="K870" s="11">
        <v>60</v>
      </c>
      <c r="L870" s="12">
        <v>42735</v>
      </c>
      <c r="M870" t="s">
        <v>36</v>
      </c>
    </row>
    <row r="871" spans="1:13" ht="30">
      <c r="A871" s="6" t="s">
        <v>1618</v>
      </c>
      <c r="B871" s="7" t="s">
        <v>1412</v>
      </c>
      <c r="C871" s="7" t="s">
        <v>228</v>
      </c>
      <c r="D871" s="6" t="s">
        <v>1467</v>
      </c>
      <c r="E871" s="7" t="s">
        <v>1513</v>
      </c>
      <c r="F871" s="13"/>
      <c r="G871" s="9">
        <f>IFERROR(VLOOKUP(D871,Listas!$A$2:$B$20,2,FALSE()),999)</f>
        <v>2</v>
      </c>
      <c r="H871" s="9" t="str">
        <f t="shared" ca="1" si="13"/>
        <v>Sin fecha</v>
      </c>
      <c r="J871" s="11">
        <v>60</v>
      </c>
      <c r="K871" s="11">
        <v>60</v>
      </c>
      <c r="L871" s="12">
        <v>42704</v>
      </c>
      <c r="M871" t="s">
        <v>36</v>
      </c>
    </row>
    <row r="872" spans="1:13" ht="30">
      <c r="A872" s="6" t="s">
        <v>1619</v>
      </c>
      <c r="B872" s="7" t="s">
        <v>1412</v>
      </c>
      <c r="C872" s="7" t="s">
        <v>228</v>
      </c>
      <c r="D872" s="6" t="s">
        <v>1467</v>
      </c>
      <c r="E872" s="7" t="s">
        <v>1513</v>
      </c>
      <c r="F872" s="13"/>
      <c r="G872" s="9">
        <f>IFERROR(VLOOKUP(D872,Listas!$A$2:$B$20,2,FALSE()),999)</f>
        <v>2</v>
      </c>
      <c r="H872" s="9" t="str">
        <f t="shared" ca="1" si="13"/>
        <v>Sin fecha</v>
      </c>
      <c r="J872" s="11">
        <v>60</v>
      </c>
      <c r="K872" s="11">
        <v>60</v>
      </c>
      <c r="L872" s="12">
        <v>42704</v>
      </c>
      <c r="M872" t="s">
        <v>36</v>
      </c>
    </row>
    <row r="873" spans="1:13" ht="30">
      <c r="A873" s="6" t="s">
        <v>1620</v>
      </c>
      <c r="B873" s="7" t="s">
        <v>1412</v>
      </c>
      <c r="C873" s="7" t="s">
        <v>228</v>
      </c>
      <c r="D873" s="6" t="s">
        <v>1467</v>
      </c>
      <c r="E873" s="7" t="s">
        <v>1513</v>
      </c>
      <c r="F873" s="13"/>
      <c r="G873" s="9">
        <f>IFERROR(VLOOKUP(D873,Listas!$A$2:$B$20,2,FALSE()),999)</f>
        <v>2</v>
      </c>
      <c r="H873" s="9" t="str">
        <f t="shared" ca="1" si="13"/>
        <v>Sin fecha</v>
      </c>
      <c r="J873" s="11">
        <v>60</v>
      </c>
      <c r="K873" s="11">
        <v>60</v>
      </c>
      <c r="L873" s="12">
        <v>42704</v>
      </c>
      <c r="M873" t="s">
        <v>36</v>
      </c>
    </row>
    <row r="874" spans="1:13" ht="30">
      <c r="A874" s="6" t="s">
        <v>1621</v>
      </c>
      <c r="B874" s="7" t="s">
        <v>1412</v>
      </c>
      <c r="C874" s="7" t="s">
        <v>228</v>
      </c>
      <c r="D874" s="6" t="s">
        <v>1467</v>
      </c>
      <c r="E874" s="7" t="s">
        <v>1513</v>
      </c>
      <c r="F874" s="13"/>
      <c r="G874" s="9">
        <f>IFERROR(VLOOKUP(D874,Listas!$A$2:$B$20,2,FALSE()),999)</f>
        <v>2</v>
      </c>
      <c r="H874" s="9" t="str">
        <f t="shared" ca="1" si="13"/>
        <v>Sin fecha</v>
      </c>
      <c r="J874" s="11">
        <v>60</v>
      </c>
      <c r="K874" s="11">
        <v>60</v>
      </c>
      <c r="L874" s="12">
        <v>42704</v>
      </c>
      <c r="M874" t="s">
        <v>36</v>
      </c>
    </row>
    <row r="875" spans="1:13" ht="30">
      <c r="A875" s="6" t="s">
        <v>1622</v>
      </c>
      <c r="B875" s="7" t="s">
        <v>1412</v>
      </c>
      <c r="C875" s="7" t="s">
        <v>228</v>
      </c>
      <c r="D875" s="6" t="s">
        <v>1467</v>
      </c>
      <c r="E875" s="7" t="s">
        <v>1513</v>
      </c>
      <c r="F875" s="13"/>
      <c r="G875" s="9">
        <f>IFERROR(VLOOKUP(D875,Listas!$A$2:$B$20,2,FALSE()),999)</f>
        <v>2</v>
      </c>
      <c r="H875" s="9" t="str">
        <f t="shared" ca="1" si="13"/>
        <v>Sin fecha</v>
      </c>
      <c r="J875" s="11">
        <v>60</v>
      </c>
      <c r="K875" s="11">
        <v>60</v>
      </c>
      <c r="L875" s="12">
        <v>42704</v>
      </c>
      <c r="M875" t="s">
        <v>36</v>
      </c>
    </row>
    <row r="876" spans="1:13" ht="30">
      <c r="A876" s="6" t="s">
        <v>1623</v>
      </c>
      <c r="B876" s="7" t="s">
        <v>1412</v>
      </c>
      <c r="C876" s="7" t="s">
        <v>228</v>
      </c>
      <c r="D876" s="6" t="s">
        <v>1467</v>
      </c>
      <c r="E876" s="7" t="s">
        <v>1513</v>
      </c>
      <c r="F876" s="13"/>
      <c r="G876" s="9">
        <f>IFERROR(VLOOKUP(D876,Listas!$A$2:$B$20,2,FALSE()),999)</f>
        <v>2</v>
      </c>
      <c r="H876" s="9" t="str">
        <f t="shared" ca="1" si="13"/>
        <v>Sin fecha</v>
      </c>
      <c r="J876" s="11">
        <v>60</v>
      </c>
      <c r="K876" s="11">
        <v>60</v>
      </c>
      <c r="L876" s="12">
        <v>42704</v>
      </c>
      <c r="M876" t="s">
        <v>36</v>
      </c>
    </row>
    <row r="877" spans="1:13" ht="30">
      <c r="A877" s="6" t="s">
        <v>1624</v>
      </c>
      <c r="B877" s="7" t="s">
        <v>1412</v>
      </c>
      <c r="C877" s="7" t="s">
        <v>228</v>
      </c>
      <c r="D877" s="6" t="s">
        <v>1467</v>
      </c>
      <c r="E877" s="7" t="s">
        <v>1513</v>
      </c>
      <c r="F877" s="13"/>
      <c r="G877" s="9">
        <f>IFERROR(VLOOKUP(D877,Listas!$A$2:$B$20,2,FALSE()),999)</f>
        <v>2</v>
      </c>
      <c r="H877" s="9" t="str">
        <f t="shared" ca="1" si="13"/>
        <v>Sin fecha</v>
      </c>
      <c r="J877" s="11">
        <v>60</v>
      </c>
      <c r="K877" s="11">
        <v>60</v>
      </c>
      <c r="L877" s="12">
        <v>42704</v>
      </c>
      <c r="M877" t="s">
        <v>36</v>
      </c>
    </row>
    <row r="878" spans="1:13" ht="30">
      <c r="A878" s="6" t="s">
        <v>1625</v>
      </c>
      <c r="B878" s="7" t="s">
        <v>1412</v>
      </c>
      <c r="C878" s="7" t="s">
        <v>228</v>
      </c>
      <c r="D878" s="6" t="s">
        <v>1467</v>
      </c>
      <c r="E878" s="7" t="s">
        <v>1513</v>
      </c>
      <c r="F878" s="13"/>
      <c r="G878" s="9">
        <f>IFERROR(VLOOKUP(D878,Listas!$A$2:$B$20,2,FALSE()),999)</f>
        <v>2</v>
      </c>
      <c r="H878" s="9" t="str">
        <f t="shared" ca="1" si="13"/>
        <v>Sin fecha</v>
      </c>
      <c r="J878" s="11">
        <v>60</v>
      </c>
      <c r="K878" s="11">
        <v>60</v>
      </c>
      <c r="L878" s="12">
        <v>42704</v>
      </c>
      <c r="M878" t="s">
        <v>36</v>
      </c>
    </row>
    <row r="879" spans="1:13" ht="30">
      <c r="A879" s="6" t="s">
        <v>1626</v>
      </c>
      <c r="B879" s="7" t="s">
        <v>1412</v>
      </c>
      <c r="C879" s="7" t="s">
        <v>228</v>
      </c>
      <c r="D879" s="6" t="s">
        <v>1467</v>
      </c>
      <c r="E879" s="7" t="s">
        <v>1513</v>
      </c>
      <c r="F879" s="13"/>
      <c r="G879" s="9">
        <f>IFERROR(VLOOKUP(D879,Listas!$A$2:$B$20,2,FALSE()),999)</f>
        <v>2</v>
      </c>
      <c r="H879" s="9" t="str">
        <f t="shared" ca="1" si="13"/>
        <v>Sin fecha</v>
      </c>
      <c r="J879" s="11">
        <v>60</v>
      </c>
      <c r="K879" s="11">
        <v>60</v>
      </c>
      <c r="L879" s="12">
        <v>42704</v>
      </c>
      <c r="M879" t="s">
        <v>36</v>
      </c>
    </row>
    <row r="880" spans="1:13" ht="30">
      <c r="A880" s="6" t="s">
        <v>1627</v>
      </c>
      <c r="B880" s="7" t="s">
        <v>1412</v>
      </c>
      <c r="C880" s="7" t="s">
        <v>228</v>
      </c>
      <c r="D880" s="6" t="s">
        <v>1467</v>
      </c>
      <c r="E880" s="7" t="s">
        <v>1513</v>
      </c>
      <c r="F880" s="13"/>
      <c r="G880" s="9">
        <f>IFERROR(VLOOKUP(D880,Listas!$A$2:$B$20,2,FALSE()),999)</f>
        <v>2</v>
      </c>
      <c r="H880" s="9" t="str">
        <f t="shared" ca="1" si="13"/>
        <v>Sin fecha</v>
      </c>
      <c r="J880" s="11">
        <v>60</v>
      </c>
      <c r="K880" s="11">
        <v>60</v>
      </c>
      <c r="L880" s="12">
        <v>42704</v>
      </c>
      <c r="M880" t="s">
        <v>36</v>
      </c>
    </row>
    <row r="881" spans="1:13" ht="30">
      <c r="A881" s="6" t="s">
        <v>1628</v>
      </c>
      <c r="B881" s="7" t="s">
        <v>1412</v>
      </c>
      <c r="C881" s="7" t="s">
        <v>228</v>
      </c>
      <c r="D881" s="6" t="s">
        <v>1467</v>
      </c>
      <c r="E881" s="7" t="s">
        <v>1513</v>
      </c>
      <c r="F881" s="13"/>
      <c r="G881" s="9">
        <f>IFERROR(VLOOKUP(D881,Listas!$A$2:$B$20,2,FALSE()),999)</f>
        <v>2</v>
      </c>
      <c r="H881" s="9" t="str">
        <f t="shared" ca="1" si="13"/>
        <v>Sin fecha</v>
      </c>
      <c r="J881" s="11">
        <v>60</v>
      </c>
      <c r="K881" s="11">
        <v>60</v>
      </c>
      <c r="L881" s="12">
        <v>42704</v>
      </c>
      <c r="M881" t="s">
        <v>36</v>
      </c>
    </row>
    <row r="882" spans="1:13" ht="30">
      <c r="A882" s="6" t="s">
        <v>1629</v>
      </c>
      <c r="B882" s="7" t="s">
        <v>1412</v>
      </c>
      <c r="C882" s="7" t="s">
        <v>228</v>
      </c>
      <c r="D882" s="6" t="s">
        <v>1467</v>
      </c>
      <c r="E882" s="7" t="s">
        <v>1513</v>
      </c>
      <c r="F882" s="13"/>
      <c r="G882" s="9">
        <f>IFERROR(VLOOKUP(D882,Listas!$A$2:$B$20,2,FALSE()),999)</f>
        <v>2</v>
      </c>
      <c r="H882" s="9" t="str">
        <f t="shared" ca="1" si="13"/>
        <v>Sin fecha</v>
      </c>
      <c r="J882" s="11">
        <v>60</v>
      </c>
      <c r="K882" s="11">
        <v>60</v>
      </c>
      <c r="L882" s="12">
        <v>42704</v>
      </c>
      <c r="M882" t="s">
        <v>36</v>
      </c>
    </row>
    <row r="883" spans="1:13" ht="30">
      <c r="A883" s="6" t="s">
        <v>1630</v>
      </c>
      <c r="B883" s="7" t="s">
        <v>1412</v>
      </c>
      <c r="C883" s="7" t="s">
        <v>228</v>
      </c>
      <c r="D883" s="6" t="s">
        <v>1467</v>
      </c>
      <c r="E883" s="7" t="s">
        <v>1513</v>
      </c>
      <c r="F883" s="13"/>
      <c r="G883" s="9">
        <f>IFERROR(VLOOKUP(D883,Listas!$A$2:$B$20,2,FALSE()),999)</f>
        <v>2</v>
      </c>
      <c r="H883" s="9" t="str">
        <f t="shared" ca="1" si="13"/>
        <v>Sin fecha</v>
      </c>
      <c r="J883" s="11">
        <v>60</v>
      </c>
      <c r="K883" s="11">
        <v>60</v>
      </c>
      <c r="L883" s="12">
        <v>42704</v>
      </c>
      <c r="M883" t="s">
        <v>36</v>
      </c>
    </row>
    <row r="884" spans="1:13" ht="30">
      <c r="A884" s="6" t="s">
        <v>1631</v>
      </c>
      <c r="B884" s="7" t="s">
        <v>1412</v>
      </c>
      <c r="C884" s="7" t="s">
        <v>228</v>
      </c>
      <c r="D884" s="6" t="s">
        <v>1467</v>
      </c>
      <c r="E884" s="7" t="s">
        <v>1513</v>
      </c>
      <c r="F884" s="13"/>
      <c r="G884" s="9">
        <f>IFERROR(VLOOKUP(D884,Listas!$A$2:$B$20,2,FALSE()),999)</f>
        <v>2</v>
      </c>
      <c r="H884" s="9" t="str">
        <f t="shared" ca="1" si="13"/>
        <v>Sin fecha</v>
      </c>
      <c r="J884" s="11">
        <v>60</v>
      </c>
      <c r="K884" s="11">
        <v>60</v>
      </c>
      <c r="L884" s="12">
        <v>42704</v>
      </c>
      <c r="M884" t="s">
        <v>36</v>
      </c>
    </row>
    <row r="885" spans="1:13" ht="30">
      <c r="A885" s="6" t="s">
        <v>1632</v>
      </c>
      <c r="B885" s="7" t="s">
        <v>1412</v>
      </c>
      <c r="C885" s="7" t="s">
        <v>228</v>
      </c>
      <c r="D885" s="6" t="s">
        <v>1467</v>
      </c>
      <c r="E885" s="7" t="s">
        <v>1513</v>
      </c>
      <c r="F885" s="13"/>
      <c r="G885" s="9">
        <f>IFERROR(VLOOKUP(D885,Listas!$A$2:$B$20,2,FALSE()),999)</f>
        <v>2</v>
      </c>
      <c r="H885" s="9" t="str">
        <f t="shared" ca="1" si="13"/>
        <v>Sin fecha</v>
      </c>
      <c r="J885" s="11">
        <v>60</v>
      </c>
      <c r="K885" s="11">
        <v>60</v>
      </c>
      <c r="L885" s="12">
        <v>42704</v>
      </c>
      <c r="M885" t="s">
        <v>36</v>
      </c>
    </row>
    <row r="886" spans="1:13" ht="30">
      <c r="A886" s="6" t="s">
        <v>1633</v>
      </c>
      <c r="B886" s="7" t="s">
        <v>1412</v>
      </c>
      <c r="C886" s="7" t="s">
        <v>228</v>
      </c>
      <c r="D886" s="6" t="s">
        <v>1467</v>
      </c>
      <c r="E886" s="7" t="s">
        <v>1513</v>
      </c>
      <c r="F886" s="13"/>
      <c r="G886" s="9">
        <f>IFERROR(VLOOKUP(D886,Listas!$A$2:$B$20,2,FALSE()),999)</f>
        <v>2</v>
      </c>
      <c r="H886" s="9" t="str">
        <f t="shared" ca="1" si="13"/>
        <v>Sin fecha</v>
      </c>
      <c r="J886" s="11">
        <v>60</v>
      </c>
      <c r="K886" s="11">
        <v>60</v>
      </c>
      <c r="L886" s="12">
        <v>42704</v>
      </c>
      <c r="M886" t="s">
        <v>36</v>
      </c>
    </row>
    <row r="887" spans="1:13" ht="30">
      <c r="A887" s="6" t="s">
        <v>1634</v>
      </c>
      <c r="B887" s="7" t="s">
        <v>1412</v>
      </c>
      <c r="C887" s="7" t="s">
        <v>228</v>
      </c>
      <c r="D887" s="6" t="s">
        <v>1467</v>
      </c>
      <c r="E887" s="7" t="s">
        <v>1513</v>
      </c>
      <c r="F887" s="13"/>
      <c r="G887" s="9">
        <f>IFERROR(VLOOKUP(D887,Listas!$A$2:$B$20,2,FALSE()),999)</f>
        <v>2</v>
      </c>
      <c r="H887" s="9" t="str">
        <f t="shared" ca="1" si="13"/>
        <v>Sin fecha</v>
      </c>
      <c r="J887" s="11">
        <v>60</v>
      </c>
      <c r="K887" s="11">
        <v>60</v>
      </c>
      <c r="L887" s="12">
        <v>41455</v>
      </c>
      <c r="M887" t="s">
        <v>36</v>
      </c>
    </row>
    <row r="888" spans="1:13" ht="195">
      <c r="A888" s="6" t="s">
        <v>1635</v>
      </c>
      <c r="B888" s="7" t="s">
        <v>1412</v>
      </c>
      <c r="C888" s="7" t="s">
        <v>1636</v>
      </c>
      <c r="D888" s="6" t="s">
        <v>1467</v>
      </c>
      <c r="E888" s="7" t="s">
        <v>1513</v>
      </c>
      <c r="F888" s="13"/>
      <c r="G888" s="9">
        <f>IFERROR(VLOOKUP(D888,Listas!$A$2:$B$20,2,FALSE()),999)</f>
        <v>2</v>
      </c>
      <c r="H888" s="9" t="str">
        <f t="shared" ca="1" si="13"/>
        <v>Sin fecha</v>
      </c>
      <c r="J888" s="11">
        <v>60</v>
      </c>
      <c r="K888" s="11">
        <v>60</v>
      </c>
      <c r="L888" s="12">
        <v>43028</v>
      </c>
      <c r="M888" t="s">
        <v>36</v>
      </c>
    </row>
    <row r="889" spans="1:13" ht="195">
      <c r="A889" s="6" t="s">
        <v>1637</v>
      </c>
      <c r="B889" s="7" t="s">
        <v>1412</v>
      </c>
      <c r="C889" s="7" t="s">
        <v>1636</v>
      </c>
      <c r="D889" s="6" t="s">
        <v>1467</v>
      </c>
      <c r="E889" s="7" t="s">
        <v>1513</v>
      </c>
      <c r="F889" s="13"/>
      <c r="G889" s="9">
        <f>IFERROR(VLOOKUP(D889,Listas!$A$2:$B$20,2,FALSE()),999)</f>
        <v>2</v>
      </c>
      <c r="H889" s="9" t="str">
        <f t="shared" ca="1" si="13"/>
        <v>Sin fecha</v>
      </c>
      <c r="J889" s="11">
        <v>60</v>
      </c>
      <c r="K889" s="11">
        <v>60</v>
      </c>
      <c r="L889" s="12">
        <v>43028</v>
      </c>
      <c r="M889" t="s">
        <v>36</v>
      </c>
    </row>
    <row r="890" spans="1:13" ht="195">
      <c r="A890" s="6" t="s">
        <v>1638</v>
      </c>
      <c r="B890" s="7" t="s">
        <v>1412</v>
      </c>
      <c r="C890" s="7" t="s">
        <v>1636</v>
      </c>
      <c r="D890" s="6" t="s">
        <v>1467</v>
      </c>
      <c r="E890" s="7" t="s">
        <v>1513</v>
      </c>
      <c r="F890" s="13"/>
      <c r="G890" s="9">
        <f>IFERROR(VLOOKUP(D890,Listas!$A$2:$B$20,2,FALSE()),999)</f>
        <v>2</v>
      </c>
      <c r="H890" s="9" t="str">
        <f t="shared" ca="1" si="13"/>
        <v>Sin fecha</v>
      </c>
      <c r="J890" s="11">
        <v>60</v>
      </c>
      <c r="K890" s="11">
        <v>60</v>
      </c>
      <c r="L890" s="12">
        <v>43028</v>
      </c>
      <c r="M890" t="s">
        <v>36</v>
      </c>
    </row>
    <row r="891" spans="1:13" ht="195">
      <c r="A891" s="6" t="s">
        <v>1639</v>
      </c>
      <c r="B891" s="7" t="s">
        <v>1412</v>
      </c>
      <c r="C891" s="7" t="s">
        <v>1636</v>
      </c>
      <c r="D891" s="6" t="s">
        <v>1467</v>
      </c>
      <c r="E891" s="7" t="s">
        <v>1513</v>
      </c>
      <c r="F891" s="13"/>
      <c r="G891" s="9">
        <f>IFERROR(VLOOKUP(D891,Listas!$A$2:$B$20,2,FALSE()),999)</f>
        <v>2</v>
      </c>
      <c r="H891" s="9" t="str">
        <f t="shared" ca="1" si="13"/>
        <v>Sin fecha</v>
      </c>
      <c r="J891" s="11">
        <v>60</v>
      </c>
      <c r="K891" s="11">
        <v>60</v>
      </c>
      <c r="L891" s="12">
        <v>43028</v>
      </c>
      <c r="M891" t="s">
        <v>36</v>
      </c>
    </row>
    <row r="892" spans="1:13" ht="195">
      <c r="A892" s="6" t="s">
        <v>1640</v>
      </c>
      <c r="B892" s="7" t="s">
        <v>1412</v>
      </c>
      <c r="C892" s="7" t="s">
        <v>1641</v>
      </c>
      <c r="D892" s="6" t="s">
        <v>1467</v>
      </c>
      <c r="E892" s="7" t="s">
        <v>1513</v>
      </c>
      <c r="F892" s="13"/>
      <c r="G892" s="9">
        <f>IFERROR(VLOOKUP(D892,Listas!$A$2:$B$20,2,FALSE()),999)</f>
        <v>2</v>
      </c>
      <c r="H892" s="9" t="str">
        <f t="shared" ca="1" si="13"/>
        <v>Sin fecha</v>
      </c>
      <c r="J892" s="11">
        <v>60</v>
      </c>
      <c r="K892" s="11">
        <v>60</v>
      </c>
      <c r="L892" s="12">
        <v>43028</v>
      </c>
      <c r="M892" t="s">
        <v>36</v>
      </c>
    </row>
    <row r="893" spans="1:13" ht="195">
      <c r="A893" s="6" t="s">
        <v>1642</v>
      </c>
      <c r="B893" s="7" t="s">
        <v>1412</v>
      </c>
      <c r="C893" s="7" t="s">
        <v>1636</v>
      </c>
      <c r="D893" s="6" t="s">
        <v>1467</v>
      </c>
      <c r="E893" s="7" t="s">
        <v>1513</v>
      </c>
      <c r="F893" s="13"/>
      <c r="G893" s="9">
        <f>IFERROR(VLOOKUP(D893,Listas!$A$2:$B$20,2,FALSE()),999)</f>
        <v>2</v>
      </c>
      <c r="H893" s="9" t="str">
        <f t="shared" ca="1" si="13"/>
        <v>Sin fecha</v>
      </c>
      <c r="J893" s="11">
        <v>60</v>
      </c>
      <c r="K893" s="11">
        <v>60</v>
      </c>
      <c r="L893" s="12">
        <v>43028</v>
      </c>
      <c r="M893" t="s">
        <v>36</v>
      </c>
    </row>
    <row r="894" spans="1:13" ht="195">
      <c r="A894" s="6" t="s">
        <v>1643</v>
      </c>
      <c r="B894" s="7" t="s">
        <v>1412</v>
      </c>
      <c r="C894" s="7" t="s">
        <v>1636</v>
      </c>
      <c r="D894" s="6" t="s">
        <v>18</v>
      </c>
      <c r="E894" s="7" t="s">
        <v>1488</v>
      </c>
      <c r="F894" s="13"/>
      <c r="G894" s="9">
        <f>IFERROR(VLOOKUP(D894,Listas!$A$2:$B$20,2,FALSE()),999)</f>
        <v>1</v>
      </c>
      <c r="H894" s="9" t="str">
        <f t="shared" ca="1" si="13"/>
        <v>Sin fecha</v>
      </c>
      <c r="J894" s="11">
        <v>60</v>
      </c>
      <c r="K894" s="11">
        <v>60</v>
      </c>
      <c r="L894" s="12">
        <v>43028</v>
      </c>
      <c r="M894" t="s">
        <v>36</v>
      </c>
    </row>
    <row r="895" spans="1:13" ht="195">
      <c r="A895" s="6" t="s">
        <v>1644</v>
      </c>
      <c r="B895" s="7" t="s">
        <v>1412</v>
      </c>
      <c r="C895" s="7" t="s">
        <v>1636</v>
      </c>
      <c r="D895" s="6" t="s">
        <v>1467</v>
      </c>
      <c r="E895" s="7" t="s">
        <v>1513</v>
      </c>
      <c r="F895" s="13"/>
      <c r="G895" s="9">
        <f>IFERROR(VLOOKUP(D895,Listas!$A$2:$B$20,2,FALSE()),999)</f>
        <v>2</v>
      </c>
      <c r="H895" s="9" t="str">
        <f t="shared" ca="1" si="13"/>
        <v>Sin fecha</v>
      </c>
      <c r="J895" s="11">
        <v>60</v>
      </c>
      <c r="K895" s="11">
        <v>60</v>
      </c>
      <c r="L895" s="12">
        <v>43028</v>
      </c>
      <c r="M895" t="s">
        <v>36</v>
      </c>
    </row>
    <row r="896" spans="1:13" ht="195">
      <c r="A896" s="6" t="s">
        <v>1645</v>
      </c>
      <c r="B896" s="7" t="s">
        <v>1412</v>
      </c>
      <c r="C896" s="7" t="s">
        <v>1636</v>
      </c>
      <c r="D896" s="6" t="s">
        <v>1467</v>
      </c>
      <c r="E896" s="7" t="s">
        <v>1513</v>
      </c>
      <c r="F896" s="13"/>
      <c r="G896" s="9">
        <f>IFERROR(VLOOKUP(D896,Listas!$A$2:$B$20,2,FALSE()),999)</f>
        <v>2</v>
      </c>
      <c r="H896" s="9" t="str">
        <f t="shared" ca="1" si="13"/>
        <v>Sin fecha</v>
      </c>
      <c r="J896" s="11">
        <v>60</v>
      </c>
      <c r="K896" s="11">
        <v>60</v>
      </c>
      <c r="L896" s="12">
        <v>43028</v>
      </c>
      <c r="M896" t="s">
        <v>36</v>
      </c>
    </row>
    <row r="897" spans="1:13" ht="195">
      <c r="A897" s="6" t="s">
        <v>1646</v>
      </c>
      <c r="B897" s="7" t="s">
        <v>1412</v>
      </c>
      <c r="C897" s="7" t="s">
        <v>1636</v>
      </c>
      <c r="D897" s="6" t="s">
        <v>1467</v>
      </c>
      <c r="E897" s="7" t="s">
        <v>1513</v>
      </c>
      <c r="F897" s="13"/>
      <c r="G897" s="9">
        <f>IFERROR(VLOOKUP(D897,Listas!$A$2:$B$20,2,FALSE()),999)</f>
        <v>2</v>
      </c>
      <c r="H897" s="9" t="str">
        <f t="shared" ca="1" si="13"/>
        <v>Sin fecha</v>
      </c>
      <c r="J897" s="11">
        <v>60</v>
      </c>
      <c r="K897" s="11">
        <v>60</v>
      </c>
      <c r="L897" s="12">
        <v>43028</v>
      </c>
      <c r="M897" t="s">
        <v>36</v>
      </c>
    </row>
    <row r="898" spans="1:13" ht="195">
      <c r="A898" s="6" t="s">
        <v>1647</v>
      </c>
      <c r="B898" s="7" t="s">
        <v>1412</v>
      </c>
      <c r="C898" s="7" t="s">
        <v>1636</v>
      </c>
      <c r="D898" s="6" t="s">
        <v>1467</v>
      </c>
      <c r="E898" s="7" t="s">
        <v>1513</v>
      </c>
      <c r="F898" s="13"/>
      <c r="G898" s="9">
        <f>IFERROR(VLOOKUP(D898,Listas!$A$2:$B$20,2,FALSE()),999)</f>
        <v>2</v>
      </c>
      <c r="H898" s="9" t="str">
        <f t="shared" ca="1" si="13"/>
        <v>Sin fecha</v>
      </c>
      <c r="J898" s="11">
        <v>60</v>
      </c>
      <c r="K898" s="11">
        <v>60</v>
      </c>
      <c r="L898" s="12">
        <v>43028</v>
      </c>
      <c r="M898" t="s">
        <v>36</v>
      </c>
    </row>
    <row r="899" spans="1:13" ht="195">
      <c r="A899" s="6" t="s">
        <v>1648</v>
      </c>
      <c r="B899" s="7" t="s">
        <v>1412</v>
      </c>
      <c r="C899" s="7" t="s">
        <v>1636</v>
      </c>
      <c r="D899" s="6" t="s">
        <v>1467</v>
      </c>
      <c r="E899" s="7" t="s">
        <v>1513</v>
      </c>
      <c r="F899" s="13"/>
      <c r="G899" s="9">
        <f>IFERROR(VLOOKUP(D899,Listas!$A$2:$B$20,2,FALSE()),999)</f>
        <v>2</v>
      </c>
      <c r="H899" s="9" t="str">
        <f t="shared" ca="1" si="13"/>
        <v>Sin fecha</v>
      </c>
      <c r="J899" s="11">
        <v>60</v>
      </c>
      <c r="K899" s="11">
        <v>60</v>
      </c>
      <c r="L899" s="12">
        <v>43028</v>
      </c>
      <c r="M899" t="s">
        <v>36</v>
      </c>
    </row>
    <row r="900" spans="1:13" ht="195">
      <c r="A900" s="6" t="s">
        <v>1649</v>
      </c>
      <c r="B900" s="7" t="s">
        <v>1412</v>
      </c>
      <c r="C900" s="6" t="s">
        <v>1636</v>
      </c>
      <c r="D900" s="6" t="s">
        <v>1467</v>
      </c>
      <c r="E900" s="7" t="s">
        <v>1513</v>
      </c>
      <c r="F900" s="13"/>
      <c r="G900" s="9">
        <f>IFERROR(VLOOKUP(D900,Listas!$A$2:$B$20,2,FALSE()),999)</f>
        <v>2</v>
      </c>
      <c r="H900" s="9" t="str">
        <f t="shared" ca="1" si="13"/>
        <v>Sin fecha</v>
      </c>
      <c r="J900" s="16">
        <v>60</v>
      </c>
      <c r="K900" s="16">
        <v>60</v>
      </c>
      <c r="L900" s="17">
        <v>43028</v>
      </c>
      <c r="M900" t="s">
        <v>36</v>
      </c>
    </row>
    <row r="901" spans="1:13" ht="195">
      <c r="A901" s="6" t="s">
        <v>1650</v>
      </c>
      <c r="B901" s="7" t="s">
        <v>1412</v>
      </c>
      <c r="C901" s="7" t="s">
        <v>1636</v>
      </c>
      <c r="D901" s="6" t="s">
        <v>1467</v>
      </c>
      <c r="E901" s="7" t="s">
        <v>1513</v>
      </c>
      <c r="F901" s="13"/>
      <c r="G901" s="9">
        <f>IFERROR(VLOOKUP(D901,Listas!$A$2:$B$20,2,FALSE()),999)</f>
        <v>2</v>
      </c>
      <c r="H901" s="9" t="str">
        <f t="shared" ref="H901:H964" ca="1" si="14">IF(F901="","Sin fecha",IF(TODAY()-F901&gt;180,"Revisar",IF(TODAY()-F901&gt;90,"Próximo","Vigente")))</f>
        <v>Sin fecha</v>
      </c>
      <c r="J901" s="11">
        <v>60</v>
      </c>
      <c r="K901" s="11">
        <v>60</v>
      </c>
      <c r="L901" s="12">
        <v>43028</v>
      </c>
      <c r="M901" t="s">
        <v>36</v>
      </c>
    </row>
    <row r="902" spans="1:13" ht="195">
      <c r="A902" s="6" t="s">
        <v>1651</v>
      </c>
      <c r="B902" s="7" t="s">
        <v>1412</v>
      </c>
      <c r="C902" s="7" t="s">
        <v>1636</v>
      </c>
      <c r="D902" s="6" t="s">
        <v>1467</v>
      </c>
      <c r="E902" s="7" t="s">
        <v>1464</v>
      </c>
      <c r="F902" s="13"/>
      <c r="G902" s="9">
        <f>IFERROR(VLOOKUP(D902,Listas!$A$2:$B$20,2,FALSE()),999)</f>
        <v>2</v>
      </c>
      <c r="H902" s="9" t="str">
        <f t="shared" ca="1" si="14"/>
        <v>Sin fecha</v>
      </c>
      <c r="J902" s="11">
        <v>60</v>
      </c>
      <c r="K902" s="11">
        <v>60</v>
      </c>
      <c r="L902" s="12">
        <v>43028</v>
      </c>
      <c r="M902" t="s">
        <v>36</v>
      </c>
    </row>
    <row r="903" spans="1:13" ht="195">
      <c r="A903" s="6" t="s">
        <v>1652</v>
      </c>
      <c r="B903" s="7" t="s">
        <v>1412</v>
      </c>
      <c r="C903" s="7" t="s">
        <v>1636</v>
      </c>
      <c r="D903" s="6" t="s">
        <v>1467</v>
      </c>
      <c r="E903" s="7" t="s">
        <v>1513</v>
      </c>
      <c r="F903" s="13"/>
      <c r="G903" s="9">
        <f>IFERROR(VLOOKUP(D903,Listas!$A$2:$B$20,2,FALSE()),999)</f>
        <v>2</v>
      </c>
      <c r="H903" s="9" t="str">
        <f t="shared" ca="1" si="14"/>
        <v>Sin fecha</v>
      </c>
      <c r="J903" s="11">
        <v>60</v>
      </c>
      <c r="K903" s="11">
        <v>60</v>
      </c>
      <c r="L903" s="12">
        <v>43028</v>
      </c>
      <c r="M903" t="s">
        <v>36</v>
      </c>
    </row>
    <row r="904" spans="1:13" ht="195">
      <c r="A904" s="6" t="s">
        <v>1653</v>
      </c>
      <c r="B904" s="7" t="s">
        <v>1412</v>
      </c>
      <c r="C904" s="7" t="s">
        <v>1636</v>
      </c>
      <c r="D904" s="6" t="s">
        <v>1467</v>
      </c>
      <c r="E904" s="7" t="s">
        <v>1513</v>
      </c>
      <c r="F904" s="13"/>
      <c r="G904" s="9">
        <f>IFERROR(VLOOKUP(D904,Listas!$A$2:$B$20,2,FALSE()),999)</f>
        <v>2</v>
      </c>
      <c r="H904" s="9" t="str">
        <f t="shared" ca="1" si="14"/>
        <v>Sin fecha</v>
      </c>
      <c r="J904" s="11">
        <v>60</v>
      </c>
      <c r="K904" s="11">
        <v>60</v>
      </c>
      <c r="L904" s="12">
        <v>43028</v>
      </c>
      <c r="M904" t="s">
        <v>36</v>
      </c>
    </row>
    <row r="905" spans="1:13" ht="195">
      <c r="A905" s="6" t="s">
        <v>1654</v>
      </c>
      <c r="B905" s="7" t="s">
        <v>1412</v>
      </c>
      <c r="C905" s="7" t="s">
        <v>1636</v>
      </c>
      <c r="D905" s="6" t="s">
        <v>1467</v>
      </c>
      <c r="E905" s="7" t="s">
        <v>1513</v>
      </c>
      <c r="F905" s="13"/>
      <c r="G905" s="9">
        <f>IFERROR(VLOOKUP(D905,Listas!$A$2:$B$20,2,FALSE()),999)</f>
        <v>2</v>
      </c>
      <c r="H905" s="9" t="str">
        <f t="shared" ca="1" si="14"/>
        <v>Sin fecha</v>
      </c>
      <c r="J905" s="11">
        <v>60</v>
      </c>
      <c r="K905" s="11">
        <v>60</v>
      </c>
      <c r="L905" s="12">
        <v>43028</v>
      </c>
      <c r="M905" t="s">
        <v>36</v>
      </c>
    </row>
    <row r="906" spans="1:13" ht="195">
      <c r="A906" s="6" t="s">
        <v>1655</v>
      </c>
      <c r="B906" s="7" t="s">
        <v>1412</v>
      </c>
      <c r="C906" s="7" t="s">
        <v>1636</v>
      </c>
      <c r="D906" s="6" t="s">
        <v>1467</v>
      </c>
      <c r="E906" s="7" t="s">
        <v>1513</v>
      </c>
      <c r="F906" s="13"/>
      <c r="G906" s="9">
        <f>IFERROR(VLOOKUP(D906,Listas!$A$2:$B$20,2,FALSE()),999)</f>
        <v>2</v>
      </c>
      <c r="H906" s="9" t="str">
        <f t="shared" ca="1" si="14"/>
        <v>Sin fecha</v>
      </c>
      <c r="J906" s="11">
        <v>60</v>
      </c>
      <c r="K906" s="11">
        <v>60</v>
      </c>
      <c r="L906" s="12">
        <v>43028</v>
      </c>
      <c r="M906" t="s">
        <v>36</v>
      </c>
    </row>
    <row r="907" spans="1:13" ht="195">
      <c r="A907" s="6" t="s">
        <v>1656</v>
      </c>
      <c r="B907" s="7" t="s">
        <v>1412</v>
      </c>
      <c r="C907" s="7" t="s">
        <v>569</v>
      </c>
      <c r="D907" s="6" t="s">
        <v>1467</v>
      </c>
      <c r="E907" s="7" t="s">
        <v>1513</v>
      </c>
      <c r="F907" s="13"/>
      <c r="G907" s="9">
        <f>IFERROR(VLOOKUP(D907,Listas!$A$2:$B$20,2,FALSE()),999)</f>
        <v>2</v>
      </c>
      <c r="H907" s="9" t="str">
        <f t="shared" ca="1" si="14"/>
        <v>Sin fecha</v>
      </c>
      <c r="J907" s="11">
        <v>60</v>
      </c>
      <c r="K907" s="11">
        <v>40</v>
      </c>
      <c r="L907" s="12">
        <v>45047</v>
      </c>
      <c r="M907" t="s">
        <v>20</v>
      </c>
    </row>
    <row r="908" spans="1:13" ht="195">
      <c r="A908" s="6" t="s">
        <v>1657</v>
      </c>
      <c r="B908" s="7" t="s">
        <v>1412</v>
      </c>
      <c r="C908" s="7" t="s">
        <v>569</v>
      </c>
      <c r="D908" s="6" t="s">
        <v>1467</v>
      </c>
      <c r="E908" s="7" t="s">
        <v>1513</v>
      </c>
      <c r="F908" s="13"/>
      <c r="G908" s="9">
        <f>IFERROR(VLOOKUP(D908,Listas!$A$2:$B$20,2,FALSE()),999)</f>
        <v>2</v>
      </c>
      <c r="H908" s="9" t="str">
        <f t="shared" ca="1" si="14"/>
        <v>Sin fecha</v>
      </c>
      <c r="J908" s="11">
        <v>60</v>
      </c>
      <c r="K908" s="11">
        <v>40</v>
      </c>
      <c r="L908" s="12">
        <v>45047</v>
      </c>
      <c r="M908" t="s">
        <v>20</v>
      </c>
    </row>
    <row r="909" spans="1:13" ht="150">
      <c r="A909" s="6" t="s">
        <v>1658</v>
      </c>
      <c r="B909" s="7" t="s">
        <v>1412</v>
      </c>
      <c r="C909" s="7" t="s">
        <v>1659</v>
      </c>
      <c r="D909" s="6" t="s">
        <v>1467</v>
      </c>
      <c r="E909" s="7" t="s">
        <v>1513</v>
      </c>
      <c r="F909" s="13"/>
      <c r="G909" s="9">
        <f>IFERROR(VLOOKUP(D909,Listas!$A$2:$B$20,2,FALSE()),999)</f>
        <v>2</v>
      </c>
      <c r="H909" s="9" t="str">
        <f t="shared" ca="1" si="14"/>
        <v>Sin fecha</v>
      </c>
      <c r="J909" s="11">
        <v>60</v>
      </c>
      <c r="K909" s="11">
        <v>60</v>
      </c>
      <c r="L909" s="12">
        <v>43112</v>
      </c>
      <c r="M909" t="s">
        <v>36</v>
      </c>
    </row>
    <row r="910" spans="1:13" ht="45">
      <c r="A910" s="6" t="s">
        <v>1660</v>
      </c>
      <c r="B910" s="7" t="s">
        <v>1412</v>
      </c>
      <c r="C910" s="7" t="s">
        <v>1661</v>
      </c>
      <c r="D910" s="6" t="s">
        <v>1467</v>
      </c>
      <c r="E910" s="7" t="s">
        <v>1513</v>
      </c>
      <c r="F910" s="13"/>
      <c r="G910" s="9">
        <f>IFERROR(VLOOKUP(D910,Listas!$A$2:$B$20,2,FALSE()),999)</f>
        <v>2</v>
      </c>
      <c r="H910" s="9" t="str">
        <f t="shared" ca="1" si="14"/>
        <v>Sin fecha</v>
      </c>
      <c r="J910" s="11">
        <v>60</v>
      </c>
      <c r="K910" s="11">
        <v>60</v>
      </c>
      <c r="L910" s="12">
        <v>43464</v>
      </c>
      <c r="M910" t="s">
        <v>36</v>
      </c>
    </row>
    <row r="911" spans="1:13" ht="45">
      <c r="A911" s="6" t="s">
        <v>1662</v>
      </c>
      <c r="B911" s="7" t="s">
        <v>1412</v>
      </c>
      <c r="C911" s="7" t="s">
        <v>1663</v>
      </c>
      <c r="D911" s="6" t="s">
        <v>1467</v>
      </c>
      <c r="E911" s="7" t="s">
        <v>1594</v>
      </c>
      <c r="F911" s="13"/>
      <c r="G911" s="9">
        <f>IFERROR(VLOOKUP(D911,Listas!$A$2:$B$20,2,FALSE()),999)</f>
        <v>2</v>
      </c>
      <c r="H911" s="9" t="str">
        <f t="shared" ca="1" si="14"/>
        <v>Sin fecha</v>
      </c>
      <c r="J911" s="11">
        <v>60</v>
      </c>
      <c r="K911" s="11">
        <v>60</v>
      </c>
      <c r="L911" s="12">
        <v>43464</v>
      </c>
      <c r="M911" t="s">
        <v>36</v>
      </c>
    </row>
    <row r="912" spans="1:13" ht="45">
      <c r="A912" s="6" t="s">
        <v>1664</v>
      </c>
      <c r="B912" s="7" t="s">
        <v>1412</v>
      </c>
      <c r="C912" s="7" t="s">
        <v>1665</v>
      </c>
      <c r="D912" s="6" t="s">
        <v>1467</v>
      </c>
      <c r="E912" s="7" t="s">
        <v>1513</v>
      </c>
      <c r="F912" s="13"/>
      <c r="G912" s="9">
        <f>IFERROR(VLOOKUP(D912,Listas!$A$2:$B$20,2,FALSE()),999)</f>
        <v>2</v>
      </c>
      <c r="H912" s="9" t="str">
        <f t="shared" ca="1" si="14"/>
        <v>Sin fecha</v>
      </c>
      <c r="J912" s="11">
        <v>60</v>
      </c>
      <c r="K912" s="11">
        <v>60</v>
      </c>
      <c r="L912" s="12">
        <v>43464</v>
      </c>
      <c r="M912" t="s">
        <v>36</v>
      </c>
    </row>
    <row r="913" spans="1:13" ht="45">
      <c r="A913" s="6" t="s">
        <v>1666</v>
      </c>
      <c r="B913" s="7" t="s">
        <v>1412</v>
      </c>
      <c r="C913" s="7" t="s">
        <v>1667</v>
      </c>
      <c r="D913" s="6" t="s">
        <v>1467</v>
      </c>
      <c r="E913" s="7" t="s">
        <v>1513</v>
      </c>
      <c r="F913" s="13"/>
      <c r="G913" s="9">
        <f>IFERROR(VLOOKUP(D913,Listas!$A$2:$B$20,2,FALSE()),999)</f>
        <v>2</v>
      </c>
      <c r="H913" s="9" t="str">
        <f t="shared" ca="1" si="14"/>
        <v>Sin fecha</v>
      </c>
      <c r="J913" s="11">
        <v>60</v>
      </c>
      <c r="K913" s="11">
        <v>60</v>
      </c>
      <c r="L913" s="12">
        <v>43464</v>
      </c>
      <c r="M913" t="s">
        <v>36</v>
      </c>
    </row>
    <row r="914" spans="1:13" ht="45">
      <c r="A914" s="6" t="s">
        <v>1668</v>
      </c>
      <c r="B914" s="7" t="s">
        <v>1412</v>
      </c>
      <c r="C914" s="7" t="s">
        <v>1669</v>
      </c>
      <c r="D914" s="6" t="s">
        <v>1467</v>
      </c>
      <c r="E914" s="7" t="s">
        <v>1513</v>
      </c>
      <c r="F914" s="13"/>
      <c r="G914" s="9">
        <f>IFERROR(VLOOKUP(D914,Listas!$A$2:$B$20,2,FALSE()),999)</f>
        <v>2</v>
      </c>
      <c r="H914" s="9" t="str">
        <f t="shared" ca="1" si="14"/>
        <v>Sin fecha</v>
      </c>
      <c r="J914" s="11">
        <v>60</v>
      </c>
      <c r="K914" s="11">
        <v>60</v>
      </c>
      <c r="L914" s="12">
        <v>43464</v>
      </c>
      <c r="M914" t="s">
        <v>36</v>
      </c>
    </row>
    <row r="915" spans="1:13" ht="45">
      <c r="A915" s="6" t="s">
        <v>1670</v>
      </c>
      <c r="B915" s="7" t="s">
        <v>1412</v>
      </c>
      <c r="C915" s="7" t="s">
        <v>1671</v>
      </c>
      <c r="D915" s="6" t="s">
        <v>1467</v>
      </c>
      <c r="E915" s="7" t="s">
        <v>1513</v>
      </c>
      <c r="F915" s="13"/>
      <c r="G915" s="9">
        <f>IFERROR(VLOOKUP(D915,Listas!$A$2:$B$20,2,FALSE()),999)</f>
        <v>2</v>
      </c>
      <c r="H915" s="9" t="str">
        <f t="shared" ca="1" si="14"/>
        <v>Sin fecha</v>
      </c>
      <c r="J915" s="11">
        <v>60</v>
      </c>
      <c r="K915" s="11">
        <v>60</v>
      </c>
      <c r="L915" s="12">
        <v>43464</v>
      </c>
      <c r="M915" t="s">
        <v>36</v>
      </c>
    </row>
    <row r="916" spans="1:13" ht="45">
      <c r="A916" s="6" t="s">
        <v>1672</v>
      </c>
      <c r="B916" s="7" t="s">
        <v>1412</v>
      </c>
      <c r="C916" s="7" t="s">
        <v>1673</v>
      </c>
      <c r="D916" s="6" t="s">
        <v>1467</v>
      </c>
      <c r="E916" s="7" t="s">
        <v>1513</v>
      </c>
      <c r="F916" s="13"/>
      <c r="G916" s="9">
        <f>IFERROR(VLOOKUP(D916,Listas!$A$2:$B$20,2,FALSE()),999)</f>
        <v>2</v>
      </c>
      <c r="H916" s="9" t="str">
        <f t="shared" ca="1" si="14"/>
        <v>Sin fecha</v>
      </c>
      <c r="J916" s="11">
        <v>60</v>
      </c>
      <c r="K916" s="11">
        <v>60</v>
      </c>
      <c r="L916" s="12">
        <v>43464</v>
      </c>
      <c r="M916" t="s">
        <v>36</v>
      </c>
    </row>
    <row r="917" spans="1:13" ht="45">
      <c r="A917" s="6" t="s">
        <v>1674</v>
      </c>
      <c r="B917" s="7" t="s">
        <v>1412</v>
      </c>
      <c r="C917" s="7" t="s">
        <v>1675</v>
      </c>
      <c r="D917" s="6" t="s">
        <v>1467</v>
      </c>
      <c r="E917" s="7" t="s">
        <v>1513</v>
      </c>
      <c r="F917" s="13"/>
      <c r="G917" s="9">
        <f>IFERROR(VLOOKUP(D917,Listas!$A$2:$B$20,2,FALSE()),999)</f>
        <v>2</v>
      </c>
      <c r="H917" s="9" t="str">
        <f t="shared" ca="1" si="14"/>
        <v>Sin fecha</v>
      </c>
      <c r="J917" s="11">
        <v>60</v>
      </c>
      <c r="K917" s="11">
        <v>60</v>
      </c>
      <c r="L917" s="12">
        <v>43464</v>
      </c>
      <c r="M917" t="s">
        <v>36</v>
      </c>
    </row>
    <row r="918" spans="1:13" ht="45">
      <c r="A918" s="6" t="s">
        <v>1676</v>
      </c>
      <c r="B918" s="7" t="s">
        <v>1412</v>
      </c>
      <c r="C918" s="7" t="s">
        <v>1677</v>
      </c>
      <c r="D918" s="6" t="s">
        <v>1467</v>
      </c>
      <c r="E918" s="7" t="s">
        <v>1513</v>
      </c>
      <c r="F918" s="13"/>
      <c r="G918" s="9">
        <f>IFERROR(VLOOKUP(D918,Listas!$A$2:$B$20,2,FALSE()),999)</f>
        <v>2</v>
      </c>
      <c r="H918" s="9" t="str">
        <f t="shared" ca="1" si="14"/>
        <v>Sin fecha</v>
      </c>
      <c r="J918" s="11">
        <v>60</v>
      </c>
      <c r="K918" s="11">
        <v>60</v>
      </c>
      <c r="L918" s="12">
        <v>43464</v>
      </c>
      <c r="M918" t="s">
        <v>36</v>
      </c>
    </row>
    <row r="919" spans="1:13" ht="45">
      <c r="A919" s="6" t="s">
        <v>1678</v>
      </c>
      <c r="B919" s="7" t="s">
        <v>1412</v>
      </c>
      <c r="C919" s="7" t="s">
        <v>1679</v>
      </c>
      <c r="D919" s="6" t="s">
        <v>1467</v>
      </c>
      <c r="E919" s="7" t="s">
        <v>1513</v>
      </c>
      <c r="F919" s="13"/>
      <c r="G919" s="9">
        <f>IFERROR(VLOOKUP(D919,Listas!$A$2:$B$20,2,FALSE()),999)</f>
        <v>2</v>
      </c>
      <c r="H919" s="9" t="str">
        <f t="shared" ca="1" si="14"/>
        <v>Sin fecha</v>
      </c>
      <c r="J919" s="11">
        <v>60</v>
      </c>
      <c r="K919" s="11">
        <v>60</v>
      </c>
      <c r="L919" s="12">
        <v>43464</v>
      </c>
      <c r="M919" t="s">
        <v>36</v>
      </c>
    </row>
    <row r="920" spans="1:13" ht="45">
      <c r="A920" s="6" t="s">
        <v>1680</v>
      </c>
      <c r="B920" s="7" t="s">
        <v>1412</v>
      </c>
      <c r="C920" s="7" t="s">
        <v>1681</v>
      </c>
      <c r="D920" s="6" t="s">
        <v>1467</v>
      </c>
      <c r="E920" s="7" t="s">
        <v>1513</v>
      </c>
      <c r="F920" s="13"/>
      <c r="G920" s="9">
        <f>IFERROR(VLOOKUP(D920,Listas!$A$2:$B$20,2,FALSE()),999)</f>
        <v>2</v>
      </c>
      <c r="H920" s="9" t="str">
        <f t="shared" ca="1" si="14"/>
        <v>Sin fecha</v>
      </c>
      <c r="J920" s="11">
        <v>60</v>
      </c>
      <c r="K920" s="11">
        <v>60</v>
      </c>
      <c r="L920" s="12">
        <v>43464</v>
      </c>
      <c r="M920" t="s">
        <v>36</v>
      </c>
    </row>
    <row r="921" spans="1:13" ht="45">
      <c r="A921" s="6" t="s">
        <v>1682</v>
      </c>
      <c r="B921" s="7" t="s">
        <v>1412</v>
      </c>
      <c r="C921" s="7" t="s">
        <v>1683</v>
      </c>
      <c r="D921" s="6" t="s">
        <v>18</v>
      </c>
      <c r="E921" s="7" t="s">
        <v>1684</v>
      </c>
      <c r="F921" s="13"/>
      <c r="G921" s="9">
        <f>IFERROR(VLOOKUP(D921,Listas!$A$2:$B$20,2,FALSE()),999)</f>
        <v>1</v>
      </c>
      <c r="H921" s="9" t="str">
        <f t="shared" ca="1" si="14"/>
        <v>Sin fecha</v>
      </c>
      <c r="J921" s="11">
        <v>60</v>
      </c>
      <c r="K921" s="11">
        <v>60</v>
      </c>
      <c r="L921" s="12">
        <v>43464</v>
      </c>
      <c r="M921" t="s">
        <v>36</v>
      </c>
    </row>
    <row r="922" spans="1:13" ht="45">
      <c r="A922" s="6" t="s">
        <v>1685</v>
      </c>
      <c r="B922" s="7" t="s">
        <v>1412</v>
      </c>
      <c r="C922" s="7" t="s">
        <v>1686</v>
      </c>
      <c r="D922" s="6" t="s">
        <v>1467</v>
      </c>
      <c r="E922" s="7" t="s">
        <v>1513</v>
      </c>
      <c r="F922" s="13"/>
      <c r="G922" s="9">
        <f>IFERROR(VLOOKUP(D922,Listas!$A$2:$B$20,2,FALSE()),999)</f>
        <v>2</v>
      </c>
      <c r="H922" s="9" t="str">
        <f t="shared" ca="1" si="14"/>
        <v>Sin fecha</v>
      </c>
      <c r="J922" s="11">
        <v>60</v>
      </c>
      <c r="K922" s="11">
        <v>60</v>
      </c>
      <c r="L922" s="12">
        <v>43464</v>
      </c>
      <c r="M922" t="s">
        <v>36</v>
      </c>
    </row>
    <row r="923" spans="1:13" ht="45">
      <c r="A923" s="6" t="s">
        <v>1687</v>
      </c>
      <c r="B923" s="7" t="s">
        <v>1412</v>
      </c>
      <c r="C923" s="7" t="s">
        <v>1688</v>
      </c>
      <c r="D923" s="6" t="s">
        <v>1467</v>
      </c>
      <c r="E923" s="7" t="s">
        <v>1513</v>
      </c>
      <c r="F923" s="13"/>
      <c r="G923" s="9">
        <f>IFERROR(VLOOKUP(D923,Listas!$A$2:$B$20,2,FALSE()),999)</f>
        <v>2</v>
      </c>
      <c r="H923" s="9" t="str">
        <f t="shared" ca="1" si="14"/>
        <v>Sin fecha</v>
      </c>
      <c r="J923" s="11">
        <v>60</v>
      </c>
      <c r="K923" s="11">
        <v>60</v>
      </c>
      <c r="L923" s="12">
        <v>43464</v>
      </c>
      <c r="M923" t="s">
        <v>36</v>
      </c>
    </row>
    <row r="924" spans="1:13" ht="45">
      <c r="A924" s="6" t="s">
        <v>1689</v>
      </c>
      <c r="B924" s="7" t="s">
        <v>1412</v>
      </c>
      <c r="C924" s="7" t="s">
        <v>1690</v>
      </c>
      <c r="D924" s="6" t="s">
        <v>18</v>
      </c>
      <c r="E924" s="7" t="s">
        <v>1521</v>
      </c>
      <c r="F924" s="13"/>
      <c r="G924" s="9">
        <f>IFERROR(VLOOKUP(D924,Listas!$A$2:$B$20,2,FALSE()),999)</f>
        <v>1</v>
      </c>
      <c r="H924" s="9" t="str">
        <f t="shared" ca="1" si="14"/>
        <v>Sin fecha</v>
      </c>
      <c r="J924" s="11">
        <v>60</v>
      </c>
      <c r="K924" s="11">
        <v>60</v>
      </c>
      <c r="L924" s="12">
        <v>43464</v>
      </c>
      <c r="M924" t="s">
        <v>36</v>
      </c>
    </row>
    <row r="925" spans="1:13" ht="45">
      <c r="A925" s="6" t="s">
        <v>1691</v>
      </c>
      <c r="B925" s="7" t="s">
        <v>1412</v>
      </c>
      <c r="C925" s="7" t="s">
        <v>1692</v>
      </c>
      <c r="D925" s="6" t="s">
        <v>1467</v>
      </c>
      <c r="E925" s="7" t="s">
        <v>1513</v>
      </c>
      <c r="F925" s="13"/>
      <c r="G925" s="9">
        <f>IFERROR(VLOOKUP(D925,Listas!$A$2:$B$20,2,FALSE()),999)</f>
        <v>2</v>
      </c>
      <c r="H925" s="9" t="str">
        <f t="shared" ca="1" si="14"/>
        <v>Sin fecha</v>
      </c>
      <c r="J925" s="11">
        <v>60</v>
      </c>
      <c r="K925" s="11">
        <v>60</v>
      </c>
      <c r="L925" s="12">
        <v>43464</v>
      </c>
      <c r="M925" t="s">
        <v>36</v>
      </c>
    </row>
    <row r="926" spans="1:13" ht="45">
      <c r="A926" s="6" t="s">
        <v>1693</v>
      </c>
      <c r="B926" s="7" t="s">
        <v>1412</v>
      </c>
      <c r="C926" s="7" t="s">
        <v>1694</v>
      </c>
      <c r="D926" s="6" t="s">
        <v>1467</v>
      </c>
      <c r="E926" s="7" t="s">
        <v>1513</v>
      </c>
      <c r="F926" s="13"/>
      <c r="G926" s="9">
        <f>IFERROR(VLOOKUP(D926,Listas!$A$2:$B$20,2,FALSE()),999)</f>
        <v>2</v>
      </c>
      <c r="H926" s="9" t="str">
        <f t="shared" ca="1" si="14"/>
        <v>Sin fecha</v>
      </c>
      <c r="J926" s="11">
        <v>60</v>
      </c>
      <c r="K926" s="11">
        <v>60</v>
      </c>
      <c r="L926" s="12">
        <v>43464</v>
      </c>
      <c r="M926" t="s">
        <v>36</v>
      </c>
    </row>
    <row r="927" spans="1:13" ht="45">
      <c r="A927" s="6" t="s">
        <v>1695</v>
      </c>
      <c r="B927" s="7" t="s">
        <v>1412</v>
      </c>
      <c r="C927" s="7" t="s">
        <v>1696</v>
      </c>
      <c r="D927" s="6" t="s">
        <v>18</v>
      </c>
      <c r="E927" s="7" t="s">
        <v>1697</v>
      </c>
      <c r="F927" s="13"/>
      <c r="G927" s="9">
        <f>IFERROR(VLOOKUP(D927,Listas!$A$2:$B$20,2,FALSE()),999)</f>
        <v>1</v>
      </c>
      <c r="H927" s="9" t="str">
        <f t="shared" ca="1" si="14"/>
        <v>Sin fecha</v>
      </c>
      <c r="J927" s="11">
        <v>60</v>
      </c>
      <c r="K927" s="11">
        <v>60</v>
      </c>
      <c r="L927" s="12">
        <v>43464</v>
      </c>
      <c r="M927" t="s">
        <v>36</v>
      </c>
    </row>
    <row r="928" spans="1:13" ht="45">
      <c r="A928" s="6" t="s">
        <v>1698</v>
      </c>
      <c r="B928" s="7" t="s">
        <v>1412</v>
      </c>
      <c r="C928" s="7" t="s">
        <v>1699</v>
      </c>
      <c r="D928" s="6" t="s">
        <v>18</v>
      </c>
      <c r="E928" s="7" t="s">
        <v>1684</v>
      </c>
      <c r="F928" s="13"/>
      <c r="G928" s="9">
        <f>IFERROR(VLOOKUP(D928,Listas!$A$2:$B$20,2,FALSE()),999)</f>
        <v>1</v>
      </c>
      <c r="H928" s="9" t="str">
        <f t="shared" ca="1" si="14"/>
        <v>Sin fecha</v>
      </c>
      <c r="J928" s="11">
        <v>60</v>
      </c>
      <c r="K928" s="11">
        <v>60</v>
      </c>
      <c r="L928" s="12">
        <v>43464</v>
      </c>
      <c r="M928" t="s">
        <v>36</v>
      </c>
    </row>
    <row r="929" spans="1:13" ht="195">
      <c r="A929" s="6" t="s">
        <v>1700</v>
      </c>
      <c r="B929" s="7" t="s">
        <v>1412</v>
      </c>
      <c r="C929" s="7" t="s">
        <v>574</v>
      </c>
      <c r="D929" s="6" t="s">
        <v>18</v>
      </c>
      <c r="E929" s="7" t="s">
        <v>1701</v>
      </c>
      <c r="F929" s="13"/>
      <c r="G929" s="9">
        <f>IFERROR(VLOOKUP(D929,Listas!$A$2:$B$20,2,FALSE()),999)</f>
        <v>1</v>
      </c>
      <c r="H929" s="9" t="str">
        <f t="shared" ca="1" si="14"/>
        <v>Sin fecha</v>
      </c>
      <c r="J929" s="11">
        <v>60</v>
      </c>
      <c r="K929" s="11">
        <v>39</v>
      </c>
      <c r="L929" s="12">
        <v>45078</v>
      </c>
      <c r="M929" t="s">
        <v>20</v>
      </c>
    </row>
    <row r="930" spans="1:13" ht="195">
      <c r="A930" s="6" t="s">
        <v>1702</v>
      </c>
      <c r="B930" s="7" t="s">
        <v>1412</v>
      </c>
      <c r="C930" s="7" t="s">
        <v>574</v>
      </c>
      <c r="D930" s="6" t="s">
        <v>18</v>
      </c>
      <c r="E930" s="7" t="s">
        <v>1703</v>
      </c>
      <c r="F930" s="13"/>
      <c r="G930" s="9">
        <f>IFERROR(VLOOKUP(D930,Listas!$A$2:$B$20,2,FALSE()),999)</f>
        <v>1</v>
      </c>
      <c r="H930" s="9" t="str">
        <f t="shared" ca="1" si="14"/>
        <v>Sin fecha</v>
      </c>
      <c r="J930" s="11">
        <v>60</v>
      </c>
      <c r="K930" s="11">
        <v>39</v>
      </c>
      <c r="L930" s="12">
        <v>45078</v>
      </c>
      <c r="M930" t="s">
        <v>20</v>
      </c>
    </row>
    <row r="931" spans="1:13" ht="195">
      <c r="A931" s="6" t="s">
        <v>1704</v>
      </c>
      <c r="B931" s="7" t="s">
        <v>1412</v>
      </c>
      <c r="C931" s="7" t="s">
        <v>574</v>
      </c>
      <c r="D931" s="6" t="s">
        <v>1467</v>
      </c>
      <c r="E931" s="7" t="s">
        <v>1513</v>
      </c>
      <c r="F931" s="13"/>
      <c r="G931" s="9">
        <f>IFERROR(VLOOKUP(D931,Listas!$A$2:$B$20,2,FALSE()),999)</f>
        <v>2</v>
      </c>
      <c r="H931" s="9" t="str">
        <f t="shared" ca="1" si="14"/>
        <v>Sin fecha</v>
      </c>
      <c r="J931" s="11">
        <v>60</v>
      </c>
      <c r="K931" s="11">
        <v>39</v>
      </c>
      <c r="L931" s="12">
        <v>45078</v>
      </c>
      <c r="M931" t="s">
        <v>20</v>
      </c>
    </row>
    <row r="932" spans="1:13" ht="195">
      <c r="A932" s="6" t="s">
        <v>1705</v>
      </c>
      <c r="B932" s="7" t="s">
        <v>1412</v>
      </c>
      <c r="C932" s="7" t="s">
        <v>574</v>
      </c>
      <c r="D932" s="6" t="s">
        <v>1467</v>
      </c>
      <c r="E932" s="7" t="s">
        <v>1513</v>
      </c>
      <c r="F932" s="13"/>
      <c r="G932" s="9">
        <f>IFERROR(VLOOKUP(D932,Listas!$A$2:$B$20,2,FALSE()),999)</f>
        <v>2</v>
      </c>
      <c r="H932" s="9" t="str">
        <f t="shared" ca="1" si="14"/>
        <v>Sin fecha</v>
      </c>
      <c r="J932" s="11">
        <v>60</v>
      </c>
      <c r="K932" s="11">
        <v>39</v>
      </c>
      <c r="L932" s="12">
        <v>45078</v>
      </c>
      <c r="M932" t="s">
        <v>20</v>
      </c>
    </row>
    <row r="933" spans="1:13" ht="195">
      <c r="A933" s="6" t="s">
        <v>1706</v>
      </c>
      <c r="B933" s="7" t="s">
        <v>1412</v>
      </c>
      <c r="C933" s="7" t="s">
        <v>574</v>
      </c>
      <c r="D933" s="6" t="s">
        <v>1467</v>
      </c>
      <c r="E933" s="7" t="s">
        <v>1513</v>
      </c>
      <c r="F933" s="13"/>
      <c r="G933" s="9">
        <f>IFERROR(VLOOKUP(D933,Listas!$A$2:$B$20,2,FALSE()),999)</f>
        <v>2</v>
      </c>
      <c r="H933" s="9" t="str">
        <f t="shared" ca="1" si="14"/>
        <v>Sin fecha</v>
      </c>
      <c r="J933" s="11">
        <v>60</v>
      </c>
      <c r="K933" s="11">
        <v>39</v>
      </c>
      <c r="L933" s="12">
        <v>45078</v>
      </c>
      <c r="M933" t="s">
        <v>20</v>
      </c>
    </row>
    <row r="934" spans="1:13" ht="195">
      <c r="A934" s="6" t="s">
        <v>1707</v>
      </c>
      <c r="B934" s="7" t="s">
        <v>1412</v>
      </c>
      <c r="C934" s="7" t="s">
        <v>574</v>
      </c>
      <c r="D934" s="6" t="s">
        <v>1467</v>
      </c>
      <c r="E934" s="7" t="s">
        <v>1513</v>
      </c>
      <c r="F934" s="13"/>
      <c r="G934" s="9">
        <f>IFERROR(VLOOKUP(D934,Listas!$A$2:$B$20,2,FALSE()),999)</f>
        <v>2</v>
      </c>
      <c r="H934" s="9" t="str">
        <f t="shared" ca="1" si="14"/>
        <v>Sin fecha</v>
      </c>
      <c r="J934" s="11">
        <v>60</v>
      </c>
      <c r="K934" s="11">
        <v>39</v>
      </c>
      <c r="L934" s="12">
        <v>45078</v>
      </c>
      <c r="M934" t="s">
        <v>20</v>
      </c>
    </row>
    <row r="935" spans="1:13" ht="195">
      <c r="A935" s="6" t="s">
        <v>1708</v>
      </c>
      <c r="B935" s="7" t="s">
        <v>1412</v>
      </c>
      <c r="C935" s="7" t="s">
        <v>574</v>
      </c>
      <c r="D935" s="6" t="s">
        <v>1467</v>
      </c>
      <c r="E935" s="7" t="s">
        <v>1513</v>
      </c>
      <c r="F935" s="13"/>
      <c r="G935" s="9">
        <f>IFERROR(VLOOKUP(D935,Listas!$A$2:$B$20,2,FALSE()),999)</f>
        <v>2</v>
      </c>
      <c r="H935" s="9" t="str">
        <f t="shared" ca="1" si="14"/>
        <v>Sin fecha</v>
      </c>
      <c r="J935" s="11">
        <v>60</v>
      </c>
      <c r="K935" s="11">
        <v>39</v>
      </c>
      <c r="L935" s="12">
        <v>45078</v>
      </c>
      <c r="M935" t="s">
        <v>20</v>
      </c>
    </row>
    <row r="936" spans="1:13" ht="195">
      <c r="A936" s="6" t="s">
        <v>1709</v>
      </c>
      <c r="B936" s="7" t="s">
        <v>1412</v>
      </c>
      <c r="C936" s="7" t="s">
        <v>574</v>
      </c>
      <c r="D936" s="6" t="s">
        <v>1467</v>
      </c>
      <c r="E936" s="7" t="s">
        <v>1513</v>
      </c>
      <c r="F936" s="13"/>
      <c r="G936" s="9">
        <f>IFERROR(VLOOKUP(D936,Listas!$A$2:$B$20,2,FALSE()),999)</f>
        <v>2</v>
      </c>
      <c r="H936" s="9" t="str">
        <f t="shared" ca="1" si="14"/>
        <v>Sin fecha</v>
      </c>
      <c r="J936" s="11">
        <v>60</v>
      </c>
      <c r="K936" s="11">
        <v>39</v>
      </c>
      <c r="L936" s="12">
        <v>45078</v>
      </c>
      <c r="M936" t="s">
        <v>20</v>
      </c>
    </row>
    <row r="937" spans="1:13" ht="30">
      <c r="A937" s="6" t="s">
        <v>1710</v>
      </c>
      <c r="B937" s="7" t="s">
        <v>1412</v>
      </c>
      <c r="C937" s="7" t="s">
        <v>228</v>
      </c>
      <c r="D937" s="6" t="s">
        <v>1467</v>
      </c>
      <c r="E937" s="7" t="s">
        <v>1513</v>
      </c>
      <c r="F937" s="13"/>
      <c r="G937" s="9">
        <f>IFERROR(VLOOKUP(D937,Listas!$A$2:$B$20,2,FALSE()),999)</f>
        <v>2</v>
      </c>
      <c r="H937" s="9" t="str">
        <f t="shared" ca="1" si="14"/>
        <v>Sin fecha</v>
      </c>
      <c r="J937" s="11">
        <v>60</v>
      </c>
      <c r="K937" s="11">
        <v>60</v>
      </c>
      <c r="L937" s="12">
        <v>41455</v>
      </c>
      <c r="M937" t="s">
        <v>36</v>
      </c>
    </row>
    <row r="938" spans="1:13" ht="30">
      <c r="A938" s="6" t="s">
        <v>1711</v>
      </c>
      <c r="B938" s="7" t="s">
        <v>1412</v>
      </c>
      <c r="C938" s="7" t="s">
        <v>228</v>
      </c>
      <c r="D938" s="6" t="s">
        <v>1467</v>
      </c>
      <c r="E938" s="7" t="s">
        <v>1513</v>
      </c>
      <c r="F938" s="13"/>
      <c r="G938" s="9">
        <f>IFERROR(VLOOKUP(D938,Listas!$A$2:$B$20,2,FALSE()),999)</f>
        <v>2</v>
      </c>
      <c r="H938" s="9" t="str">
        <f t="shared" ca="1" si="14"/>
        <v>Sin fecha</v>
      </c>
      <c r="J938" s="11">
        <v>60</v>
      </c>
      <c r="K938" s="11">
        <v>60</v>
      </c>
      <c r="L938" s="12">
        <v>41455</v>
      </c>
      <c r="M938" t="s">
        <v>36</v>
      </c>
    </row>
    <row r="939" spans="1:13" ht="30">
      <c r="A939" s="6" t="s">
        <v>1712</v>
      </c>
      <c r="B939" s="7" t="s">
        <v>1412</v>
      </c>
      <c r="C939" s="7" t="s">
        <v>228</v>
      </c>
      <c r="D939" s="6" t="s">
        <v>1467</v>
      </c>
      <c r="E939" s="7" t="s">
        <v>1513</v>
      </c>
      <c r="F939" s="13"/>
      <c r="G939" s="9">
        <f>IFERROR(VLOOKUP(D939,Listas!$A$2:$B$20,2,FALSE()),999)</f>
        <v>2</v>
      </c>
      <c r="H939" s="9" t="str">
        <f t="shared" ca="1" si="14"/>
        <v>Sin fecha</v>
      </c>
      <c r="J939" s="11">
        <v>60</v>
      </c>
      <c r="K939" s="11">
        <v>60</v>
      </c>
      <c r="L939" s="12">
        <v>41455</v>
      </c>
      <c r="M939" t="s">
        <v>36</v>
      </c>
    </row>
    <row r="940" spans="1:13" ht="30">
      <c r="A940" s="6" t="s">
        <v>1713</v>
      </c>
      <c r="B940" s="7" t="s">
        <v>1412</v>
      </c>
      <c r="C940" s="7" t="s">
        <v>228</v>
      </c>
      <c r="D940" s="6" t="s">
        <v>1467</v>
      </c>
      <c r="E940" s="7" t="s">
        <v>1513</v>
      </c>
      <c r="F940" s="13"/>
      <c r="G940" s="9">
        <f>IFERROR(VLOOKUP(D940,Listas!$A$2:$B$20,2,FALSE()),999)</f>
        <v>2</v>
      </c>
      <c r="H940" s="9" t="str">
        <f t="shared" ca="1" si="14"/>
        <v>Sin fecha</v>
      </c>
      <c r="J940" s="11">
        <v>60</v>
      </c>
      <c r="K940" s="11">
        <v>60</v>
      </c>
      <c r="L940" s="12">
        <v>41455</v>
      </c>
      <c r="M940" t="s">
        <v>36</v>
      </c>
    </row>
    <row r="941" spans="1:13" ht="30">
      <c r="A941" s="6" t="s">
        <v>1714</v>
      </c>
      <c r="B941" s="7" t="s">
        <v>1412</v>
      </c>
      <c r="C941" s="7" t="s">
        <v>228</v>
      </c>
      <c r="D941" s="6" t="s">
        <v>1467</v>
      </c>
      <c r="E941" s="7" t="s">
        <v>1513</v>
      </c>
      <c r="F941" s="13"/>
      <c r="G941" s="9">
        <f>IFERROR(VLOOKUP(D941,Listas!$A$2:$B$20,2,FALSE()),999)</f>
        <v>2</v>
      </c>
      <c r="H941" s="9" t="str">
        <f t="shared" ca="1" si="14"/>
        <v>Sin fecha</v>
      </c>
      <c r="J941" s="11">
        <v>60</v>
      </c>
      <c r="K941" s="11">
        <v>60</v>
      </c>
      <c r="L941" s="12">
        <v>41455</v>
      </c>
      <c r="M941" t="s">
        <v>36</v>
      </c>
    </row>
    <row r="942" spans="1:13" ht="30">
      <c r="A942" s="6" t="s">
        <v>1715</v>
      </c>
      <c r="B942" s="7" t="s">
        <v>1412</v>
      </c>
      <c r="C942" s="7" t="s">
        <v>228</v>
      </c>
      <c r="D942" s="6" t="s">
        <v>1467</v>
      </c>
      <c r="E942" s="7" t="s">
        <v>1513</v>
      </c>
      <c r="F942" s="13"/>
      <c r="G942" s="9">
        <f>IFERROR(VLOOKUP(D942,Listas!$A$2:$B$20,2,FALSE()),999)</f>
        <v>2</v>
      </c>
      <c r="H942" s="9" t="str">
        <f t="shared" ca="1" si="14"/>
        <v>Sin fecha</v>
      </c>
      <c r="J942" s="11">
        <v>60</v>
      </c>
      <c r="K942" s="11">
        <v>60</v>
      </c>
      <c r="L942" s="12">
        <v>42400</v>
      </c>
      <c r="M942" t="s">
        <v>36</v>
      </c>
    </row>
    <row r="943" spans="1:13" ht="135">
      <c r="A943" s="6" t="s">
        <v>1716</v>
      </c>
      <c r="B943" s="7" t="s">
        <v>1412</v>
      </c>
      <c r="C943" s="7" t="s">
        <v>1717</v>
      </c>
      <c r="D943" s="6" t="s">
        <v>1467</v>
      </c>
      <c r="E943" s="7" t="s">
        <v>1513</v>
      </c>
      <c r="F943" s="13"/>
      <c r="G943" s="9">
        <f>IFERROR(VLOOKUP(D943,Listas!$A$2:$B$20,2,FALSE()),999)</f>
        <v>2</v>
      </c>
      <c r="H943" s="9" t="str">
        <f t="shared" ca="1" si="14"/>
        <v>Sin fecha</v>
      </c>
      <c r="J943" s="11">
        <v>60</v>
      </c>
      <c r="K943" s="11">
        <v>60</v>
      </c>
      <c r="L943" s="12">
        <v>43330</v>
      </c>
      <c r="M943" t="s">
        <v>36</v>
      </c>
    </row>
    <row r="944" spans="1:13" ht="135">
      <c r="A944" s="6" t="s">
        <v>1718</v>
      </c>
      <c r="B944" s="7" t="s">
        <v>1412</v>
      </c>
      <c r="C944" s="7" t="s">
        <v>1717</v>
      </c>
      <c r="D944" s="6" t="s">
        <v>1467</v>
      </c>
      <c r="E944" s="7" t="s">
        <v>1513</v>
      </c>
      <c r="F944" s="13"/>
      <c r="G944" s="9">
        <f>IFERROR(VLOOKUP(D944,Listas!$A$2:$B$20,2,FALSE()),999)</f>
        <v>2</v>
      </c>
      <c r="H944" s="9" t="str">
        <f t="shared" ca="1" si="14"/>
        <v>Sin fecha</v>
      </c>
      <c r="J944" s="11">
        <v>60</v>
      </c>
      <c r="K944" s="11">
        <v>60</v>
      </c>
      <c r="L944" s="12">
        <v>43330</v>
      </c>
      <c r="M944" t="s">
        <v>36</v>
      </c>
    </row>
    <row r="945" spans="1:13" ht="135">
      <c r="A945" s="6" t="s">
        <v>1719</v>
      </c>
      <c r="B945" s="7" t="s">
        <v>1412</v>
      </c>
      <c r="C945" s="7" t="s">
        <v>1717</v>
      </c>
      <c r="D945" s="6" t="s">
        <v>1467</v>
      </c>
      <c r="E945" s="7" t="s">
        <v>1513</v>
      </c>
      <c r="F945" s="13"/>
      <c r="G945" s="9">
        <f>IFERROR(VLOOKUP(D945,Listas!$A$2:$B$20,2,FALSE()),999)</f>
        <v>2</v>
      </c>
      <c r="H945" s="9" t="str">
        <f t="shared" ca="1" si="14"/>
        <v>Sin fecha</v>
      </c>
      <c r="J945" s="11">
        <v>60</v>
      </c>
      <c r="K945" s="11">
        <v>60</v>
      </c>
      <c r="L945" s="12">
        <v>43330</v>
      </c>
      <c r="M945" t="s">
        <v>36</v>
      </c>
    </row>
    <row r="946" spans="1:13" ht="135">
      <c r="A946" s="6" t="s">
        <v>1720</v>
      </c>
      <c r="B946" s="7" t="s">
        <v>1412</v>
      </c>
      <c r="C946" s="7" t="s">
        <v>1717</v>
      </c>
      <c r="D946" s="6" t="s">
        <v>1467</v>
      </c>
      <c r="E946" s="7" t="s">
        <v>1513</v>
      </c>
      <c r="F946" s="13"/>
      <c r="G946" s="9">
        <f>IFERROR(VLOOKUP(D946,Listas!$A$2:$B$20,2,FALSE()),999)</f>
        <v>2</v>
      </c>
      <c r="H946" s="9" t="str">
        <f t="shared" ca="1" si="14"/>
        <v>Sin fecha</v>
      </c>
      <c r="J946" s="11">
        <v>60</v>
      </c>
      <c r="K946" s="11">
        <v>60</v>
      </c>
      <c r="L946" s="12">
        <v>43330</v>
      </c>
      <c r="M946" t="s">
        <v>36</v>
      </c>
    </row>
    <row r="947" spans="1:13" ht="135">
      <c r="A947" s="6" t="s">
        <v>1721</v>
      </c>
      <c r="B947" s="7" t="s">
        <v>1412</v>
      </c>
      <c r="C947" s="7" t="s">
        <v>1717</v>
      </c>
      <c r="D947" s="6" t="s">
        <v>1467</v>
      </c>
      <c r="E947" s="7" t="s">
        <v>1513</v>
      </c>
      <c r="F947" s="13"/>
      <c r="G947" s="9">
        <f>IFERROR(VLOOKUP(D947,Listas!$A$2:$B$20,2,FALSE()),999)</f>
        <v>2</v>
      </c>
      <c r="H947" s="9" t="str">
        <f t="shared" ca="1" si="14"/>
        <v>Sin fecha</v>
      </c>
      <c r="J947" s="11">
        <v>60</v>
      </c>
      <c r="K947" s="11">
        <v>60</v>
      </c>
      <c r="L947" s="12">
        <v>43330</v>
      </c>
      <c r="M947" t="s">
        <v>36</v>
      </c>
    </row>
    <row r="948" spans="1:13" ht="75">
      <c r="A948" s="6" t="s">
        <v>1722</v>
      </c>
      <c r="B948" s="7" t="s">
        <v>1412</v>
      </c>
      <c r="C948" s="7" t="s">
        <v>1723</v>
      </c>
      <c r="D948" s="6" t="s">
        <v>1467</v>
      </c>
      <c r="E948" s="7" t="s">
        <v>1513</v>
      </c>
      <c r="F948" s="13"/>
      <c r="G948" s="9">
        <f>IFERROR(VLOOKUP(D948,Listas!$A$2:$B$20,2,FALSE()),999)</f>
        <v>2</v>
      </c>
      <c r="H948" s="9" t="str">
        <f t="shared" ca="1" si="14"/>
        <v>Sin fecha</v>
      </c>
      <c r="J948" s="11">
        <v>60</v>
      </c>
      <c r="K948" s="11">
        <v>60</v>
      </c>
      <c r="L948" s="12">
        <v>43336</v>
      </c>
      <c r="M948" t="s">
        <v>36</v>
      </c>
    </row>
    <row r="949" spans="1:13" ht="75">
      <c r="A949" s="6" t="s">
        <v>1724</v>
      </c>
      <c r="B949" s="7" t="s">
        <v>1412</v>
      </c>
      <c r="C949" s="7" t="s">
        <v>1723</v>
      </c>
      <c r="D949" s="6" t="s">
        <v>1467</v>
      </c>
      <c r="E949" s="7" t="s">
        <v>1513</v>
      </c>
      <c r="F949" s="13"/>
      <c r="G949" s="9">
        <f>IFERROR(VLOOKUP(D949,Listas!$A$2:$B$20,2,FALSE()),999)</f>
        <v>2</v>
      </c>
      <c r="H949" s="9" t="str">
        <f t="shared" ca="1" si="14"/>
        <v>Sin fecha</v>
      </c>
      <c r="J949" s="11">
        <v>60</v>
      </c>
      <c r="K949" s="11">
        <v>60</v>
      </c>
      <c r="L949" s="12">
        <v>43336</v>
      </c>
      <c r="M949" t="s">
        <v>36</v>
      </c>
    </row>
    <row r="950" spans="1:13" ht="45">
      <c r="A950" s="6" t="s">
        <v>1725</v>
      </c>
      <c r="B950" s="7" t="s">
        <v>1412</v>
      </c>
      <c r="C950" s="7" t="s">
        <v>1726</v>
      </c>
      <c r="D950" s="6" t="s">
        <v>1467</v>
      </c>
      <c r="E950" s="7" t="s">
        <v>1513</v>
      </c>
      <c r="F950" s="13"/>
      <c r="G950" s="9">
        <f>IFERROR(VLOOKUP(D950,Listas!$A$2:$B$20,2,FALSE()),999)</f>
        <v>2</v>
      </c>
      <c r="H950" s="9" t="str">
        <f t="shared" ca="1" si="14"/>
        <v>Sin fecha</v>
      </c>
      <c r="J950" s="11">
        <v>60</v>
      </c>
      <c r="K950" s="11">
        <v>60</v>
      </c>
      <c r="L950" s="12">
        <v>43464</v>
      </c>
      <c r="M950" t="s">
        <v>36</v>
      </c>
    </row>
    <row r="951" spans="1:13" ht="45">
      <c r="A951" s="6" t="s">
        <v>1727</v>
      </c>
      <c r="B951" s="7" t="s">
        <v>1412</v>
      </c>
      <c r="C951" s="7" t="s">
        <v>1728</v>
      </c>
      <c r="D951" s="6" t="s">
        <v>1467</v>
      </c>
      <c r="E951" s="7" t="s">
        <v>1513</v>
      </c>
      <c r="F951" s="13"/>
      <c r="G951" s="9">
        <f>IFERROR(VLOOKUP(D951,Listas!$A$2:$B$20,2,FALSE()),999)</f>
        <v>2</v>
      </c>
      <c r="H951" s="9" t="str">
        <f t="shared" ca="1" si="14"/>
        <v>Sin fecha</v>
      </c>
      <c r="J951" s="11">
        <v>60</v>
      </c>
      <c r="K951" s="11">
        <v>60</v>
      </c>
      <c r="L951" s="12">
        <v>43464</v>
      </c>
      <c r="M951" t="s">
        <v>36</v>
      </c>
    </row>
    <row r="952" spans="1:13" ht="45">
      <c r="A952" s="6" t="s">
        <v>1729</v>
      </c>
      <c r="B952" s="7" t="s">
        <v>1412</v>
      </c>
      <c r="C952" s="7" t="s">
        <v>1730</v>
      </c>
      <c r="D952" s="6" t="s">
        <v>1467</v>
      </c>
      <c r="E952" s="7" t="s">
        <v>1513</v>
      </c>
      <c r="F952" s="13"/>
      <c r="G952" s="9">
        <f>IFERROR(VLOOKUP(D952,Listas!$A$2:$B$20,2,FALSE()),999)</f>
        <v>2</v>
      </c>
      <c r="H952" s="9" t="str">
        <f t="shared" ca="1" si="14"/>
        <v>Sin fecha</v>
      </c>
      <c r="J952" s="11">
        <v>60</v>
      </c>
      <c r="K952" s="11">
        <v>60</v>
      </c>
      <c r="L952" s="12">
        <v>43464</v>
      </c>
      <c r="M952" t="s">
        <v>36</v>
      </c>
    </row>
    <row r="953" spans="1:13" ht="45">
      <c r="A953" s="6" t="s">
        <v>1731</v>
      </c>
      <c r="B953" s="7" t="s">
        <v>1412</v>
      </c>
      <c r="C953" s="7" t="s">
        <v>1732</v>
      </c>
      <c r="D953" s="6" t="s">
        <v>1467</v>
      </c>
      <c r="E953" s="7" t="s">
        <v>1513</v>
      </c>
      <c r="F953" s="13"/>
      <c r="G953" s="9">
        <f>IFERROR(VLOOKUP(D953,Listas!$A$2:$B$20,2,FALSE()),999)</f>
        <v>2</v>
      </c>
      <c r="H953" s="9" t="str">
        <f t="shared" ca="1" si="14"/>
        <v>Sin fecha</v>
      </c>
      <c r="J953" s="11">
        <v>60</v>
      </c>
      <c r="K953" s="11">
        <v>60</v>
      </c>
      <c r="L953" s="12">
        <v>43464</v>
      </c>
      <c r="M953" t="s">
        <v>36</v>
      </c>
    </row>
    <row r="954" spans="1:13" ht="45">
      <c r="A954" s="6" t="s">
        <v>1733</v>
      </c>
      <c r="B954" s="7" t="s">
        <v>1412</v>
      </c>
      <c r="C954" s="7" t="s">
        <v>1734</v>
      </c>
      <c r="D954" s="6" t="s">
        <v>1467</v>
      </c>
      <c r="E954" s="7" t="s">
        <v>1513</v>
      </c>
      <c r="F954" s="13"/>
      <c r="G954" s="9">
        <f>IFERROR(VLOOKUP(D954,Listas!$A$2:$B$20,2,FALSE()),999)</f>
        <v>2</v>
      </c>
      <c r="H954" s="9" t="str">
        <f t="shared" ca="1" si="14"/>
        <v>Sin fecha</v>
      </c>
      <c r="J954" s="11">
        <v>60</v>
      </c>
      <c r="K954" s="11">
        <v>60</v>
      </c>
      <c r="L954" s="12">
        <v>43464</v>
      </c>
      <c r="M954" t="s">
        <v>36</v>
      </c>
    </row>
    <row r="955" spans="1:13" ht="45">
      <c r="A955" s="6" t="s">
        <v>1735</v>
      </c>
      <c r="B955" s="7" t="s">
        <v>1412</v>
      </c>
      <c r="C955" s="7" t="s">
        <v>1736</v>
      </c>
      <c r="D955" s="6" t="s">
        <v>1467</v>
      </c>
      <c r="E955" s="7" t="s">
        <v>1513</v>
      </c>
      <c r="F955" s="13"/>
      <c r="G955" s="9">
        <f>IFERROR(VLOOKUP(D955,Listas!$A$2:$B$20,2,FALSE()),999)</f>
        <v>2</v>
      </c>
      <c r="H955" s="9" t="str">
        <f t="shared" ca="1" si="14"/>
        <v>Sin fecha</v>
      </c>
      <c r="J955" s="11">
        <v>60</v>
      </c>
      <c r="K955" s="11">
        <v>60</v>
      </c>
      <c r="L955" s="12">
        <v>43464</v>
      </c>
      <c r="M955" t="s">
        <v>36</v>
      </c>
    </row>
    <row r="956" spans="1:13" ht="45">
      <c r="A956" s="6" t="s">
        <v>1737</v>
      </c>
      <c r="B956" s="7" t="s">
        <v>1412</v>
      </c>
      <c r="C956" s="7" t="s">
        <v>1738</v>
      </c>
      <c r="D956" s="6" t="s">
        <v>1467</v>
      </c>
      <c r="E956" s="7" t="s">
        <v>1513</v>
      </c>
      <c r="F956" s="13"/>
      <c r="G956" s="9">
        <f>IFERROR(VLOOKUP(D956,Listas!$A$2:$B$20,2,FALSE()),999)</f>
        <v>2</v>
      </c>
      <c r="H956" s="9" t="str">
        <f t="shared" ca="1" si="14"/>
        <v>Sin fecha</v>
      </c>
      <c r="J956" s="11">
        <v>60</v>
      </c>
      <c r="K956" s="11">
        <v>60</v>
      </c>
      <c r="L956" s="12">
        <v>43464</v>
      </c>
      <c r="M956" t="s">
        <v>36</v>
      </c>
    </row>
    <row r="957" spans="1:13" ht="45">
      <c r="A957" s="6" t="s">
        <v>1739</v>
      </c>
      <c r="B957" s="7" t="s">
        <v>1412</v>
      </c>
      <c r="C957" s="7" t="s">
        <v>1740</v>
      </c>
      <c r="D957" s="6" t="s">
        <v>1467</v>
      </c>
      <c r="E957" s="7" t="s">
        <v>1513</v>
      </c>
      <c r="F957" s="13"/>
      <c r="G957" s="9">
        <f>IFERROR(VLOOKUP(D957,Listas!$A$2:$B$20,2,FALSE()),999)</f>
        <v>2</v>
      </c>
      <c r="H957" s="9" t="str">
        <f t="shared" ca="1" si="14"/>
        <v>Sin fecha</v>
      </c>
      <c r="J957" s="11">
        <v>60</v>
      </c>
      <c r="K957" s="11">
        <v>60</v>
      </c>
      <c r="L957" s="12">
        <v>43464</v>
      </c>
      <c r="M957" t="s">
        <v>36</v>
      </c>
    </row>
    <row r="958" spans="1:13" ht="45">
      <c r="A958" s="6" t="s">
        <v>1741</v>
      </c>
      <c r="B958" s="7" t="s">
        <v>1412</v>
      </c>
      <c r="C958" s="7" t="s">
        <v>1742</v>
      </c>
      <c r="D958" s="6" t="s">
        <v>1467</v>
      </c>
      <c r="E958" s="7" t="s">
        <v>1513</v>
      </c>
      <c r="F958" s="13"/>
      <c r="G958" s="9">
        <f>IFERROR(VLOOKUP(D958,Listas!$A$2:$B$20,2,FALSE()),999)</f>
        <v>2</v>
      </c>
      <c r="H958" s="9" t="str">
        <f t="shared" ca="1" si="14"/>
        <v>Sin fecha</v>
      </c>
      <c r="J958" s="11">
        <v>60</v>
      </c>
      <c r="K958" s="11">
        <v>60</v>
      </c>
      <c r="L958" s="12">
        <v>43464</v>
      </c>
      <c r="M958" t="s">
        <v>36</v>
      </c>
    </row>
    <row r="959" spans="1:13" ht="45">
      <c r="A959" s="6" t="s">
        <v>1743</v>
      </c>
      <c r="B959" s="7" t="s">
        <v>1412</v>
      </c>
      <c r="C959" s="7" t="s">
        <v>1744</v>
      </c>
      <c r="D959" s="6" t="s">
        <v>1467</v>
      </c>
      <c r="E959" s="7" t="s">
        <v>1513</v>
      </c>
      <c r="F959" s="13"/>
      <c r="G959" s="9">
        <f>IFERROR(VLOOKUP(D959,Listas!$A$2:$B$20,2,FALSE()),999)</f>
        <v>2</v>
      </c>
      <c r="H959" s="9" t="str">
        <f t="shared" ca="1" si="14"/>
        <v>Sin fecha</v>
      </c>
      <c r="J959" s="11">
        <v>60</v>
      </c>
      <c r="K959" s="11">
        <v>60</v>
      </c>
      <c r="L959" s="12">
        <v>43464</v>
      </c>
      <c r="M959" t="s">
        <v>36</v>
      </c>
    </row>
    <row r="960" spans="1:13" ht="45">
      <c r="A960" s="6" t="s">
        <v>1745</v>
      </c>
      <c r="B960" s="7" t="s">
        <v>1412</v>
      </c>
      <c r="C960" s="7" t="s">
        <v>1746</v>
      </c>
      <c r="D960" s="6" t="s">
        <v>1467</v>
      </c>
      <c r="E960" s="7" t="s">
        <v>1513</v>
      </c>
      <c r="F960" s="13"/>
      <c r="G960" s="9">
        <f>IFERROR(VLOOKUP(D960,Listas!$A$2:$B$20,2,FALSE()),999)</f>
        <v>2</v>
      </c>
      <c r="H960" s="9" t="str">
        <f t="shared" ca="1" si="14"/>
        <v>Sin fecha</v>
      </c>
      <c r="J960" s="11">
        <v>60</v>
      </c>
      <c r="K960" s="11">
        <v>60</v>
      </c>
      <c r="L960" s="12">
        <v>43464</v>
      </c>
      <c r="M960" t="s">
        <v>36</v>
      </c>
    </row>
    <row r="961" spans="1:13" ht="45">
      <c r="A961" s="6" t="s">
        <v>1747</v>
      </c>
      <c r="B961" s="7" t="s">
        <v>1412</v>
      </c>
      <c r="C961" s="7" t="s">
        <v>1748</v>
      </c>
      <c r="D961" s="6" t="s">
        <v>1467</v>
      </c>
      <c r="E961" s="7" t="s">
        <v>1513</v>
      </c>
      <c r="F961" s="13"/>
      <c r="G961" s="9">
        <f>IFERROR(VLOOKUP(D961,Listas!$A$2:$B$20,2,FALSE()),999)</f>
        <v>2</v>
      </c>
      <c r="H961" s="9" t="str">
        <f t="shared" ca="1" si="14"/>
        <v>Sin fecha</v>
      </c>
      <c r="J961" s="11">
        <v>60</v>
      </c>
      <c r="K961" s="11">
        <v>60</v>
      </c>
      <c r="L961" s="12">
        <v>43464</v>
      </c>
      <c r="M961" t="s">
        <v>36</v>
      </c>
    </row>
    <row r="962" spans="1:13" ht="45">
      <c r="A962" s="6" t="s">
        <v>1749</v>
      </c>
      <c r="B962" s="7" t="s">
        <v>1412</v>
      </c>
      <c r="C962" s="7" t="s">
        <v>1750</v>
      </c>
      <c r="D962" s="6" t="s">
        <v>1467</v>
      </c>
      <c r="E962" s="7" t="s">
        <v>1513</v>
      </c>
      <c r="F962" s="13"/>
      <c r="G962" s="9">
        <f>IFERROR(VLOOKUP(D962,Listas!$A$2:$B$20,2,FALSE()),999)</f>
        <v>2</v>
      </c>
      <c r="H962" s="9" t="str">
        <f t="shared" ca="1" si="14"/>
        <v>Sin fecha</v>
      </c>
      <c r="J962" s="11">
        <v>60</v>
      </c>
      <c r="K962" s="11">
        <v>60</v>
      </c>
      <c r="L962" s="12">
        <v>43464</v>
      </c>
      <c r="M962" t="s">
        <v>36</v>
      </c>
    </row>
    <row r="963" spans="1:13" ht="45">
      <c r="A963" s="6" t="s">
        <v>1751</v>
      </c>
      <c r="B963" s="7" t="s">
        <v>1412</v>
      </c>
      <c r="C963" s="7" t="s">
        <v>1752</v>
      </c>
      <c r="D963" s="6" t="s">
        <v>1467</v>
      </c>
      <c r="E963" s="7" t="s">
        <v>1513</v>
      </c>
      <c r="F963" s="13"/>
      <c r="G963" s="9">
        <f>IFERROR(VLOOKUP(D963,Listas!$A$2:$B$20,2,FALSE()),999)</f>
        <v>2</v>
      </c>
      <c r="H963" s="9" t="str">
        <f t="shared" ca="1" si="14"/>
        <v>Sin fecha</v>
      </c>
      <c r="J963" s="11">
        <v>60</v>
      </c>
      <c r="K963" s="11">
        <v>60</v>
      </c>
      <c r="L963" s="12">
        <v>43464</v>
      </c>
      <c r="M963" t="s">
        <v>36</v>
      </c>
    </row>
    <row r="964" spans="1:13" ht="45">
      <c r="A964" s="6" t="s">
        <v>1753</v>
      </c>
      <c r="B964" s="7" t="s">
        <v>1412</v>
      </c>
      <c r="C964" s="7" t="s">
        <v>1754</v>
      </c>
      <c r="D964" s="6" t="s">
        <v>1467</v>
      </c>
      <c r="E964" s="7" t="s">
        <v>1513</v>
      </c>
      <c r="F964" s="13"/>
      <c r="G964" s="9">
        <f>IFERROR(VLOOKUP(D964,Listas!$A$2:$B$20,2,FALSE()),999)</f>
        <v>2</v>
      </c>
      <c r="H964" s="9" t="str">
        <f t="shared" ca="1" si="14"/>
        <v>Sin fecha</v>
      </c>
      <c r="J964" s="11">
        <v>60</v>
      </c>
      <c r="K964" s="11">
        <v>60</v>
      </c>
      <c r="L964" s="12">
        <v>43464</v>
      </c>
      <c r="M964" t="s">
        <v>36</v>
      </c>
    </row>
    <row r="965" spans="1:13" ht="45">
      <c r="A965" s="6" t="s">
        <v>1755</v>
      </c>
      <c r="B965" s="7" t="s">
        <v>1412</v>
      </c>
      <c r="C965" s="7" t="s">
        <v>1756</v>
      </c>
      <c r="D965" s="6" t="s">
        <v>1467</v>
      </c>
      <c r="E965" s="7" t="s">
        <v>1513</v>
      </c>
      <c r="F965" s="13"/>
      <c r="G965" s="9">
        <f>IFERROR(VLOOKUP(D965,Listas!$A$2:$B$20,2,FALSE()),999)</f>
        <v>2</v>
      </c>
      <c r="H965" s="9" t="str">
        <f t="shared" ref="H965:H1028" ca="1" si="15">IF(F965="","Sin fecha",IF(TODAY()-F965&gt;180,"Revisar",IF(TODAY()-F965&gt;90,"Próximo","Vigente")))</f>
        <v>Sin fecha</v>
      </c>
      <c r="J965" s="11">
        <v>60</v>
      </c>
      <c r="K965" s="11">
        <v>60</v>
      </c>
      <c r="L965" s="12">
        <v>43464</v>
      </c>
      <c r="M965" t="s">
        <v>36</v>
      </c>
    </row>
    <row r="966" spans="1:13" ht="45">
      <c r="A966" s="6" t="s">
        <v>1757</v>
      </c>
      <c r="B966" s="7" t="s">
        <v>1412</v>
      </c>
      <c r="C966" s="7" t="s">
        <v>1758</v>
      </c>
      <c r="D966" s="6" t="s">
        <v>1467</v>
      </c>
      <c r="E966" s="7" t="s">
        <v>1513</v>
      </c>
      <c r="F966" s="13"/>
      <c r="G966" s="9">
        <f>IFERROR(VLOOKUP(D966,Listas!$A$2:$B$20,2,FALSE()),999)</f>
        <v>2</v>
      </c>
      <c r="H966" s="9" t="str">
        <f t="shared" ca="1" si="15"/>
        <v>Sin fecha</v>
      </c>
      <c r="J966" s="11">
        <v>60</v>
      </c>
      <c r="K966" s="11">
        <v>60</v>
      </c>
      <c r="L966" s="12">
        <v>43464</v>
      </c>
      <c r="M966" t="s">
        <v>36</v>
      </c>
    </row>
    <row r="967" spans="1:13" ht="45">
      <c r="A967" s="6" t="s">
        <v>1759</v>
      </c>
      <c r="B967" s="7" t="s">
        <v>1412</v>
      </c>
      <c r="C967" s="7" t="s">
        <v>1760</v>
      </c>
      <c r="D967" s="6" t="s">
        <v>1467</v>
      </c>
      <c r="E967" s="7" t="s">
        <v>1513</v>
      </c>
      <c r="F967" s="13"/>
      <c r="G967" s="9">
        <f>IFERROR(VLOOKUP(D967,Listas!$A$2:$B$20,2,FALSE()),999)</f>
        <v>2</v>
      </c>
      <c r="H967" s="9" t="str">
        <f t="shared" ca="1" si="15"/>
        <v>Sin fecha</v>
      </c>
      <c r="J967" s="11">
        <v>60</v>
      </c>
      <c r="K967" s="11">
        <v>60</v>
      </c>
      <c r="L967" s="12">
        <v>43464</v>
      </c>
      <c r="M967" t="s">
        <v>36</v>
      </c>
    </row>
    <row r="968" spans="1:13" ht="30">
      <c r="A968" s="6" t="s">
        <v>1761</v>
      </c>
      <c r="B968" s="7" t="s">
        <v>1412</v>
      </c>
      <c r="C968" s="7" t="s">
        <v>1494</v>
      </c>
      <c r="D968" s="6" t="s">
        <v>1467</v>
      </c>
      <c r="E968" s="7" t="s">
        <v>1513</v>
      </c>
      <c r="F968" s="13"/>
      <c r="G968" s="9">
        <f>IFERROR(VLOOKUP(D968,Listas!$A$2:$B$20,2,FALSE()),999)</f>
        <v>2</v>
      </c>
      <c r="H968" s="9" t="str">
        <f t="shared" ca="1" si="15"/>
        <v>Sin fecha</v>
      </c>
      <c r="J968" s="11">
        <v>60</v>
      </c>
      <c r="K968" s="11">
        <v>60</v>
      </c>
      <c r="L968" s="12">
        <v>42704</v>
      </c>
      <c r="M968" t="s">
        <v>36</v>
      </c>
    </row>
    <row r="969" spans="1:13" ht="30">
      <c r="A969" s="6" t="s">
        <v>1762</v>
      </c>
      <c r="B969" s="7" t="s">
        <v>1412</v>
      </c>
      <c r="C969" s="7" t="s">
        <v>1494</v>
      </c>
      <c r="D969" s="6" t="s">
        <v>1467</v>
      </c>
      <c r="E969" s="7" t="s">
        <v>1513</v>
      </c>
      <c r="F969" s="13"/>
      <c r="G969" s="9">
        <f>IFERROR(VLOOKUP(D969,Listas!$A$2:$B$20,2,FALSE()),999)</f>
        <v>2</v>
      </c>
      <c r="H969" s="9" t="str">
        <f t="shared" ca="1" si="15"/>
        <v>Sin fecha</v>
      </c>
      <c r="J969" s="11">
        <v>60</v>
      </c>
      <c r="K969" s="11">
        <v>60</v>
      </c>
      <c r="L969" s="12">
        <v>42704</v>
      </c>
      <c r="M969" t="s">
        <v>36</v>
      </c>
    </row>
    <row r="970" spans="1:13" ht="30">
      <c r="A970" s="6" t="s">
        <v>1763</v>
      </c>
      <c r="B970" s="7" t="s">
        <v>1412</v>
      </c>
      <c r="C970" s="7" t="s">
        <v>1494</v>
      </c>
      <c r="D970" s="6" t="s">
        <v>18</v>
      </c>
      <c r="E970" s="7" t="s">
        <v>1764</v>
      </c>
      <c r="F970" s="13"/>
      <c r="G970" s="9">
        <f>IFERROR(VLOOKUP(D970,Listas!$A$2:$B$20,2,FALSE()),999)</f>
        <v>1</v>
      </c>
      <c r="H970" s="9" t="str">
        <f t="shared" ca="1" si="15"/>
        <v>Sin fecha</v>
      </c>
      <c r="J970" s="11">
        <v>60</v>
      </c>
      <c r="K970" s="11">
        <v>60</v>
      </c>
      <c r="L970" s="12">
        <v>42704</v>
      </c>
      <c r="M970" t="s">
        <v>36</v>
      </c>
    </row>
    <row r="971" spans="1:13" ht="30">
      <c r="A971" s="6" t="s">
        <v>1765</v>
      </c>
      <c r="B971" s="7" t="s">
        <v>1412</v>
      </c>
      <c r="C971" s="7" t="s">
        <v>1494</v>
      </c>
      <c r="D971" s="6" t="s">
        <v>1467</v>
      </c>
      <c r="E971" s="7" t="s">
        <v>1513</v>
      </c>
      <c r="F971" s="13"/>
      <c r="G971" s="9">
        <f>IFERROR(VLOOKUP(D971,Listas!$A$2:$B$20,2,FALSE()),999)</f>
        <v>2</v>
      </c>
      <c r="H971" s="9" t="str">
        <f t="shared" ca="1" si="15"/>
        <v>Sin fecha</v>
      </c>
      <c r="J971" s="11">
        <v>60</v>
      </c>
      <c r="K971" s="11">
        <v>60</v>
      </c>
      <c r="L971" s="12">
        <v>42704</v>
      </c>
      <c r="M971" t="s">
        <v>36</v>
      </c>
    </row>
    <row r="972" spans="1:13" ht="30">
      <c r="A972" s="6" t="s">
        <v>1766</v>
      </c>
      <c r="B972" s="7" t="s">
        <v>1412</v>
      </c>
      <c r="C972" s="7" t="s">
        <v>1494</v>
      </c>
      <c r="D972" s="6" t="s">
        <v>1467</v>
      </c>
      <c r="E972" s="7" t="s">
        <v>1513</v>
      </c>
      <c r="F972" s="13"/>
      <c r="G972" s="9">
        <f>IFERROR(VLOOKUP(D972,Listas!$A$2:$B$20,2,FALSE()),999)</f>
        <v>2</v>
      </c>
      <c r="H972" s="9" t="str">
        <f t="shared" ca="1" si="15"/>
        <v>Sin fecha</v>
      </c>
      <c r="J972" s="11">
        <v>60</v>
      </c>
      <c r="K972" s="11">
        <v>60</v>
      </c>
      <c r="L972" s="12">
        <v>42704</v>
      </c>
      <c r="M972" t="s">
        <v>36</v>
      </c>
    </row>
    <row r="973" spans="1:13" ht="30">
      <c r="A973" s="6" t="s">
        <v>1767</v>
      </c>
      <c r="B973" s="7" t="s">
        <v>1412</v>
      </c>
      <c r="C973" s="7" t="s">
        <v>1494</v>
      </c>
      <c r="D973" s="6" t="s">
        <v>1467</v>
      </c>
      <c r="E973" s="7" t="s">
        <v>1513</v>
      </c>
      <c r="F973" s="13"/>
      <c r="G973" s="9">
        <f>IFERROR(VLOOKUP(D973,Listas!$A$2:$B$20,2,FALSE()),999)</f>
        <v>2</v>
      </c>
      <c r="H973" s="9" t="str">
        <f t="shared" ca="1" si="15"/>
        <v>Sin fecha</v>
      </c>
      <c r="J973" s="11">
        <v>60</v>
      </c>
      <c r="K973" s="11">
        <v>60</v>
      </c>
      <c r="L973" s="12">
        <v>42704</v>
      </c>
      <c r="M973" t="s">
        <v>36</v>
      </c>
    </row>
    <row r="974" spans="1:13" ht="45">
      <c r="A974" s="6" t="s">
        <v>1768</v>
      </c>
      <c r="B974" s="7" t="s">
        <v>1412</v>
      </c>
      <c r="C974" s="7" t="s">
        <v>1769</v>
      </c>
      <c r="D974" s="6" t="s">
        <v>1467</v>
      </c>
      <c r="E974" s="7" t="s">
        <v>1513</v>
      </c>
      <c r="F974" s="13"/>
      <c r="G974" s="9">
        <f>IFERROR(VLOOKUP(D974,Listas!$A$2:$B$20,2,FALSE()),999)</f>
        <v>2</v>
      </c>
      <c r="H974" s="9" t="str">
        <f t="shared" ca="1" si="15"/>
        <v>Sin fecha</v>
      </c>
      <c r="J974" s="11">
        <v>60</v>
      </c>
      <c r="K974" s="11">
        <v>60</v>
      </c>
      <c r="L974" s="12">
        <v>43236</v>
      </c>
      <c r="M974" t="s">
        <v>36</v>
      </c>
    </row>
    <row r="975" spans="1:13" ht="45">
      <c r="A975" s="6" t="s">
        <v>1770</v>
      </c>
      <c r="B975" s="7" t="s">
        <v>1412</v>
      </c>
      <c r="C975" s="7" t="s">
        <v>1769</v>
      </c>
      <c r="D975" s="6" t="s">
        <v>1467</v>
      </c>
      <c r="E975" s="7" t="s">
        <v>1513</v>
      </c>
      <c r="F975" s="13"/>
      <c r="G975" s="9">
        <f>IFERROR(VLOOKUP(D975,Listas!$A$2:$B$20,2,FALSE()),999)</f>
        <v>2</v>
      </c>
      <c r="H975" s="9" t="str">
        <f t="shared" ca="1" si="15"/>
        <v>Sin fecha</v>
      </c>
      <c r="J975" s="11">
        <v>60</v>
      </c>
      <c r="K975" s="11">
        <v>60</v>
      </c>
      <c r="L975" s="12">
        <v>43236</v>
      </c>
      <c r="M975" t="s">
        <v>36</v>
      </c>
    </row>
    <row r="976" spans="1:13" ht="45">
      <c r="A976" s="6" t="s">
        <v>1771</v>
      </c>
      <c r="B976" s="7" t="s">
        <v>1412</v>
      </c>
      <c r="C976" s="7" t="s">
        <v>1769</v>
      </c>
      <c r="D976" s="6" t="s">
        <v>1467</v>
      </c>
      <c r="E976" s="7" t="s">
        <v>1513</v>
      </c>
      <c r="F976" s="13"/>
      <c r="G976" s="9">
        <f>IFERROR(VLOOKUP(D976,Listas!$A$2:$B$20,2,FALSE()),999)</f>
        <v>2</v>
      </c>
      <c r="H976" s="9" t="str">
        <f t="shared" ca="1" si="15"/>
        <v>Sin fecha</v>
      </c>
      <c r="J976" s="11">
        <v>60</v>
      </c>
      <c r="K976" s="11">
        <v>60</v>
      </c>
      <c r="L976" s="12">
        <v>43236</v>
      </c>
      <c r="M976" t="s">
        <v>36</v>
      </c>
    </row>
    <row r="977" spans="1:13" ht="45">
      <c r="A977" s="6" t="s">
        <v>1772</v>
      </c>
      <c r="B977" s="7" t="s">
        <v>1412</v>
      </c>
      <c r="C977" s="7" t="s">
        <v>1769</v>
      </c>
      <c r="D977" s="6" t="s">
        <v>1467</v>
      </c>
      <c r="E977" s="7" t="s">
        <v>1513</v>
      </c>
      <c r="F977" s="13"/>
      <c r="G977" s="9">
        <f>IFERROR(VLOOKUP(D977,Listas!$A$2:$B$20,2,FALSE()),999)</f>
        <v>2</v>
      </c>
      <c r="H977" s="9" t="str">
        <f t="shared" ca="1" si="15"/>
        <v>Sin fecha</v>
      </c>
      <c r="J977" s="11">
        <v>60</v>
      </c>
      <c r="K977" s="11">
        <v>60</v>
      </c>
      <c r="L977" s="12">
        <v>43236</v>
      </c>
      <c r="M977" t="s">
        <v>36</v>
      </c>
    </row>
    <row r="978" spans="1:13" ht="45">
      <c r="A978" s="6" t="s">
        <v>1773</v>
      </c>
      <c r="B978" s="7" t="s">
        <v>1412</v>
      </c>
      <c r="C978" s="7" t="s">
        <v>1769</v>
      </c>
      <c r="D978" s="6" t="s">
        <v>18</v>
      </c>
      <c r="E978" s="7" t="s">
        <v>1543</v>
      </c>
      <c r="F978" s="13"/>
      <c r="G978" s="9">
        <f>IFERROR(VLOOKUP(D978,Listas!$A$2:$B$20,2,FALSE()),999)</f>
        <v>1</v>
      </c>
      <c r="H978" s="9" t="str">
        <f t="shared" ca="1" si="15"/>
        <v>Sin fecha</v>
      </c>
      <c r="J978" s="11">
        <v>60</v>
      </c>
      <c r="K978" s="11">
        <v>60</v>
      </c>
      <c r="L978" s="12">
        <v>43236</v>
      </c>
      <c r="M978" t="s">
        <v>36</v>
      </c>
    </row>
    <row r="979" spans="1:13" ht="45">
      <c r="A979" s="6" t="s">
        <v>1774</v>
      </c>
      <c r="B979" s="7" t="s">
        <v>1412</v>
      </c>
      <c r="C979" s="7" t="s">
        <v>1769</v>
      </c>
      <c r="D979" s="6" t="s">
        <v>1467</v>
      </c>
      <c r="E979" s="7" t="s">
        <v>1513</v>
      </c>
      <c r="F979" s="13"/>
      <c r="G979" s="9">
        <f>IFERROR(VLOOKUP(D979,Listas!$A$2:$B$20,2,FALSE()),999)</f>
        <v>2</v>
      </c>
      <c r="H979" s="9" t="str">
        <f t="shared" ca="1" si="15"/>
        <v>Sin fecha</v>
      </c>
      <c r="J979" s="11">
        <v>60</v>
      </c>
      <c r="K979" s="11">
        <v>60</v>
      </c>
      <c r="L979" s="12">
        <v>43236</v>
      </c>
      <c r="M979" t="s">
        <v>36</v>
      </c>
    </row>
    <row r="980" spans="1:13" ht="45">
      <c r="A980" s="6" t="s">
        <v>1775</v>
      </c>
      <c r="B980" s="7" t="s">
        <v>1412</v>
      </c>
      <c r="C980" s="7" t="s">
        <v>1769</v>
      </c>
      <c r="D980" s="6" t="s">
        <v>1467</v>
      </c>
      <c r="E980" s="7" t="s">
        <v>1513</v>
      </c>
      <c r="F980" s="13"/>
      <c r="G980" s="9">
        <f>IFERROR(VLOOKUP(D980,Listas!$A$2:$B$20,2,FALSE()),999)</f>
        <v>2</v>
      </c>
      <c r="H980" s="9" t="str">
        <f t="shared" ca="1" si="15"/>
        <v>Sin fecha</v>
      </c>
      <c r="J980" s="11">
        <v>60</v>
      </c>
      <c r="K980" s="11">
        <v>60</v>
      </c>
      <c r="L980" s="12">
        <v>43236</v>
      </c>
      <c r="M980" t="s">
        <v>36</v>
      </c>
    </row>
    <row r="981" spans="1:13" ht="45">
      <c r="A981" s="6" t="s">
        <v>1776</v>
      </c>
      <c r="B981" s="7" t="s">
        <v>1412</v>
      </c>
      <c r="C981" s="7" t="s">
        <v>1769</v>
      </c>
      <c r="D981" s="6" t="s">
        <v>1467</v>
      </c>
      <c r="E981" s="7" t="s">
        <v>1513</v>
      </c>
      <c r="F981" s="13"/>
      <c r="G981" s="9">
        <f>IFERROR(VLOOKUP(D981,Listas!$A$2:$B$20,2,FALSE()),999)</f>
        <v>2</v>
      </c>
      <c r="H981" s="9" t="str">
        <f t="shared" ca="1" si="15"/>
        <v>Sin fecha</v>
      </c>
      <c r="J981" s="11">
        <v>60</v>
      </c>
      <c r="K981" s="11">
        <v>60</v>
      </c>
      <c r="L981" s="12">
        <v>43236</v>
      </c>
      <c r="M981" t="s">
        <v>36</v>
      </c>
    </row>
    <row r="982" spans="1:13" ht="45">
      <c r="A982" s="6" t="s">
        <v>1777</v>
      </c>
      <c r="B982" s="7" t="s">
        <v>1412</v>
      </c>
      <c r="C982" s="7" t="s">
        <v>1769</v>
      </c>
      <c r="D982" s="6" t="s">
        <v>1467</v>
      </c>
      <c r="E982" s="7" t="s">
        <v>1513</v>
      </c>
      <c r="F982" s="13"/>
      <c r="G982" s="9">
        <f>IFERROR(VLOOKUP(D982,Listas!$A$2:$B$20,2,FALSE()),999)</f>
        <v>2</v>
      </c>
      <c r="H982" s="9" t="str">
        <f t="shared" ca="1" si="15"/>
        <v>Sin fecha</v>
      </c>
      <c r="J982" s="11">
        <v>60</v>
      </c>
      <c r="K982" s="11">
        <v>60</v>
      </c>
      <c r="L982" s="12">
        <v>43236</v>
      </c>
      <c r="M982" t="s">
        <v>36</v>
      </c>
    </row>
    <row r="983" spans="1:13" ht="45">
      <c r="A983" s="6" t="s">
        <v>1778</v>
      </c>
      <c r="B983" s="7" t="s">
        <v>1412</v>
      </c>
      <c r="C983" s="7" t="s">
        <v>1769</v>
      </c>
      <c r="D983" s="6" t="s">
        <v>1467</v>
      </c>
      <c r="E983" s="7" t="s">
        <v>1513</v>
      </c>
      <c r="F983" s="13"/>
      <c r="G983" s="9">
        <f>IFERROR(VLOOKUP(D983,Listas!$A$2:$B$20,2,FALSE()),999)</f>
        <v>2</v>
      </c>
      <c r="H983" s="9" t="str">
        <f t="shared" ca="1" si="15"/>
        <v>Sin fecha</v>
      </c>
      <c r="J983" s="11">
        <v>60</v>
      </c>
      <c r="K983" s="11">
        <v>60</v>
      </c>
      <c r="L983" s="12">
        <v>43236</v>
      </c>
      <c r="M983" t="s">
        <v>36</v>
      </c>
    </row>
    <row r="984" spans="1:13" ht="45">
      <c r="A984" s="6" t="s">
        <v>1779</v>
      </c>
      <c r="B984" s="7" t="s">
        <v>1412</v>
      </c>
      <c r="C984" s="7" t="s">
        <v>1769</v>
      </c>
      <c r="D984" s="6" t="s">
        <v>1467</v>
      </c>
      <c r="E984" s="7" t="s">
        <v>1513</v>
      </c>
      <c r="F984" s="13"/>
      <c r="G984" s="9">
        <f>IFERROR(VLOOKUP(D984,Listas!$A$2:$B$20,2,FALSE()),999)</f>
        <v>2</v>
      </c>
      <c r="H984" s="9" t="str">
        <f t="shared" ca="1" si="15"/>
        <v>Sin fecha</v>
      </c>
      <c r="J984" s="11">
        <v>60</v>
      </c>
      <c r="K984" s="11">
        <v>60</v>
      </c>
      <c r="L984" s="12">
        <v>43236</v>
      </c>
      <c r="M984" t="s">
        <v>36</v>
      </c>
    </row>
    <row r="985" spans="1:13" ht="45">
      <c r="A985" s="6" t="s">
        <v>1780</v>
      </c>
      <c r="B985" s="7" t="s">
        <v>1412</v>
      </c>
      <c r="C985" s="7" t="s">
        <v>1769</v>
      </c>
      <c r="D985" s="6" t="s">
        <v>1467</v>
      </c>
      <c r="E985" s="7" t="s">
        <v>1513</v>
      </c>
      <c r="F985" s="13"/>
      <c r="G985" s="9">
        <f>IFERROR(VLOOKUP(D985,Listas!$A$2:$B$20,2,FALSE()),999)</f>
        <v>2</v>
      </c>
      <c r="H985" s="9" t="str">
        <f t="shared" ca="1" si="15"/>
        <v>Sin fecha</v>
      </c>
      <c r="J985" s="11">
        <v>60</v>
      </c>
      <c r="K985" s="11">
        <v>60</v>
      </c>
      <c r="L985" s="12">
        <v>43236</v>
      </c>
      <c r="M985" t="s">
        <v>36</v>
      </c>
    </row>
    <row r="986" spans="1:13" ht="45">
      <c r="A986" s="6" t="s">
        <v>1781</v>
      </c>
      <c r="B986" s="7" t="s">
        <v>1412</v>
      </c>
      <c r="C986" s="7" t="s">
        <v>1769</v>
      </c>
      <c r="D986" s="6" t="s">
        <v>1467</v>
      </c>
      <c r="E986" s="7" t="s">
        <v>1513</v>
      </c>
      <c r="F986" s="13"/>
      <c r="G986" s="9">
        <f>IFERROR(VLOOKUP(D986,Listas!$A$2:$B$20,2,FALSE()),999)</f>
        <v>2</v>
      </c>
      <c r="H986" s="9" t="str">
        <f t="shared" ca="1" si="15"/>
        <v>Sin fecha</v>
      </c>
      <c r="J986" s="11">
        <v>60</v>
      </c>
      <c r="K986" s="11">
        <v>60</v>
      </c>
      <c r="L986" s="12">
        <v>43236</v>
      </c>
      <c r="M986" t="s">
        <v>36</v>
      </c>
    </row>
    <row r="987" spans="1:13" ht="45">
      <c r="A987" s="6" t="s">
        <v>1782</v>
      </c>
      <c r="B987" s="7" t="s">
        <v>1412</v>
      </c>
      <c r="C987" s="7" t="s">
        <v>1769</v>
      </c>
      <c r="D987" s="6" t="s">
        <v>1467</v>
      </c>
      <c r="E987" s="7" t="s">
        <v>1513</v>
      </c>
      <c r="F987" s="13"/>
      <c r="G987" s="9">
        <f>IFERROR(VLOOKUP(D987,Listas!$A$2:$B$20,2,FALSE()),999)</f>
        <v>2</v>
      </c>
      <c r="H987" s="9" t="str">
        <f t="shared" ca="1" si="15"/>
        <v>Sin fecha</v>
      </c>
      <c r="J987" s="11">
        <v>60</v>
      </c>
      <c r="K987" s="11">
        <v>60</v>
      </c>
      <c r="L987" s="12">
        <v>43236</v>
      </c>
      <c r="M987" t="s">
        <v>36</v>
      </c>
    </row>
    <row r="988" spans="1:13" ht="45">
      <c r="A988" s="6" t="s">
        <v>1783</v>
      </c>
      <c r="B988" s="7" t="s">
        <v>1412</v>
      </c>
      <c r="C988" s="7" t="s">
        <v>1769</v>
      </c>
      <c r="D988" s="6" t="s">
        <v>1467</v>
      </c>
      <c r="E988" s="7" t="s">
        <v>1513</v>
      </c>
      <c r="F988" s="13"/>
      <c r="G988" s="9">
        <f>IFERROR(VLOOKUP(D988,Listas!$A$2:$B$20,2,FALSE()),999)</f>
        <v>2</v>
      </c>
      <c r="H988" s="9" t="str">
        <f t="shared" ca="1" si="15"/>
        <v>Sin fecha</v>
      </c>
      <c r="J988" s="11">
        <v>60</v>
      </c>
      <c r="K988" s="11">
        <v>60</v>
      </c>
      <c r="L988" s="12">
        <v>43236</v>
      </c>
      <c r="M988" t="s">
        <v>36</v>
      </c>
    </row>
    <row r="989" spans="1:13" ht="45">
      <c r="A989" s="6" t="s">
        <v>1784</v>
      </c>
      <c r="B989" s="7" t="s">
        <v>1412</v>
      </c>
      <c r="C989" s="7" t="s">
        <v>1769</v>
      </c>
      <c r="D989" s="6" t="s">
        <v>1467</v>
      </c>
      <c r="E989" s="7" t="s">
        <v>1513</v>
      </c>
      <c r="F989" s="13"/>
      <c r="G989" s="9">
        <f>IFERROR(VLOOKUP(D989,Listas!$A$2:$B$20,2,FALSE()),999)</f>
        <v>2</v>
      </c>
      <c r="H989" s="9" t="str">
        <f t="shared" ca="1" si="15"/>
        <v>Sin fecha</v>
      </c>
      <c r="J989" s="11">
        <v>60</v>
      </c>
      <c r="K989" s="11">
        <v>60</v>
      </c>
      <c r="L989" s="12">
        <v>43236</v>
      </c>
      <c r="M989" t="s">
        <v>36</v>
      </c>
    </row>
    <row r="990" spans="1:13" ht="45">
      <c r="A990" s="6" t="s">
        <v>1785</v>
      </c>
      <c r="B990" s="7" t="s">
        <v>1412</v>
      </c>
      <c r="C990" s="7" t="s">
        <v>1769</v>
      </c>
      <c r="D990" s="6" t="s">
        <v>1467</v>
      </c>
      <c r="E990" s="7" t="s">
        <v>1513</v>
      </c>
      <c r="F990" s="13"/>
      <c r="G990" s="9">
        <f>IFERROR(VLOOKUP(D990,Listas!$A$2:$B$20,2,FALSE()),999)</f>
        <v>2</v>
      </c>
      <c r="H990" s="9" t="str">
        <f t="shared" ca="1" si="15"/>
        <v>Sin fecha</v>
      </c>
      <c r="J990" s="11">
        <v>60</v>
      </c>
      <c r="K990" s="11">
        <v>60</v>
      </c>
      <c r="L990" s="12">
        <v>43236</v>
      </c>
      <c r="M990" t="s">
        <v>36</v>
      </c>
    </row>
    <row r="991" spans="1:13" ht="45">
      <c r="A991" s="6" t="s">
        <v>1786</v>
      </c>
      <c r="B991" s="7" t="s">
        <v>1412</v>
      </c>
      <c r="C991" s="7" t="s">
        <v>1769</v>
      </c>
      <c r="D991" s="6" t="s">
        <v>1467</v>
      </c>
      <c r="E991" s="7" t="s">
        <v>1513</v>
      </c>
      <c r="F991" s="13"/>
      <c r="G991" s="9">
        <f>IFERROR(VLOOKUP(D991,Listas!$A$2:$B$20,2,FALSE()),999)</f>
        <v>2</v>
      </c>
      <c r="H991" s="9" t="str">
        <f t="shared" ca="1" si="15"/>
        <v>Sin fecha</v>
      </c>
      <c r="J991" s="11">
        <v>60</v>
      </c>
      <c r="K991" s="11">
        <v>60</v>
      </c>
      <c r="L991" s="12">
        <v>43236</v>
      </c>
      <c r="M991" t="s">
        <v>36</v>
      </c>
    </row>
    <row r="992" spans="1:13" ht="45">
      <c r="A992" s="6" t="s">
        <v>1787</v>
      </c>
      <c r="B992" s="7" t="s">
        <v>1412</v>
      </c>
      <c r="C992" s="7" t="s">
        <v>1769</v>
      </c>
      <c r="D992" s="6" t="s">
        <v>1467</v>
      </c>
      <c r="E992" s="7" t="s">
        <v>1513</v>
      </c>
      <c r="F992" s="13"/>
      <c r="G992" s="9">
        <f>IFERROR(VLOOKUP(D992,Listas!$A$2:$B$20,2,FALSE()),999)</f>
        <v>2</v>
      </c>
      <c r="H992" s="9" t="str">
        <f t="shared" ca="1" si="15"/>
        <v>Sin fecha</v>
      </c>
      <c r="J992" s="11">
        <v>60</v>
      </c>
      <c r="K992" s="11">
        <v>60</v>
      </c>
      <c r="L992" s="12">
        <v>43236</v>
      </c>
      <c r="M992" t="s">
        <v>36</v>
      </c>
    </row>
    <row r="993" spans="1:13" ht="45">
      <c r="A993" s="6" t="s">
        <v>1788</v>
      </c>
      <c r="B993" s="7" t="s">
        <v>1412</v>
      </c>
      <c r="C993" s="7" t="s">
        <v>1769</v>
      </c>
      <c r="D993" s="6" t="s">
        <v>1467</v>
      </c>
      <c r="E993" s="7" t="s">
        <v>1513</v>
      </c>
      <c r="F993" s="13"/>
      <c r="G993" s="9">
        <f>IFERROR(VLOOKUP(D993,Listas!$A$2:$B$20,2,FALSE()),999)</f>
        <v>2</v>
      </c>
      <c r="H993" s="9" t="str">
        <f t="shared" ca="1" si="15"/>
        <v>Sin fecha</v>
      </c>
      <c r="J993" s="11">
        <v>60</v>
      </c>
      <c r="K993" s="11">
        <v>60</v>
      </c>
      <c r="L993" s="12">
        <v>43236</v>
      </c>
      <c r="M993" t="s">
        <v>36</v>
      </c>
    </row>
    <row r="994" spans="1:13" ht="45">
      <c r="A994" s="6" t="s">
        <v>1789</v>
      </c>
      <c r="B994" s="7" t="s">
        <v>1412</v>
      </c>
      <c r="C994" s="7" t="s">
        <v>1769</v>
      </c>
      <c r="D994" s="6" t="s">
        <v>1467</v>
      </c>
      <c r="E994" s="7" t="s">
        <v>1513</v>
      </c>
      <c r="F994" s="13"/>
      <c r="G994" s="9">
        <f>IFERROR(VLOOKUP(D994,Listas!$A$2:$B$20,2,FALSE()),999)</f>
        <v>2</v>
      </c>
      <c r="H994" s="9" t="str">
        <f t="shared" ca="1" si="15"/>
        <v>Sin fecha</v>
      </c>
      <c r="J994" s="11">
        <v>60</v>
      </c>
      <c r="K994" s="11">
        <v>60</v>
      </c>
      <c r="L994" s="12">
        <v>43236</v>
      </c>
      <c r="M994" t="s">
        <v>36</v>
      </c>
    </row>
    <row r="995" spans="1:13" ht="45">
      <c r="A995" s="6" t="s">
        <v>1790</v>
      </c>
      <c r="B995" s="7" t="s">
        <v>1412</v>
      </c>
      <c r="C995" s="7" t="s">
        <v>1791</v>
      </c>
      <c r="D995" s="6" t="s">
        <v>1467</v>
      </c>
      <c r="E995" s="7" t="s">
        <v>1513</v>
      </c>
      <c r="F995" s="13"/>
      <c r="G995" s="9">
        <f>IFERROR(VLOOKUP(D995,Listas!$A$2:$B$20,2,FALSE()),999)</f>
        <v>2</v>
      </c>
      <c r="H995" s="9" t="str">
        <f t="shared" ca="1" si="15"/>
        <v>Sin fecha</v>
      </c>
      <c r="J995" s="11">
        <v>60</v>
      </c>
      <c r="K995" s="11">
        <v>60</v>
      </c>
      <c r="L995" s="12">
        <v>43464</v>
      </c>
      <c r="M995" t="s">
        <v>36</v>
      </c>
    </row>
    <row r="996" spans="1:13" ht="45">
      <c r="A996" s="6" t="s">
        <v>1792</v>
      </c>
      <c r="B996" s="7" t="s">
        <v>1412</v>
      </c>
      <c r="C996" s="7" t="s">
        <v>1793</v>
      </c>
      <c r="D996" s="6" t="s">
        <v>1467</v>
      </c>
      <c r="E996" s="7" t="s">
        <v>1468</v>
      </c>
      <c r="F996" s="13"/>
      <c r="G996" s="9">
        <f>IFERROR(VLOOKUP(D996,Listas!$A$2:$B$20,2,FALSE()),999)</f>
        <v>2</v>
      </c>
      <c r="H996" s="9" t="str">
        <f t="shared" ca="1" si="15"/>
        <v>Sin fecha</v>
      </c>
      <c r="J996" s="11">
        <v>60</v>
      </c>
      <c r="K996" s="11">
        <v>60</v>
      </c>
      <c r="L996" s="12">
        <v>43464</v>
      </c>
      <c r="M996" t="s">
        <v>36</v>
      </c>
    </row>
    <row r="997" spans="1:13" ht="30">
      <c r="A997" s="6" t="s">
        <v>1794</v>
      </c>
      <c r="B997" s="7" t="s">
        <v>1412</v>
      </c>
      <c r="C997" s="7" t="s">
        <v>228</v>
      </c>
      <c r="D997" s="6" t="s">
        <v>18</v>
      </c>
      <c r="E997" s="7" t="s">
        <v>1795</v>
      </c>
      <c r="F997" s="13"/>
      <c r="G997" s="9">
        <f>IFERROR(VLOOKUP(D997,Listas!$A$2:$B$20,2,FALSE()),999)</f>
        <v>1</v>
      </c>
      <c r="H997" s="9" t="str">
        <f t="shared" ca="1" si="15"/>
        <v>Sin fecha</v>
      </c>
      <c r="J997" s="11">
        <v>60</v>
      </c>
      <c r="K997" s="11">
        <v>60</v>
      </c>
      <c r="L997" s="12">
        <v>41455</v>
      </c>
      <c r="M997" t="s">
        <v>36</v>
      </c>
    </row>
    <row r="998" spans="1:13" ht="30">
      <c r="A998" s="6" t="s">
        <v>1796</v>
      </c>
      <c r="B998" s="7" t="s">
        <v>1412</v>
      </c>
      <c r="C998" s="7" t="s">
        <v>228</v>
      </c>
      <c r="D998" s="6" t="s">
        <v>18</v>
      </c>
      <c r="E998" s="7" t="s">
        <v>1464</v>
      </c>
      <c r="F998" s="13"/>
      <c r="G998" s="9">
        <f>IFERROR(VLOOKUP(D998,Listas!$A$2:$B$20,2,FALSE()),999)</f>
        <v>1</v>
      </c>
      <c r="H998" s="9" t="str">
        <f t="shared" ca="1" si="15"/>
        <v>Sin fecha</v>
      </c>
      <c r="J998" s="11">
        <v>60</v>
      </c>
      <c r="K998" s="11">
        <v>60</v>
      </c>
      <c r="L998" s="12">
        <v>41455</v>
      </c>
      <c r="M998" t="s">
        <v>36</v>
      </c>
    </row>
    <row r="999" spans="1:13" ht="30">
      <c r="A999" s="6" t="s">
        <v>1797</v>
      </c>
      <c r="B999" s="7" t="s">
        <v>1412</v>
      </c>
      <c r="C999" s="7" t="s">
        <v>228</v>
      </c>
      <c r="D999" s="6" t="s">
        <v>1467</v>
      </c>
      <c r="E999" s="7" t="s">
        <v>1605</v>
      </c>
      <c r="F999" s="13"/>
      <c r="G999" s="9">
        <f>IFERROR(VLOOKUP(D999,Listas!$A$2:$B$20,2,FALSE()),999)</f>
        <v>2</v>
      </c>
      <c r="H999" s="9" t="str">
        <f t="shared" ca="1" si="15"/>
        <v>Sin fecha</v>
      </c>
      <c r="J999" s="11">
        <v>60</v>
      </c>
      <c r="K999" s="11">
        <v>60</v>
      </c>
      <c r="L999" s="12">
        <v>41455</v>
      </c>
      <c r="M999" t="s">
        <v>36</v>
      </c>
    </row>
    <row r="1000" spans="1:13" ht="30">
      <c r="A1000" s="6" t="s">
        <v>1798</v>
      </c>
      <c r="B1000" s="7" t="s">
        <v>1412</v>
      </c>
      <c r="C1000" s="7" t="s">
        <v>228</v>
      </c>
      <c r="D1000" s="6" t="s">
        <v>1467</v>
      </c>
      <c r="E1000" s="7" t="s">
        <v>1605</v>
      </c>
      <c r="F1000" s="13"/>
      <c r="G1000" s="9">
        <f>IFERROR(VLOOKUP(D1000,Listas!$A$2:$B$20,2,FALSE()),999)</f>
        <v>2</v>
      </c>
      <c r="H1000" s="9" t="str">
        <f t="shared" ca="1" si="15"/>
        <v>Sin fecha</v>
      </c>
      <c r="J1000" s="11">
        <v>60</v>
      </c>
      <c r="K1000" s="11">
        <v>60</v>
      </c>
      <c r="L1000" s="12">
        <v>41455</v>
      </c>
      <c r="M1000" t="s">
        <v>36</v>
      </c>
    </row>
    <row r="1001" spans="1:13" ht="30">
      <c r="A1001" s="6" t="s">
        <v>1799</v>
      </c>
      <c r="B1001" s="7" t="s">
        <v>1412</v>
      </c>
      <c r="C1001" s="7" t="s">
        <v>228</v>
      </c>
      <c r="D1001" s="6" t="s">
        <v>1467</v>
      </c>
      <c r="E1001" s="7" t="s">
        <v>1513</v>
      </c>
      <c r="F1001" s="13"/>
      <c r="G1001" s="9">
        <f>IFERROR(VLOOKUP(D1001,Listas!$A$2:$B$20,2,FALSE()),999)</f>
        <v>2</v>
      </c>
      <c r="H1001" s="9" t="str">
        <f t="shared" ca="1" si="15"/>
        <v>Sin fecha</v>
      </c>
      <c r="J1001" s="11">
        <v>60</v>
      </c>
      <c r="K1001" s="11">
        <v>60</v>
      </c>
      <c r="L1001" s="12">
        <v>41455</v>
      </c>
      <c r="M1001" t="s">
        <v>36</v>
      </c>
    </row>
    <row r="1002" spans="1:13" ht="30">
      <c r="A1002" s="6" t="s">
        <v>1800</v>
      </c>
      <c r="B1002" s="7" t="s">
        <v>1412</v>
      </c>
      <c r="C1002" s="7" t="s">
        <v>228</v>
      </c>
      <c r="D1002" s="6" t="s">
        <v>18</v>
      </c>
      <c r="E1002" s="7" t="s">
        <v>1556</v>
      </c>
      <c r="F1002" s="13"/>
      <c r="G1002" s="9">
        <f>IFERROR(VLOOKUP(D1002,Listas!$A$2:$B$20,2,FALSE()),999)</f>
        <v>1</v>
      </c>
      <c r="H1002" s="9" t="str">
        <f t="shared" ca="1" si="15"/>
        <v>Sin fecha</v>
      </c>
      <c r="J1002" s="11">
        <v>60</v>
      </c>
      <c r="K1002" s="11">
        <v>60</v>
      </c>
      <c r="L1002" s="12">
        <v>41455</v>
      </c>
      <c r="M1002" t="s">
        <v>36</v>
      </c>
    </row>
    <row r="1003" spans="1:13" ht="30">
      <c r="A1003" s="6" t="s">
        <v>1801</v>
      </c>
      <c r="B1003" s="7" t="s">
        <v>1412</v>
      </c>
      <c r="C1003" s="7" t="s">
        <v>228</v>
      </c>
      <c r="D1003" s="6" t="s">
        <v>1467</v>
      </c>
      <c r="E1003" s="7" t="s">
        <v>1605</v>
      </c>
      <c r="F1003" s="13"/>
      <c r="G1003" s="9">
        <f>IFERROR(VLOOKUP(D1003,Listas!$A$2:$B$20,2,FALSE()),999)</f>
        <v>2</v>
      </c>
      <c r="H1003" s="9" t="str">
        <f t="shared" ca="1" si="15"/>
        <v>Sin fecha</v>
      </c>
      <c r="J1003" s="11">
        <v>60</v>
      </c>
      <c r="K1003" s="11">
        <v>60</v>
      </c>
      <c r="L1003" s="12">
        <v>41455</v>
      </c>
      <c r="M1003" t="s">
        <v>36</v>
      </c>
    </row>
    <row r="1004" spans="1:13" ht="45">
      <c r="A1004" s="6" t="s">
        <v>1802</v>
      </c>
      <c r="B1004" s="7" t="s">
        <v>1511</v>
      </c>
      <c r="C1004" s="7" t="s">
        <v>1803</v>
      </c>
      <c r="D1004" s="6" t="s">
        <v>1467</v>
      </c>
      <c r="E1004" s="7" t="s">
        <v>1513</v>
      </c>
      <c r="F1004" s="13"/>
      <c r="G1004" s="9">
        <f>IFERROR(VLOOKUP(D1004,Listas!$A$2:$B$20,2,FALSE()),999)</f>
        <v>2</v>
      </c>
      <c r="H1004" s="9" t="str">
        <f t="shared" ca="1" si="15"/>
        <v>Sin fecha</v>
      </c>
      <c r="J1004" s="11">
        <v>60</v>
      </c>
      <c r="K1004" s="11">
        <v>60</v>
      </c>
      <c r="L1004" s="12">
        <v>41455</v>
      </c>
      <c r="M1004" t="s">
        <v>36</v>
      </c>
    </row>
    <row r="1005" spans="1:13" ht="45">
      <c r="A1005" s="6" t="s">
        <v>1804</v>
      </c>
      <c r="B1005" s="7" t="s">
        <v>1412</v>
      </c>
      <c r="C1005" s="7" t="s">
        <v>1805</v>
      </c>
      <c r="D1005" s="6" t="s">
        <v>18</v>
      </c>
      <c r="E1005" s="7" t="s">
        <v>1474</v>
      </c>
      <c r="F1005" s="13"/>
      <c r="G1005" s="9">
        <f>IFERROR(VLOOKUP(D1005,Listas!$A$2:$B$20,2,FALSE()),999)</f>
        <v>1</v>
      </c>
      <c r="H1005" s="9" t="str">
        <f t="shared" ca="1" si="15"/>
        <v>Sin fecha</v>
      </c>
      <c r="J1005" s="11">
        <v>60</v>
      </c>
      <c r="K1005" s="11">
        <v>60</v>
      </c>
      <c r="L1005" s="12">
        <v>41455</v>
      </c>
      <c r="M1005" t="s">
        <v>36</v>
      </c>
    </row>
    <row r="1006" spans="1:13" ht="30">
      <c r="A1006" s="6" t="s">
        <v>1806</v>
      </c>
      <c r="B1006" s="7" t="s">
        <v>1412</v>
      </c>
      <c r="C1006" s="7" t="s">
        <v>1807</v>
      </c>
      <c r="D1006" s="6" t="s">
        <v>1467</v>
      </c>
      <c r="E1006" s="7" t="s">
        <v>1808</v>
      </c>
      <c r="F1006" s="13"/>
      <c r="G1006" s="9">
        <f>IFERROR(VLOOKUP(D1006,Listas!$A$2:$B$20,2,FALSE()),999)</f>
        <v>2</v>
      </c>
      <c r="H1006" s="9" t="str">
        <f t="shared" ca="1" si="15"/>
        <v>Sin fecha</v>
      </c>
      <c r="J1006" s="11">
        <v>60</v>
      </c>
      <c r="K1006" s="11">
        <v>60</v>
      </c>
      <c r="L1006" s="12">
        <v>42551</v>
      </c>
      <c r="M1006" t="s">
        <v>36</v>
      </c>
    </row>
    <row r="1007" spans="1:13" ht="45">
      <c r="A1007" s="6" t="s">
        <v>1809</v>
      </c>
      <c r="B1007" s="7" t="s">
        <v>1412</v>
      </c>
      <c r="C1007" s="7" t="s">
        <v>1810</v>
      </c>
      <c r="D1007" s="6" t="s">
        <v>1467</v>
      </c>
      <c r="E1007" s="7" t="s">
        <v>1567</v>
      </c>
      <c r="F1007" s="13"/>
      <c r="G1007" s="9">
        <f>IFERROR(VLOOKUP(D1007,Listas!$A$2:$B$20,2,FALSE()),999)</f>
        <v>2</v>
      </c>
      <c r="H1007" s="9" t="str">
        <f t="shared" ca="1" si="15"/>
        <v>Sin fecha</v>
      </c>
      <c r="J1007" s="11">
        <v>60</v>
      </c>
      <c r="K1007" s="11">
        <v>60</v>
      </c>
      <c r="L1007" s="12">
        <v>41455</v>
      </c>
      <c r="M1007" t="s">
        <v>36</v>
      </c>
    </row>
    <row r="1008" spans="1:13" ht="45">
      <c r="A1008" s="6" t="s">
        <v>1811</v>
      </c>
      <c r="B1008" s="7" t="s">
        <v>1412</v>
      </c>
      <c r="C1008" s="7" t="s">
        <v>1812</v>
      </c>
      <c r="D1008" s="6" t="s">
        <v>18</v>
      </c>
      <c r="E1008" s="7" t="s">
        <v>1525</v>
      </c>
      <c r="F1008" s="13"/>
      <c r="G1008" s="9">
        <f>IFERROR(VLOOKUP(D1008,Listas!$A$2:$B$20,2,FALSE()),999)</f>
        <v>1</v>
      </c>
      <c r="H1008" s="9" t="str">
        <f t="shared" ca="1" si="15"/>
        <v>Sin fecha</v>
      </c>
      <c r="J1008" s="11">
        <v>60</v>
      </c>
      <c r="K1008" s="11">
        <v>60</v>
      </c>
      <c r="L1008" s="12">
        <v>41455</v>
      </c>
      <c r="M1008" t="s">
        <v>36</v>
      </c>
    </row>
    <row r="1009" spans="1:13" ht="45">
      <c r="A1009" s="6" t="s">
        <v>1813</v>
      </c>
      <c r="B1009" s="7" t="s">
        <v>1511</v>
      </c>
      <c r="C1009" s="7" t="s">
        <v>1814</v>
      </c>
      <c r="D1009" s="6" t="s">
        <v>1467</v>
      </c>
      <c r="E1009" s="7" t="s">
        <v>1513</v>
      </c>
      <c r="F1009" s="13"/>
      <c r="G1009" s="9">
        <f>IFERROR(VLOOKUP(D1009,Listas!$A$2:$B$20,2,FALSE()),999)</f>
        <v>2</v>
      </c>
      <c r="H1009" s="9" t="str">
        <f t="shared" ca="1" si="15"/>
        <v>Sin fecha</v>
      </c>
      <c r="J1009" s="11">
        <v>60</v>
      </c>
      <c r="K1009" s="11">
        <v>60</v>
      </c>
      <c r="L1009" s="12">
        <v>41455</v>
      </c>
      <c r="M1009" t="s">
        <v>36</v>
      </c>
    </row>
    <row r="1010" spans="1:13" ht="45">
      <c r="A1010" s="6" t="s">
        <v>1815</v>
      </c>
      <c r="B1010" s="7" t="s">
        <v>1511</v>
      </c>
      <c r="C1010" s="7" t="s">
        <v>1816</v>
      </c>
      <c r="D1010" s="6" t="s">
        <v>18</v>
      </c>
      <c r="E1010" s="7" t="s">
        <v>1543</v>
      </c>
      <c r="F1010" s="13"/>
      <c r="G1010" s="9">
        <f>IFERROR(VLOOKUP(D1010,Listas!$A$2:$B$20,2,FALSE()),999)</f>
        <v>1</v>
      </c>
      <c r="H1010" s="9" t="str">
        <f t="shared" ca="1" si="15"/>
        <v>Sin fecha</v>
      </c>
      <c r="J1010" s="11">
        <v>60</v>
      </c>
      <c r="K1010" s="11">
        <v>60</v>
      </c>
      <c r="L1010" s="12">
        <v>41455</v>
      </c>
      <c r="M1010" t="s">
        <v>36</v>
      </c>
    </row>
    <row r="1011" spans="1:13" ht="30">
      <c r="A1011" s="6" t="s">
        <v>1817</v>
      </c>
      <c r="B1011" s="7" t="s">
        <v>1490</v>
      </c>
      <c r="C1011" s="7" t="s">
        <v>1487</v>
      </c>
      <c r="D1011" s="6" t="s">
        <v>1467</v>
      </c>
      <c r="E1011" s="7" t="s">
        <v>1605</v>
      </c>
      <c r="F1011" s="13"/>
      <c r="G1011" s="9">
        <f>IFERROR(VLOOKUP(D1011,Listas!$A$2:$B$20,2,FALSE()),999)</f>
        <v>2</v>
      </c>
      <c r="H1011" s="9" t="str">
        <f t="shared" ca="1" si="15"/>
        <v>Sin fecha</v>
      </c>
      <c r="J1011" s="11">
        <v>60</v>
      </c>
      <c r="K1011" s="11">
        <v>60</v>
      </c>
      <c r="L1011" s="12">
        <v>41639</v>
      </c>
      <c r="M1011" t="s">
        <v>36</v>
      </c>
    </row>
    <row r="1012" spans="1:13" ht="30">
      <c r="A1012" s="6" t="s">
        <v>1818</v>
      </c>
      <c r="B1012" s="7" t="s">
        <v>1490</v>
      </c>
      <c r="C1012" s="7" t="s">
        <v>1487</v>
      </c>
      <c r="D1012" s="6" t="s">
        <v>1467</v>
      </c>
      <c r="E1012" s="7" t="s">
        <v>1605</v>
      </c>
      <c r="F1012" s="13"/>
      <c r="G1012" s="9">
        <f>IFERROR(VLOOKUP(D1012,Listas!$A$2:$B$20,2,FALSE()),999)</f>
        <v>2</v>
      </c>
      <c r="H1012" s="9" t="str">
        <f t="shared" ca="1" si="15"/>
        <v>Sin fecha</v>
      </c>
      <c r="J1012" s="11">
        <v>60</v>
      </c>
      <c r="K1012" s="11">
        <v>60</v>
      </c>
      <c r="L1012" s="12">
        <v>41639</v>
      </c>
      <c r="M1012" t="s">
        <v>36</v>
      </c>
    </row>
    <row r="1013" spans="1:13" ht="30">
      <c r="A1013" s="6" t="s">
        <v>1819</v>
      </c>
      <c r="B1013" s="7" t="s">
        <v>1412</v>
      </c>
      <c r="C1013" s="7" t="s">
        <v>1487</v>
      </c>
      <c r="D1013" s="6" t="s">
        <v>1467</v>
      </c>
      <c r="E1013" s="7" t="s">
        <v>1820</v>
      </c>
      <c r="F1013" s="13"/>
      <c r="G1013" s="9">
        <f>IFERROR(VLOOKUP(D1013,Listas!$A$2:$B$20,2,FALSE()),999)</f>
        <v>2</v>
      </c>
      <c r="H1013" s="9" t="str">
        <f t="shared" ca="1" si="15"/>
        <v>Sin fecha</v>
      </c>
      <c r="J1013" s="11">
        <v>60</v>
      </c>
      <c r="K1013" s="11">
        <v>60</v>
      </c>
      <c r="L1013" s="12">
        <v>41670</v>
      </c>
      <c r="M1013" t="s">
        <v>36</v>
      </c>
    </row>
    <row r="1014" spans="1:13" ht="30">
      <c r="A1014" s="6" t="s">
        <v>1821</v>
      </c>
      <c r="B1014" s="7" t="s">
        <v>1490</v>
      </c>
      <c r="C1014" s="7" t="s">
        <v>228</v>
      </c>
      <c r="D1014" s="6" t="s">
        <v>18</v>
      </c>
      <c r="E1014" s="7" t="s">
        <v>1482</v>
      </c>
      <c r="F1014" s="13"/>
      <c r="G1014" s="9">
        <f>IFERROR(VLOOKUP(D1014,Listas!$A$2:$B$20,2,FALSE()),999)</f>
        <v>1</v>
      </c>
      <c r="H1014" s="9" t="str">
        <f t="shared" ca="1" si="15"/>
        <v>Sin fecha</v>
      </c>
      <c r="J1014" s="11">
        <v>60</v>
      </c>
      <c r="K1014" s="11">
        <v>60</v>
      </c>
      <c r="L1014" s="12">
        <v>41790</v>
      </c>
      <c r="M1014" t="s">
        <v>36</v>
      </c>
    </row>
    <row r="1015" spans="1:13" ht="30">
      <c r="A1015" s="6" t="s">
        <v>1822</v>
      </c>
      <c r="B1015" s="7" t="s">
        <v>1412</v>
      </c>
      <c r="C1015" s="7" t="s">
        <v>1823</v>
      </c>
      <c r="D1015" s="6" t="s">
        <v>1467</v>
      </c>
      <c r="E1015" s="7" t="s">
        <v>1824</v>
      </c>
      <c r="F1015" s="13"/>
      <c r="G1015" s="9">
        <f>IFERROR(VLOOKUP(D1015,Listas!$A$2:$B$20,2,FALSE()),999)</f>
        <v>2</v>
      </c>
      <c r="H1015" s="9" t="str">
        <f t="shared" ca="1" si="15"/>
        <v>Sin fecha</v>
      </c>
      <c r="J1015" s="11">
        <v>1</v>
      </c>
      <c r="K1015" s="11">
        <v>1</v>
      </c>
      <c r="L1015" s="12">
        <v>42886</v>
      </c>
      <c r="M1015" t="s">
        <v>36</v>
      </c>
    </row>
    <row r="1016" spans="1:13" ht="30">
      <c r="A1016" s="6" t="s">
        <v>1825</v>
      </c>
      <c r="B1016" s="7" t="s">
        <v>1412</v>
      </c>
      <c r="C1016" s="7" t="s">
        <v>1826</v>
      </c>
      <c r="D1016" s="6" t="s">
        <v>18</v>
      </c>
      <c r="E1016" s="7" t="s">
        <v>1476</v>
      </c>
      <c r="F1016" s="13"/>
      <c r="G1016" s="9">
        <f>IFERROR(VLOOKUP(D1016,Listas!$A$2:$B$20,2,FALSE()),999)</f>
        <v>1</v>
      </c>
      <c r="H1016" s="9" t="str">
        <f t="shared" ca="1" si="15"/>
        <v>Sin fecha</v>
      </c>
      <c r="J1016" s="11">
        <v>60</v>
      </c>
      <c r="K1016" s="11">
        <v>60</v>
      </c>
      <c r="L1016" s="12">
        <v>41759</v>
      </c>
      <c r="M1016" t="s">
        <v>36</v>
      </c>
    </row>
    <row r="1017" spans="1:13" ht="30">
      <c r="A1017" s="6" t="s">
        <v>1827</v>
      </c>
      <c r="B1017" s="7" t="s">
        <v>1412</v>
      </c>
      <c r="C1017" s="7" t="s">
        <v>1828</v>
      </c>
      <c r="D1017" s="6" t="s">
        <v>18</v>
      </c>
      <c r="E1017" s="7" t="s">
        <v>1504</v>
      </c>
      <c r="F1017" s="13"/>
      <c r="G1017" s="9">
        <f>IFERROR(VLOOKUP(D1017,Listas!$A$2:$B$20,2,FALSE()),999)</f>
        <v>1</v>
      </c>
      <c r="H1017" s="9" t="str">
        <f t="shared" ca="1" si="15"/>
        <v>Sin fecha</v>
      </c>
      <c r="J1017" s="11">
        <v>60</v>
      </c>
      <c r="K1017" s="11">
        <v>60</v>
      </c>
      <c r="L1017" s="12">
        <v>41759</v>
      </c>
      <c r="M1017" t="s">
        <v>36</v>
      </c>
    </row>
    <row r="1018" spans="1:13" ht="30">
      <c r="A1018" s="6" t="s">
        <v>1829</v>
      </c>
      <c r="B1018" s="7" t="s">
        <v>1490</v>
      </c>
      <c r="C1018" s="7" t="s">
        <v>1487</v>
      </c>
      <c r="D1018" s="6" t="s">
        <v>18</v>
      </c>
      <c r="E1018" s="7" t="s">
        <v>1556</v>
      </c>
      <c r="F1018" s="13"/>
      <c r="G1018" s="9">
        <f>IFERROR(VLOOKUP(D1018,Listas!$A$2:$B$20,2,FALSE()),999)</f>
        <v>1</v>
      </c>
      <c r="H1018" s="9" t="str">
        <f t="shared" ca="1" si="15"/>
        <v>Sin fecha</v>
      </c>
      <c r="J1018" s="11">
        <v>60</v>
      </c>
      <c r="K1018" s="11">
        <v>60</v>
      </c>
      <c r="L1018" s="12">
        <v>41759</v>
      </c>
      <c r="M1018" t="s">
        <v>36</v>
      </c>
    </row>
    <row r="1019" spans="1:13" ht="30">
      <c r="A1019" s="6" t="s">
        <v>1830</v>
      </c>
      <c r="B1019" s="7" t="s">
        <v>1490</v>
      </c>
      <c r="C1019" s="7" t="s">
        <v>1828</v>
      </c>
      <c r="D1019" s="6" t="s">
        <v>1467</v>
      </c>
      <c r="E1019" s="7" t="s">
        <v>1513</v>
      </c>
      <c r="F1019" s="13"/>
      <c r="G1019" s="9">
        <f>IFERROR(VLOOKUP(D1019,Listas!$A$2:$B$20,2,FALSE()),999)</f>
        <v>2</v>
      </c>
      <c r="H1019" s="9" t="str">
        <f t="shared" ca="1" si="15"/>
        <v>Sin fecha</v>
      </c>
      <c r="J1019" s="11">
        <v>60</v>
      </c>
      <c r="K1019" s="11">
        <v>60</v>
      </c>
      <c r="L1019" s="12">
        <v>41790</v>
      </c>
      <c r="M1019" t="s">
        <v>36</v>
      </c>
    </row>
    <row r="1020" spans="1:13" ht="30">
      <c r="A1020" s="6" t="s">
        <v>1831</v>
      </c>
      <c r="B1020" s="7" t="s">
        <v>1412</v>
      </c>
      <c r="C1020" s="7" t="s">
        <v>1832</v>
      </c>
      <c r="D1020" s="6" t="s">
        <v>1467</v>
      </c>
      <c r="E1020" s="7" t="s">
        <v>1833</v>
      </c>
      <c r="F1020" s="13"/>
      <c r="G1020" s="9">
        <f>IFERROR(VLOOKUP(D1020,Listas!$A$2:$B$20,2,FALSE()),999)</f>
        <v>2</v>
      </c>
      <c r="H1020" s="9" t="str">
        <f t="shared" ca="1" si="15"/>
        <v>Sin fecha</v>
      </c>
      <c r="J1020" s="11">
        <v>60</v>
      </c>
      <c r="K1020" s="11">
        <v>60</v>
      </c>
      <c r="L1020" s="12">
        <v>42004</v>
      </c>
      <c r="M1020" t="s">
        <v>36</v>
      </c>
    </row>
    <row r="1021" spans="1:13" ht="30">
      <c r="A1021" s="6" t="s">
        <v>1834</v>
      </c>
      <c r="B1021" s="7" t="s">
        <v>1490</v>
      </c>
      <c r="C1021" s="7" t="s">
        <v>1828</v>
      </c>
      <c r="D1021" s="6" t="s">
        <v>18</v>
      </c>
      <c r="E1021" s="7" t="s">
        <v>1835</v>
      </c>
      <c r="F1021" s="13"/>
      <c r="G1021" s="9">
        <f>IFERROR(VLOOKUP(D1021,Listas!$A$2:$B$20,2,FALSE()),999)</f>
        <v>1</v>
      </c>
      <c r="H1021" s="9" t="str">
        <f t="shared" ca="1" si="15"/>
        <v>Sin fecha</v>
      </c>
      <c r="J1021" s="11">
        <v>60</v>
      </c>
      <c r="K1021" s="11">
        <v>60</v>
      </c>
      <c r="L1021" s="12">
        <v>41882</v>
      </c>
      <c r="M1021" t="s">
        <v>36</v>
      </c>
    </row>
    <row r="1022" spans="1:13" ht="30">
      <c r="A1022" s="6" t="s">
        <v>1836</v>
      </c>
      <c r="B1022" s="7" t="s">
        <v>1412</v>
      </c>
      <c r="C1022" s="7" t="s">
        <v>1487</v>
      </c>
      <c r="D1022" s="6" t="s">
        <v>18</v>
      </c>
      <c r="E1022" s="7" t="s">
        <v>1837</v>
      </c>
      <c r="F1022" s="13"/>
      <c r="G1022" s="9">
        <f>IFERROR(VLOOKUP(D1022,Listas!$A$2:$B$20,2,FALSE()),999)</f>
        <v>1</v>
      </c>
      <c r="H1022" s="9" t="str">
        <f t="shared" ca="1" si="15"/>
        <v>Sin fecha</v>
      </c>
      <c r="J1022" s="11">
        <v>60</v>
      </c>
      <c r="K1022" s="11">
        <v>60</v>
      </c>
      <c r="L1022" s="12">
        <v>41820</v>
      </c>
      <c r="M1022" t="s">
        <v>36</v>
      </c>
    </row>
    <row r="1023" spans="1:13" ht="30">
      <c r="A1023" s="6" t="s">
        <v>1838</v>
      </c>
      <c r="B1023" s="7" t="s">
        <v>1412</v>
      </c>
      <c r="C1023" s="7" t="s">
        <v>1501</v>
      </c>
      <c r="D1023" s="6" t="s">
        <v>18</v>
      </c>
      <c r="E1023" s="7" t="s">
        <v>1701</v>
      </c>
      <c r="F1023" s="13"/>
      <c r="G1023" s="9">
        <f>IFERROR(VLOOKUP(D1023,Listas!$A$2:$B$20,2,FALSE()),999)</f>
        <v>1</v>
      </c>
      <c r="H1023" s="9" t="str">
        <f t="shared" ca="1" si="15"/>
        <v>Sin fecha</v>
      </c>
      <c r="J1023" s="11">
        <v>60</v>
      </c>
      <c r="K1023" s="11">
        <v>60</v>
      </c>
      <c r="L1023" s="12">
        <v>41820</v>
      </c>
      <c r="M1023" t="s">
        <v>36</v>
      </c>
    </row>
    <row r="1024" spans="1:13" ht="30">
      <c r="A1024" s="6" t="s">
        <v>1839</v>
      </c>
      <c r="B1024" s="7" t="s">
        <v>1412</v>
      </c>
      <c r="C1024" s="7" t="s">
        <v>1840</v>
      </c>
      <c r="D1024" s="6" t="s">
        <v>18</v>
      </c>
      <c r="E1024" s="7" t="s">
        <v>1841</v>
      </c>
      <c r="F1024" s="13"/>
      <c r="G1024" s="9">
        <f>IFERROR(VLOOKUP(D1024,Listas!$A$2:$B$20,2,FALSE()),999)</f>
        <v>1</v>
      </c>
      <c r="H1024" s="9" t="str">
        <f t="shared" ca="1" si="15"/>
        <v>Sin fecha</v>
      </c>
      <c r="J1024" s="11">
        <v>60</v>
      </c>
      <c r="K1024" s="11">
        <v>60</v>
      </c>
      <c r="L1024" s="12">
        <v>41820</v>
      </c>
      <c r="M1024" t="s">
        <v>36</v>
      </c>
    </row>
    <row r="1025" spans="1:13" ht="30">
      <c r="A1025" s="6" t="s">
        <v>1842</v>
      </c>
      <c r="B1025" s="7" t="s">
        <v>1412</v>
      </c>
      <c r="C1025" s="7" t="s">
        <v>1487</v>
      </c>
      <c r="D1025" s="6" t="s">
        <v>18</v>
      </c>
      <c r="E1025" s="7" t="s">
        <v>1476</v>
      </c>
      <c r="F1025" s="13"/>
      <c r="G1025" s="9">
        <f>IFERROR(VLOOKUP(D1025,Listas!$A$2:$B$20,2,FALSE()),999)</f>
        <v>1</v>
      </c>
      <c r="H1025" s="9" t="str">
        <f t="shared" ca="1" si="15"/>
        <v>Sin fecha</v>
      </c>
      <c r="J1025" s="11">
        <v>60</v>
      </c>
      <c r="K1025" s="11">
        <v>60</v>
      </c>
      <c r="L1025" s="12">
        <v>41820</v>
      </c>
      <c r="M1025" t="s">
        <v>36</v>
      </c>
    </row>
    <row r="1026" spans="1:13" ht="45">
      <c r="A1026" s="6" t="s">
        <v>1843</v>
      </c>
      <c r="B1026" s="7" t="s">
        <v>1412</v>
      </c>
      <c r="C1026" s="7" t="s">
        <v>1844</v>
      </c>
      <c r="D1026" s="6" t="s">
        <v>18</v>
      </c>
      <c r="E1026" s="7" t="s">
        <v>1474</v>
      </c>
      <c r="F1026" s="13"/>
      <c r="G1026" s="9">
        <f>IFERROR(VLOOKUP(D1026,Listas!$A$2:$B$20,2,FALSE()),999)</f>
        <v>1</v>
      </c>
      <c r="H1026" s="9" t="str">
        <f t="shared" ca="1" si="15"/>
        <v>Sin fecha</v>
      </c>
      <c r="J1026" s="11">
        <v>60</v>
      </c>
      <c r="K1026" s="11">
        <v>60</v>
      </c>
      <c r="L1026" s="12">
        <v>41820</v>
      </c>
      <c r="M1026" t="s">
        <v>36</v>
      </c>
    </row>
    <row r="1027" spans="1:13" ht="30">
      <c r="A1027" s="6" t="s">
        <v>1845</v>
      </c>
      <c r="B1027" s="7" t="s">
        <v>1412</v>
      </c>
      <c r="C1027" s="7" t="s">
        <v>1487</v>
      </c>
      <c r="D1027" s="6" t="s">
        <v>18</v>
      </c>
      <c r="E1027" s="7" t="s">
        <v>1504</v>
      </c>
      <c r="F1027" s="13"/>
      <c r="G1027" s="9">
        <f>IFERROR(VLOOKUP(D1027,Listas!$A$2:$B$20,2,FALSE()),999)</f>
        <v>1</v>
      </c>
      <c r="H1027" s="9" t="str">
        <f t="shared" ca="1" si="15"/>
        <v>Sin fecha</v>
      </c>
      <c r="J1027" s="11">
        <v>60</v>
      </c>
      <c r="K1027" s="11">
        <v>60</v>
      </c>
      <c r="L1027" s="12">
        <v>41820</v>
      </c>
      <c r="M1027" t="s">
        <v>36</v>
      </c>
    </row>
    <row r="1028" spans="1:13" ht="30">
      <c r="A1028" s="6" t="s">
        <v>1846</v>
      </c>
      <c r="B1028" s="7" t="s">
        <v>1412</v>
      </c>
      <c r="C1028" s="7" t="s">
        <v>1487</v>
      </c>
      <c r="D1028" s="6" t="s">
        <v>1467</v>
      </c>
      <c r="E1028" s="7" t="s">
        <v>1513</v>
      </c>
      <c r="F1028" s="13"/>
      <c r="G1028" s="9">
        <f>IFERROR(VLOOKUP(D1028,Listas!$A$2:$B$20,2,FALSE()),999)</f>
        <v>2</v>
      </c>
      <c r="H1028" s="9" t="str">
        <f t="shared" ca="1" si="15"/>
        <v>Sin fecha</v>
      </c>
      <c r="J1028" s="11">
        <v>1</v>
      </c>
      <c r="K1028" s="11">
        <v>1</v>
      </c>
      <c r="L1028" s="12">
        <v>42886</v>
      </c>
      <c r="M1028" t="s">
        <v>36</v>
      </c>
    </row>
    <row r="1029" spans="1:13" ht="30">
      <c r="A1029" s="6" t="s">
        <v>1847</v>
      </c>
      <c r="B1029" s="7" t="s">
        <v>1412</v>
      </c>
      <c r="C1029" s="7" t="s">
        <v>1487</v>
      </c>
      <c r="D1029" s="6" t="s">
        <v>18</v>
      </c>
      <c r="E1029" s="7" t="s">
        <v>1464</v>
      </c>
      <c r="F1029" s="13"/>
      <c r="G1029" s="9">
        <f>IFERROR(VLOOKUP(D1029,Listas!$A$2:$B$20,2,FALSE()),999)</f>
        <v>1</v>
      </c>
      <c r="H1029" s="9" t="str">
        <f t="shared" ref="H1029:H1092" ca="1" si="16">IF(F1029="","Sin fecha",IF(TODAY()-F1029&gt;180,"Revisar",IF(TODAY()-F1029&gt;90,"Próximo","Vigente")))</f>
        <v>Sin fecha</v>
      </c>
      <c r="J1029" s="11">
        <v>60</v>
      </c>
      <c r="K1029" s="11">
        <v>60</v>
      </c>
      <c r="L1029" s="12">
        <v>41912</v>
      </c>
      <c r="M1029" t="s">
        <v>36</v>
      </c>
    </row>
    <row r="1030" spans="1:13" ht="30">
      <c r="A1030" s="6" t="s">
        <v>1848</v>
      </c>
      <c r="B1030" s="7" t="s">
        <v>1412</v>
      </c>
      <c r="C1030" s="7" t="s">
        <v>1487</v>
      </c>
      <c r="D1030" s="6" t="s">
        <v>1467</v>
      </c>
      <c r="E1030" s="7" t="s">
        <v>1567</v>
      </c>
      <c r="F1030" s="13"/>
      <c r="G1030" s="9">
        <f>IFERROR(VLOOKUP(D1030,Listas!$A$2:$B$20,2,FALSE()),999)</f>
        <v>2</v>
      </c>
      <c r="H1030" s="9" t="str">
        <f t="shared" ca="1" si="16"/>
        <v>Sin fecha</v>
      </c>
      <c r="J1030" s="11">
        <v>60</v>
      </c>
      <c r="K1030" s="11">
        <v>60</v>
      </c>
      <c r="L1030" s="12">
        <v>41912</v>
      </c>
      <c r="M1030" t="s">
        <v>36</v>
      </c>
    </row>
    <row r="1031" spans="1:13" ht="45">
      <c r="A1031" s="6" t="s">
        <v>1849</v>
      </c>
      <c r="B1031" s="7" t="s">
        <v>1412</v>
      </c>
      <c r="C1031" s="7" t="s">
        <v>1850</v>
      </c>
      <c r="D1031" s="6" t="s">
        <v>18</v>
      </c>
      <c r="E1031" s="7" t="s">
        <v>1841</v>
      </c>
      <c r="F1031" s="13"/>
      <c r="G1031" s="9">
        <f>IFERROR(VLOOKUP(D1031,Listas!$A$2:$B$20,2,FALSE()),999)</f>
        <v>1</v>
      </c>
      <c r="H1031" s="9" t="str">
        <f t="shared" ca="1" si="16"/>
        <v>Sin fecha</v>
      </c>
      <c r="J1031" s="11">
        <v>60</v>
      </c>
      <c r="K1031" s="11">
        <v>60</v>
      </c>
      <c r="L1031" s="12">
        <v>41455</v>
      </c>
      <c r="M1031" t="s">
        <v>36</v>
      </c>
    </row>
    <row r="1032" spans="1:13" ht="30">
      <c r="A1032" s="6" t="s">
        <v>1851</v>
      </c>
      <c r="B1032" s="7" t="s">
        <v>1412</v>
      </c>
      <c r="C1032" s="7" t="s">
        <v>1487</v>
      </c>
      <c r="D1032" s="6" t="s">
        <v>1467</v>
      </c>
      <c r="E1032" s="7" t="s">
        <v>1820</v>
      </c>
      <c r="F1032" s="13"/>
      <c r="G1032" s="9">
        <f>IFERROR(VLOOKUP(D1032,Listas!$A$2:$B$20,2,FALSE()),999)</f>
        <v>2</v>
      </c>
      <c r="H1032" s="9" t="str">
        <f t="shared" ca="1" si="16"/>
        <v>Sin fecha</v>
      </c>
      <c r="J1032" s="11">
        <v>60</v>
      </c>
      <c r="K1032" s="11">
        <v>60</v>
      </c>
      <c r="L1032" s="12">
        <v>41912</v>
      </c>
      <c r="M1032" t="s">
        <v>36</v>
      </c>
    </row>
    <row r="1033" spans="1:13" ht="30">
      <c r="A1033" s="6" t="s">
        <v>1852</v>
      </c>
      <c r="B1033" s="7" t="s">
        <v>1412</v>
      </c>
      <c r="C1033" s="7" t="s">
        <v>1487</v>
      </c>
      <c r="D1033" s="6" t="s">
        <v>18</v>
      </c>
      <c r="E1033" s="7" t="s">
        <v>1808</v>
      </c>
      <c r="F1033" s="13"/>
      <c r="G1033" s="9">
        <f>IFERROR(VLOOKUP(D1033,Listas!$A$2:$B$20,2,FALSE()),999)</f>
        <v>1</v>
      </c>
      <c r="H1033" s="9" t="str">
        <f t="shared" ca="1" si="16"/>
        <v>Sin fecha</v>
      </c>
      <c r="J1033" s="11">
        <v>60</v>
      </c>
      <c r="K1033" s="11">
        <v>60</v>
      </c>
      <c r="L1033" s="12">
        <v>41912</v>
      </c>
      <c r="M1033" t="s">
        <v>36</v>
      </c>
    </row>
    <row r="1034" spans="1:13" ht="30">
      <c r="A1034" s="6" t="s">
        <v>1853</v>
      </c>
      <c r="B1034" s="7" t="s">
        <v>1412</v>
      </c>
      <c r="C1034" s="7" t="s">
        <v>1487</v>
      </c>
      <c r="D1034" s="6" t="s">
        <v>18</v>
      </c>
      <c r="E1034" s="7" t="s">
        <v>1504</v>
      </c>
      <c r="F1034" s="13"/>
      <c r="G1034" s="9">
        <f>IFERROR(VLOOKUP(D1034,Listas!$A$2:$B$20,2,FALSE()),999)</f>
        <v>1</v>
      </c>
      <c r="H1034" s="9" t="str">
        <f t="shared" ca="1" si="16"/>
        <v>Sin fecha</v>
      </c>
      <c r="J1034" s="11">
        <v>60</v>
      </c>
      <c r="K1034" s="11">
        <v>60</v>
      </c>
      <c r="L1034" s="12">
        <v>41912</v>
      </c>
      <c r="M1034" t="s">
        <v>36</v>
      </c>
    </row>
    <row r="1035" spans="1:13" ht="30">
      <c r="A1035" s="6" t="s">
        <v>1854</v>
      </c>
      <c r="B1035" s="7" t="s">
        <v>1412</v>
      </c>
      <c r="C1035" s="7" t="s">
        <v>1487</v>
      </c>
      <c r="D1035" s="6" t="s">
        <v>1467</v>
      </c>
      <c r="E1035" s="7" t="s">
        <v>1586</v>
      </c>
      <c r="F1035" s="13"/>
      <c r="G1035" s="9">
        <f>IFERROR(VLOOKUP(D1035,Listas!$A$2:$B$20,2,FALSE()),999)</f>
        <v>2</v>
      </c>
      <c r="H1035" s="9" t="str">
        <f t="shared" ca="1" si="16"/>
        <v>Sin fecha</v>
      </c>
      <c r="J1035" s="11">
        <v>60</v>
      </c>
      <c r="K1035" s="11">
        <v>60</v>
      </c>
      <c r="L1035" s="12">
        <v>41912</v>
      </c>
      <c r="M1035" t="s">
        <v>36</v>
      </c>
    </row>
    <row r="1036" spans="1:13" ht="30">
      <c r="A1036" s="6" t="s">
        <v>1855</v>
      </c>
      <c r="B1036" s="7" t="s">
        <v>1412</v>
      </c>
      <c r="C1036" s="7" t="s">
        <v>1487</v>
      </c>
      <c r="D1036" s="6" t="s">
        <v>18</v>
      </c>
      <c r="E1036" s="7" t="s">
        <v>1504</v>
      </c>
      <c r="F1036" s="13"/>
      <c r="G1036" s="9">
        <f>IFERROR(VLOOKUP(D1036,Listas!$A$2:$B$20,2,FALSE()),999)</f>
        <v>1</v>
      </c>
      <c r="H1036" s="9" t="str">
        <f t="shared" ca="1" si="16"/>
        <v>Sin fecha</v>
      </c>
      <c r="J1036" s="11">
        <v>60</v>
      </c>
      <c r="K1036" s="11">
        <v>60</v>
      </c>
      <c r="L1036" s="12">
        <v>41912</v>
      </c>
      <c r="M1036" t="s">
        <v>36</v>
      </c>
    </row>
    <row r="1037" spans="1:13" ht="30">
      <c r="A1037" s="6" t="s">
        <v>1856</v>
      </c>
      <c r="B1037" s="7" t="s">
        <v>1412</v>
      </c>
      <c r="C1037" s="7" t="s">
        <v>1487</v>
      </c>
      <c r="D1037" s="6" t="s">
        <v>1467</v>
      </c>
      <c r="E1037" s="7" t="s">
        <v>1564</v>
      </c>
      <c r="F1037" s="13"/>
      <c r="G1037" s="9">
        <f>IFERROR(VLOOKUP(D1037,Listas!$A$2:$B$20,2,FALSE()),999)</f>
        <v>2</v>
      </c>
      <c r="H1037" s="9" t="str">
        <f t="shared" ca="1" si="16"/>
        <v>Sin fecha</v>
      </c>
      <c r="J1037" s="11">
        <v>60</v>
      </c>
      <c r="K1037" s="11">
        <v>60</v>
      </c>
      <c r="L1037" s="12">
        <v>41912</v>
      </c>
      <c r="M1037" t="s">
        <v>36</v>
      </c>
    </row>
    <row r="1038" spans="1:13" ht="30">
      <c r="A1038" s="6" t="s">
        <v>1857</v>
      </c>
      <c r="B1038" s="7" t="s">
        <v>1412</v>
      </c>
      <c r="C1038" s="7" t="s">
        <v>1487</v>
      </c>
      <c r="D1038" s="6" t="s">
        <v>18</v>
      </c>
      <c r="E1038" s="7" t="s">
        <v>1464</v>
      </c>
      <c r="F1038" s="13"/>
      <c r="G1038" s="9">
        <f>IFERROR(VLOOKUP(D1038,Listas!$A$2:$B$20,2,FALSE()),999)</f>
        <v>1</v>
      </c>
      <c r="H1038" s="9" t="str">
        <f t="shared" ca="1" si="16"/>
        <v>Sin fecha</v>
      </c>
      <c r="J1038" s="11">
        <v>60</v>
      </c>
      <c r="K1038" s="11">
        <v>60</v>
      </c>
      <c r="L1038" s="12">
        <v>41912</v>
      </c>
      <c r="M1038" t="s">
        <v>36</v>
      </c>
    </row>
    <row r="1039" spans="1:13" ht="30">
      <c r="A1039" s="6" t="s">
        <v>1858</v>
      </c>
      <c r="B1039" s="7" t="s">
        <v>1412</v>
      </c>
      <c r="C1039" s="7" t="s">
        <v>1487</v>
      </c>
      <c r="D1039" s="6" t="s">
        <v>18</v>
      </c>
      <c r="E1039" s="7" t="s">
        <v>1859</v>
      </c>
      <c r="F1039" s="13"/>
      <c r="G1039" s="9">
        <f>IFERROR(VLOOKUP(D1039,Listas!$A$2:$B$20,2,FALSE()),999)</f>
        <v>1</v>
      </c>
      <c r="H1039" s="9" t="str">
        <f t="shared" ca="1" si="16"/>
        <v>Sin fecha</v>
      </c>
      <c r="J1039" s="11">
        <v>60</v>
      </c>
      <c r="K1039" s="11">
        <v>60</v>
      </c>
      <c r="L1039" s="12">
        <v>41912</v>
      </c>
      <c r="M1039" t="s">
        <v>36</v>
      </c>
    </row>
    <row r="1040" spans="1:13" ht="45">
      <c r="A1040" s="6" t="s">
        <v>1860</v>
      </c>
      <c r="B1040" s="7" t="s">
        <v>1412</v>
      </c>
      <c r="C1040" s="7" t="s">
        <v>1861</v>
      </c>
      <c r="D1040" s="6" t="s">
        <v>1467</v>
      </c>
      <c r="E1040" s="7" t="s">
        <v>1468</v>
      </c>
      <c r="F1040" s="13"/>
      <c r="G1040" s="9">
        <f>IFERROR(VLOOKUP(D1040,Listas!$A$2:$B$20,2,FALSE()),999)</f>
        <v>2</v>
      </c>
      <c r="H1040" s="9" t="str">
        <f t="shared" ca="1" si="16"/>
        <v>Sin fecha</v>
      </c>
      <c r="J1040" s="11">
        <v>60</v>
      </c>
      <c r="K1040" s="11">
        <v>60</v>
      </c>
      <c r="L1040" s="12">
        <v>41943</v>
      </c>
      <c r="M1040" t="s">
        <v>36</v>
      </c>
    </row>
    <row r="1041" spans="1:13" ht="45">
      <c r="A1041" s="6" t="s">
        <v>1862</v>
      </c>
      <c r="B1041" s="7" t="s">
        <v>1412</v>
      </c>
      <c r="C1041" s="7" t="s">
        <v>1555</v>
      </c>
      <c r="D1041" s="6" t="s">
        <v>18</v>
      </c>
      <c r="E1041" s="7" t="s">
        <v>1474</v>
      </c>
      <c r="F1041" s="13"/>
      <c r="G1041" s="9">
        <f>IFERROR(VLOOKUP(D1041,Listas!$A$2:$B$20,2,FALSE()),999)</f>
        <v>1</v>
      </c>
      <c r="H1041" s="9" t="str">
        <f t="shared" ca="1" si="16"/>
        <v>Sin fecha</v>
      </c>
      <c r="J1041" s="11">
        <v>60</v>
      </c>
      <c r="K1041" s="11">
        <v>60</v>
      </c>
      <c r="L1041" s="12">
        <v>41943</v>
      </c>
      <c r="M1041" t="s">
        <v>36</v>
      </c>
    </row>
    <row r="1042" spans="1:13" ht="45">
      <c r="A1042" s="6" t="s">
        <v>1863</v>
      </c>
      <c r="B1042" s="7" t="s">
        <v>1412</v>
      </c>
      <c r="C1042" s="7" t="s">
        <v>1864</v>
      </c>
      <c r="D1042" s="6" t="s">
        <v>1467</v>
      </c>
      <c r="E1042" s="7" t="s">
        <v>1513</v>
      </c>
      <c r="F1042" s="13"/>
      <c r="G1042" s="9">
        <f>IFERROR(VLOOKUP(D1042,Listas!$A$2:$B$20,2,FALSE()),999)</f>
        <v>2</v>
      </c>
      <c r="H1042" s="9" t="str">
        <f t="shared" ca="1" si="16"/>
        <v>Sin fecha</v>
      </c>
      <c r="J1042" s="11">
        <v>60</v>
      </c>
      <c r="K1042" s="11">
        <v>60</v>
      </c>
      <c r="L1042" s="12">
        <v>41943</v>
      </c>
      <c r="M1042" t="s">
        <v>36</v>
      </c>
    </row>
    <row r="1043" spans="1:13" ht="45">
      <c r="A1043" s="6" t="s">
        <v>1865</v>
      </c>
      <c r="B1043" s="7" t="s">
        <v>1412</v>
      </c>
      <c r="C1043" s="7" t="s">
        <v>1812</v>
      </c>
      <c r="D1043" s="6" t="s">
        <v>18</v>
      </c>
      <c r="E1043" s="7" t="s">
        <v>1795</v>
      </c>
      <c r="F1043" s="13"/>
      <c r="G1043" s="9">
        <f>IFERROR(VLOOKUP(D1043,Listas!$A$2:$B$20,2,FALSE()),999)</f>
        <v>1</v>
      </c>
      <c r="H1043" s="9" t="str">
        <f t="shared" ca="1" si="16"/>
        <v>Sin fecha</v>
      </c>
      <c r="J1043" s="11">
        <v>60</v>
      </c>
      <c r="K1043" s="11">
        <v>60</v>
      </c>
      <c r="L1043" s="12">
        <v>41943</v>
      </c>
      <c r="M1043" t="s">
        <v>36</v>
      </c>
    </row>
    <row r="1044" spans="1:13" ht="45">
      <c r="A1044" s="6" t="s">
        <v>1866</v>
      </c>
      <c r="B1044" s="7" t="s">
        <v>1412</v>
      </c>
      <c r="C1044" s="7" t="s">
        <v>1555</v>
      </c>
      <c r="D1044" s="6" t="s">
        <v>1467</v>
      </c>
      <c r="E1044" s="7" t="s">
        <v>1859</v>
      </c>
      <c r="F1044" s="13"/>
      <c r="G1044" s="9">
        <f>IFERROR(VLOOKUP(D1044,Listas!$A$2:$B$20,2,FALSE()),999)</f>
        <v>2</v>
      </c>
      <c r="H1044" s="9" t="str">
        <f t="shared" ca="1" si="16"/>
        <v>Sin fecha</v>
      </c>
      <c r="J1044" s="11">
        <v>60</v>
      </c>
      <c r="K1044" s="11">
        <v>60</v>
      </c>
      <c r="L1044" s="12">
        <v>41943</v>
      </c>
      <c r="M1044" t="s">
        <v>36</v>
      </c>
    </row>
    <row r="1045" spans="1:13" ht="45">
      <c r="A1045" s="6" t="s">
        <v>1867</v>
      </c>
      <c r="B1045" s="7" t="s">
        <v>1412</v>
      </c>
      <c r="C1045" s="7" t="s">
        <v>1868</v>
      </c>
      <c r="D1045" s="6" t="s">
        <v>18</v>
      </c>
      <c r="E1045" s="7" t="s">
        <v>1504</v>
      </c>
      <c r="F1045" s="13"/>
      <c r="G1045" s="9">
        <f>IFERROR(VLOOKUP(D1045,Listas!$A$2:$B$20,2,FALSE()),999)</f>
        <v>1</v>
      </c>
      <c r="H1045" s="9" t="str">
        <f t="shared" ca="1" si="16"/>
        <v>Sin fecha</v>
      </c>
      <c r="J1045" s="11">
        <v>60</v>
      </c>
      <c r="K1045" s="11">
        <v>60</v>
      </c>
      <c r="L1045" s="12">
        <v>41943</v>
      </c>
      <c r="M1045" t="s">
        <v>36</v>
      </c>
    </row>
    <row r="1046" spans="1:13" ht="45">
      <c r="A1046" s="6" t="s">
        <v>1869</v>
      </c>
      <c r="B1046" s="7" t="s">
        <v>1412</v>
      </c>
      <c r="C1046" s="7" t="s">
        <v>1558</v>
      </c>
      <c r="D1046" s="6" t="s">
        <v>18</v>
      </c>
      <c r="E1046" s="7" t="s">
        <v>1795</v>
      </c>
      <c r="F1046" s="13"/>
      <c r="G1046" s="9">
        <f>IFERROR(VLOOKUP(D1046,Listas!$A$2:$B$20,2,FALSE()),999)</f>
        <v>1</v>
      </c>
      <c r="H1046" s="9" t="str">
        <f t="shared" ca="1" si="16"/>
        <v>Sin fecha</v>
      </c>
      <c r="J1046" s="11">
        <v>60</v>
      </c>
      <c r="K1046" s="11">
        <v>60</v>
      </c>
      <c r="L1046" s="12">
        <v>41943</v>
      </c>
      <c r="M1046" t="s">
        <v>36</v>
      </c>
    </row>
    <row r="1047" spans="1:13" ht="45">
      <c r="A1047" s="6" t="s">
        <v>1870</v>
      </c>
      <c r="B1047" s="7" t="s">
        <v>1412</v>
      </c>
      <c r="C1047" s="7" t="s">
        <v>1871</v>
      </c>
      <c r="D1047" s="6" t="s">
        <v>18</v>
      </c>
      <c r="E1047" s="7" t="s">
        <v>1519</v>
      </c>
      <c r="F1047" s="13"/>
      <c r="G1047" s="9">
        <f>IFERROR(VLOOKUP(D1047,Listas!$A$2:$B$20,2,FALSE()),999)</f>
        <v>1</v>
      </c>
      <c r="H1047" s="9" t="str">
        <f t="shared" ca="1" si="16"/>
        <v>Sin fecha</v>
      </c>
      <c r="J1047" s="11">
        <v>60</v>
      </c>
      <c r="K1047" s="11">
        <v>60</v>
      </c>
      <c r="L1047" s="12">
        <v>41943</v>
      </c>
      <c r="M1047" t="s">
        <v>36</v>
      </c>
    </row>
    <row r="1048" spans="1:13" ht="30">
      <c r="A1048" s="6" t="s">
        <v>1872</v>
      </c>
      <c r="B1048" s="7" t="s">
        <v>1412</v>
      </c>
      <c r="C1048" s="7" t="s">
        <v>1873</v>
      </c>
      <c r="D1048" s="6" t="s">
        <v>1467</v>
      </c>
      <c r="E1048" s="7" t="s">
        <v>1513</v>
      </c>
      <c r="F1048" s="13"/>
      <c r="G1048" s="9">
        <f>IFERROR(VLOOKUP(D1048,Listas!$A$2:$B$20,2,FALSE()),999)</f>
        <v>2</v>
      </c>
      <c r="H1048" s="9" t="str">
        <f t="shared" ca="1" si="16"/>
        <v>Sin fecha</v>
      </c>
      <c r="J1048" s="11">
        <v>60</v>
      </c>
      <c r="K1048" s="11">
        <v>60</v>
      </c>
      <c r="L1048" s="12">
        <v>41943</v>
      </c>
      <c r="M1048" t="s">
        <v>36</v>
      </c>
    </row>
    <row r="1049" spans="1:13" ht="30">
      <c r="A1049" s="6" t="s">
        <v>1874</v>
      </c>
      <c r="B1049" s="7" t="s">
        <v>1511</v>
      </c>
      <c r="C1049" s="7" t="s">
        <v>1875</v>
      </c>
      <c r="D1049" s="6" t="s">
        <v>18</v>
      </c>
      <c r="E1049" s="7" t="s">
        <v>1876</v>
      </c>
      <c r="F1049" s="13"/>
      <c r="G1049" s="9">
        <f>IFERROR(VLOOKUP(D1049,Listas!$A$2:$B$20,2,FALSE()),999)</f>
        <v>1</v>
      </c>
      <c r="H1049" s="9" t="str">
        <f t="shared" ca="1" si="16"/>
        <v>Sin fecha</v>
      </c>
      <c r="J1049" s="11">
        <v>60</v>
      </c>
      <c r="K1049" s="11">
        <v>60</v>
      </c>
      <c r="L1049" s="12">
        <v>41943</v>
      </c>
      <c r="M1049" t="s">
        <v>36</v>
      </c>
    </row>
    <row r="1050" spans="1:13" ht="30">
      <c r="A1050" s="6" t="s">
        <v>1877</v>
      </c>
      <c r="B1050" s="7" t="s">
        <v>1412</v>
      </c>
      <c r="C1050" s="7" t="s">
        <v>1875</v>
      </c>
      <c r="D1050" s="6" t="s">
        <v>18</v>
      </c>
      <c r="E1050" s="7" t="s">
        <v>1859</v>
      </c>
      <c r="F1050" s="13"/>
      <c r="G1050" s="9">
        <f>IFERROR(VLOOKUP(D1050,Listas!$A$2:$B$20,2,FALSE()),999)</f>
        <v>1</v>
      </c>
      <c r="H1050" s="9" t="str">
        <f t="shared" ca="1" si="16"/>
        <v>Sin fecha</v>
      </c>
      <c r="J1050" s="11">
        <v>60</v>
      </c>
      <c r="K1050" s="11">
        <v>60</v>
      </c>
      <c r="L1050" s="12">
        <v>41943</v>
      </c>
      <c r="M1050" t="s">
        <v>36</v>
      </c>
    </row>
    <row r="1051" spans="1:13" ht="30">
      <c r="A1051" s="6" t="s">
        <v>1878</v>
      </c>
      <c r="B1051" s="7" t="s">
        <v>1511</v>
      </c>
      <c r="C1051" s="7" t="s">
        <v>1512</v>
      </c>
      <c r="D1051" s="6" t="s">
        <v>18</v>
      </c>
      <c r="E1051" s="7" t="s">
        <v>1504</v>
      </c>
      <c r="F1051" s="13"/>
      <c r="G1051" s="9">
        <f>IFERROR(VLOOKUP(D1051,Listas!$A$2:$B$20,2,FALSE()),999)</f>
        <v>1</v>
      </c>
      <c r="H1051" s="9" t="str">
        <f t="shared" ca="1" si="16"/>
        <v>Sin fecha</v>
      </c>
      <c r="J1051" s="11">
        <v>60</v>
      </c>
      <c r="K1051" s="11">
        <v>60</v>
      </c>
      <c r="L1051" s="12">
        <v>41943</v>
      </c>
      <c r="M1051" t="s">
        <v>36</v>
      </c>
    </row>
    <row r="1052" spans="1:13" ht="30">
      <c r="A1052" s="6" t="s">
        <v>1879</v>
      </c>
      <c r="B1052" s="7" t="s">
        <v>1412</v>
      </c>
      <c r="C1052" s="7" t="s">
        <v>1498</v>
      </c>
      <c r="D1052" s="6" t="s">
        <v>18</v>
      </c>
      <c r="E1052" s="7" t="s">
        <v>1492</v>
      </c>
      <c r="F1052" s="13"/>
      <c r="G1052" s="9">
        <f>IFERROR(VLOOKUP(D1052,Listas!$A$2:$B$20,2,FALSE()),999)</f>
        <v>1</v>
      </c>
      <c r="H1052" s="9" t="str">
        <f t="shared" ca="1" si="16"/>
        <v>Sin fecha</v>
      </c>
      <c r="J1052" s="11">
        <v>60</v>
      </c>
      <c r="K1052" s="11">
        <v>60</v>
      </c>
      <c r="L1052" s="12">
        <v>42004</v>
      </c>
      <c r="M1052" t="s">
        <v>36</v>
      </c>
    </row>
    <row r="1053" spans="1:13" ht="30">
      <c r="A1053" s="6" t="s">
        <v>1880</v>
      </c>
      <c r="B1053" s="7" t="s">
        <v>1412</v>
      </c>
      <c r="C1053" s="7" t="s">
        <v>1881</v>
      </c>
      <c r="D1053" s="6" t="s">
        <v>18</v>
      </c>
      <c r="E1053" s="7" t="s">
        <v>1476</v>
      </c>
      <c r="F1053" s="13"/>
      <c r="G1053" s="9">
        <f>IFERROR(VLOOKUP(D1053,Listas!$A$2:$B$20,2,FALSE()),999)</f>
        <v>1</v>
      </c>
      <c r="H1053" s="9" t="str">
        <f t="shared" ca="1" si="16"/>
        <v>Sin fecha</v>
      </c>
      <c r="J1053" s="11">
        <v>60</v>
      </c>
      <c r="K1053" s="11">
        <v>60</v>
      </c>
      <c r="L1053" s="12">
        <v>41973</v>
      </c>
      <c r="M1053" t="s">
        <v>36</v>
      </c>
    </row>
    <row r="1054" spans="1:13" ht="30">
      <c r="A1054" s="6" t="s">
        <v>1882</v>
      </c>
      <c r="B1054" s="7" t="s">
        <v>1412</v>
      </c>
      <c r="C1054" s="7" t="s">
        <v>1883</v>
      </c>
      <c r="D1054" s="6" t="s">
        <v>18</v>
      </c>
      <c r="E1054" s="7" t="s">
        <v>1859</v>
      </c>
      <c r="F1054" s="13"/>
      <c r="G1054" s="9">
        <f>IFERROR(VLOOKUP(D1054,Listas!$A$2:$B$20,2,FALSE()),999)</f>
        <v>1</v>
      </c>
      <c r="H1054" s="9" t="str">
        <f t="shared" ca="1" si="16"/>
        <v>Sin fecha</v>
      </c>
      <c r="J1054" s="11">
        <v>60</v>
      </c>
      <c r="K1054" s="11">
        <v>60</v>
      </c>
      <c r="L1054" s="12">
        <v>41973</v>
      </c>
      <c r="M1054" t="s">
        <v>36</v>
      </c>
    </row>
    <row r="1055" spans="1:13" ht="45">
      <c r="A1055" s="6" t="s">
        <v>1884</v>
      </c>
      <c r="B1055" s="7" t="s">
        <v>1412</v>
      </c>
      <c r="C1055" s="7" t="s">
        <v>1885</v>
      </c>
      <c r="D1055" s="6" t="s">
        <v>18</v>
      </c>
      <c r="E1055" s="7" t="s">
        <v>1886</v>
      </c>
      <c r="F1055" s="13"/>
      <c r="G1055" s="9">
        <f>IFERROR(VLOOKUP(D1055,Listas!$A$2:$B$20,2,FALSE()),999)</f>
        <v>1</v>
      </c>
      <c r="H1055" s="9" t="str">
        <f t="shared" ca="1" si="16"/>
        <v>Sin fecha</v>
      </c>
      <c r="J1055" s="11">
        <v>60</v>
      </c>
      <c r="K1055" s="11">
        <v>60</v>
      </c>
      <c r="L1055" s="12">
        <v>41973</v>
      </c>
      <c r="M1055" t="s">
        <v>36</v>
      </c>
    </row>
    <row r="1056" spans="1:13" ht="30">
      <c r="A1056" s="6" t="s">
        <v>1887</v>
      </c>
      <c r="B1056" s="7" t="s">
        <v>1511</v>
      </c>
      <c r="C1056" s="7" t="s">
        <v>1888</v>
      </c>
      <c r="D1056" s="6" t="s">
        <v>1467</v>
      </c>
      <c r="E1056" s="7" t="s">
        <v>1889</v>
      </c>
      <c r="F1056" s="13"/>
      <c r="G1056" s="9">
        <f>IFERROR(VLOOKUP(D1056,Listas!$A$2:$B$20,2,FALSE()),999)</f>
        <v>2</v>
      </c>
      <c r="H1056" s="9" t="str">
        <f t="shared" ca="1" si="16"/>
        <v>Sin fecha</v>
      </c>
      <c r="J1056" s="11">
        <v>60</v>
      </c>
      <c r="K1056" s="11">
        <v>60</v>
      </c>
      <c r="L1056" s="12">
        <v>42004</v>
      </c>
      <c r="M1056" t="s">
        <v>36</v>
      </c>
    </row>
    <row r="1057" spans="1:13" ht="30">
      <c r="A1057" s="6" t="s">
        <v>1890</v>
      </c>
      <c r="B1057" s="7" t="s">
        <v>1412</v>
      </c>
      <c r="C1057" s="7" t="s">
        <v>1891</v>
      </c>
      <c r="D1057" s="6" t="s">
        <v>18</v>
      </c>
      <c r="E1057" s="7" t="s">
        <v>1504</v>
      </c>
      <c r="F1057" s="13"/>
      <c r="G1057" s="9">
        <f>IFERROR(VLOOKUP(D1057,Listas!$A$2:$B$20,2,FALSE()),999)</f>
        <v>1</v>
      </c>
      <c r="H1057" s="9" t="str">
        <f t="shared" ca="1" si="16"/>
        <v>Sin fecha</v>
      </c>
      <c r="J1057" s="11">
        <v>60</v>
      </c>
      <c r="K1057" s="11">
        <v>60</v>
      </c>
      <c r="L1057" s="12">
        <v>42004</v>
      </c>
      <c r="M1057" t="s">
        <v>36</v>
      </c>
    </row>
    <row r="1058" spans="1:13" ht="30">
      <c r="A1058" s="6" t="s">
        <v>1892</v>
      </c>
      <c r="B1058" s="7" t="s">
        <v>1412</v>
      </c>
      <c r="C1058" s="7" t="s">
        <v>1501</v>
      </c>
      <c r="D1058" s="6" t="s">
        <v>18</v>
      </c>
      <c r="E1058" s="7" t="s">
        <v>1893</v>
      </c>
      <c r="F1058" s="13"/>
      <c r="G1058" s="9">
        <f>IFERROR(VLOOKUP(D1058,Listas!$A$2:$B$20,2,FALSE()),999)</f>
        <v>1</v>
      </c>
      <c r="H1058" s="9" t="str">
        <f t="shared" ca="1" si="16"/>
        <v>Sin fecha</v>
      </c>
      <c r="J1058" s="11">
        <v>60</v>
      </c>
      <c r="K1058" s="11">
        <v>60</v>
      </c>
      <c r="L1058" s="12">
        <v>42004</v>
      </c>
      <c r="M1058" t="s">
        <v>36</v>
      </c>
    </row>
    <row r="1059" spans="1:13" ht="45">
      <c r="A1059" s="6" t="s">
        <v>1894</v>
      </c>
      <c r="B1059" s="7" t="s">
        <v>1511</v>
      </c>
      <c r="C1059" s="7" t="s">
        <v>1895</v>
      </c>
      <c r="D1059" s="6" t="s">
        <v>1467</v>
      </c>
      <c r="E1059" s="7" t="s">
        <v>1513</v>
      </c>
      <c r="F1059" s="13"/>
      <c r="G1059" s="9">
        <f>IFERROR(VLOOKUP(D1059,Listas!$A$2:$B$20,2,FALSE()),999)</f>
        <v>2</v>
      </c>
      <c r="H1059" s="9" t="str">
        <f t="shared" ca="1" si="16"/>
        <v>Sin fecha</v>
      </c>
      <c r="J1059" s="11">
        <v>60</v>
      </c>
      <c r="K1059" s="11">
        <v>60</v>
      </c>
      <c r="L1059" s="12">
        <v>42063</v>
      </c>
      <c r="M1059" t="s">
        <v>36</v>
      </c>
    </row>
    <row r="1060" spans="1:13" ht="45">
      <c r="A1060" s="6" t="s">
        <v>1896</v>
      </c>
      <c r="B1060" s="7" t="s">
        <v>1412</v>
      </c>
      <c r="C1060" s="7" t="s">
        <v>1897</v>
      </c>
      <c r="D1060" s="6" t="s">
        <v>1467</v>
      </c>
      <c r="E1060" s="7" t="s">
        <v>1468</v>
      </c>
      <c r="F1060" s="13"/>
      <c r="G1060" s="9">
        <f>IFERROR(VLOOKUP(D1060,Listas!$A$2:$B$20,2,FALSE()),999)</f>
        <v>2</v>
      </c>
      <c r="H1060" s="9" t="str">
        <f t="shared" ca="1" si="16"/>
        <v>Sin fecha</v>
      </c>
      <c r="J1060" s="11">
        <v>60</v>
      </c>
      <c r="K1060" s="11">
        <v>60</v>
      </c>
      <c r="L1060" s="12">
        <v>42063</v>
      </c>
      <c r="M1060" t="s">
        <v>36</v>
      </c>
    </row>
    <row r="1061" spans="1:13" ht="45">
      <c r="A1061" s="6" t="s">
        <v>1898</v>
      </c>
      <c r="B1061" s="7" t="s">
        <v>1412</v>
      </c>
      <c r="C1061" s="7" t="s">
        <v>1899</v>
      </c>
      <c r="D1061" s="6" t="s">
        <v>18</v>
      </c>
      <c r="E1061" s="7" t="s">
        <v>1485</v>
      </c>
      <c r="F1061" s="13"/>
      <c r="G1061" s="9">
        <f>IFERROR(VLOOKUP(D1061,Listas!$A$2:$B$20,2,FALSE()),999)</f>
        <v>1</v>
      </c>
      <c r="H1061" s="9" t="str">
        <f t="shared" ca="1" si="16"/>
        <v>Sin fecha</v>
      </c>
      <c r="J1061" s="11">
        <v>60</v>
      </c>
      <c r="K1061" s="11">
        <v>60</v>
      </c>
      <c r="L1061" s="12">
        <v>42063</v>
      </c>
      <c r="M1061" t="s">
        <v>36</v>
      </c>
    </row>
    <row r="1062" spans="1:13" ht="30">
      <c r="A1062" s="6" t="s">
        <v>1900</v>
      </c>
      <c r="B1062" s="7" t="s">
        <v>1412</v>
      </c>
      <c r="C1062" s="7" t="s">
        <v>1501</v>
      </c>
      <c r="D1062" s="6" t="s">
        <v>18</v>
      </c>
      <c r="E1062" s="7" t="s">
        <v>1901</v>
      </c>
      <c r="F1062" s="13"/>
      <c r="G1062" s="9">
        <f>IFERROR(VLOOKUP(D1062,Listas!$A$2:$B$20,2,FALSE()),999)</f>
        <v>1</v>
      </c>
      <c r="H1062" s="9" t="str">
        <f t="shared" ca="1" si="16"/>
        <v>Sin fecha</v>
      </c>
      <c r="J1062" s="11">
        <v>60</v>
      </c>
      <c r="K1062" s="11">
        <v>60</v>
      </c>
      <c r="L1062" s="12">
        <v>42094</v>
      </c>
      <c r="M1062" t="s">
        <v>36</v>
      </c>
    </row>
    <row r="1063" spans="1:13" ht="30">
      <c r="A1063" s="6" t="s">
        <v>1902</v>
      </c>
      <c r="B1063" s="7" t="s">
        <v>1412</v>
      </c>
      <c r="C1063" s="7" t="s">
        <v>1501</v>
      </c>
      <c r="D1063" s="6" t="s">
        <v>18</v>
      </c>
      <c r="E1063" s="7" t="s">
        <v>1808</v>
      </c>
      <c r="F1063" s="13"/>
      <c r="G1063" s="9">
        <f>IFERROR(VLOOKUP(D1063,Listas!$A$2:$B$20,2,FALSE()),999)</f>
        <v>1</v>
      </c>
      <c r="H1063" s="9" t="str">
        <f t="shared" ca="1" si="16"/>
        <v>Sin fecha</v>
      </c>
      <c r="J1063" s="11">
        <v>60</v>
      </c>
      <c r="K1063" s="11">
        <v>60</v>
      </c>
      <c r="L1063" s="12">
        <v>42094</v>
      </c>
      <c r="M1063" t="s">
        <v>36</v>
      </c>
    </row>
    <row r="1064" spans="1:13" ht="30">
      <c r="A1064" s="6" t="s">
        <v>1903</v>
      </c>
      <c r="B1064" s="7" t="s">
        <v>1412</v>
      </c>
      <c r="C1064" s="7" t="s">
        <v>1904</v>
      </c>
      <c r="D1064" s="6" t="s">
        <v>18</v>
      </c>
      <c r="E1064" s="7" t="s">
        <v>1905</v>
      </c>
      <c r="F1064" s="13"/>
      <c r="G1064" s="9">
        <f>IFERROR(VLOOKUP(D1064,Listas!$A$2:$B$20,2,FALSE()),999)</f>
        <v>1</v>
      </c>
      <c r="H1064" s="9" t="str">
        <f t="shared" ca="1" si="16"/>
        <v>Sin fecha</v>
      </c>
      <c r="J1064" s="11">
        <v>60</v>
      </c>
      <c r="K1064" s="11">
        <v>60</v>
      </c>
      <c r="L1064" s="12">
        <v>42094</v>
      </c>
      <c r="M1064" t="s">
        <v>36</v>
      </c>
    </row>
    <row r="1065" spans="1:13" ht="30">
      <c r="A1065" s="6" t="s">
        <v>1906</v>
      </c>
      <c r="B1065" s="7" t="s">
        <v>1412</v>
      </c>
      <c r="C1065" s="7" t="s">
        <v>1498</v>
      </c>
      <c r="D1065" s="6" t="s">
        <v>18</v>
      </c>
      <c r="E1065" s="7" t="s">
        <v>1907</v>
      </c>
      <c r="F1065" s="13"/>
      <c r="G1065" s="9">
        <f>IFERROR(VLOOKUP(D1065,Listas!$A$2:$B$20,2,FALSE()),999)</f>
        <v>1</v>
      </c>
      <c r="H1065" s="9" t="str">
        <f t="shared" ca="1" si="16"/>
        <v>Sin fecha</v>
      </c>
      <c r="J1065" s="11">
        <v>60</v>
      </c>
      <c r="K1065" s="11">
        <v>60</v>
      </c>
      <c r="L1065" s="12">
        <v>42094</v>
      </c>
      <c r="M1065" t="s">
        <v>36</v>
      </c>
    </row>
    <row r="1066" spans="1:13" ht="30">
      <c r="A1066" s="6" t="s">
        <v>1908</v>
      </c>
      <c r="B1066" s="7" t="s">
        <v>1490</v>
      </c>
      <c r="C1066" s="7" t="s">
        <v>1487</v>
      </c>
      <c r="D1066" s="6" t="s">
        <v>1467</v>
      </c>
      <c r="E1066" s="7" t="s">
        <v>1605</v>
      </c>
      <c r="F1066" s="13"/>
      <c r="G1066" s="9">
        <f>IFERROR(VLOOKUP(D1066,Listas!$A$2:$B$20,2,FALSE()),999)</f>
        <v>2</v>
      </c>
      <c r="H1066" s="9" t="str">
        <f t="shared" ca="1" si="16"/>
        <v>Sin fecha</v>
      </c>
      <c r="J1066" s="11">
        <v>60</v>
      </c>
      <c r="K1066" s="11">
        <v>60</v>
      </c>
      <c r="L1066" s="12">
        <v>42124</v>
      </c>
      <c r="M1066" t="s">
        <v>36</v>
      </c>
    </row>
    <row r="1067" spans="1:13" ht="30">
      <c r="A1067" s="6" t="s">
        <v>1909</v>
      </c>
      <c r="B1067" s="7" t="s">
        <v>1412</v>
      </c>
      <c r="C1067" s="7" t="s">
        <v>1501</v>
      </c>
      <c r="D1067" s="6" t="s">
        <v>1467</v>
      </c>
      <c r="E1067" s="7" t="s">
        <v>1564</v>
      </c>
      <c r="F1067" s="13"/>
      <c r="G1067" s="9">
        <f>IFERROR(VLOOKUP(D1067,Listas!$A$2:$B$20,2,FALSE()),999)</f>
        <v>2</v>
      </c>
      <c r="H1067" s="9" t="str">
        <f t="shared" ca="1" si="16"/>
        <v>Sin fecha</v>
      </c>
      <c r="J1067" s="11">
        <v>60</v>
      </c>
      <c r="K1067" s="11">
        <v>60</v>
      </c>
      <c r="L1067" s="12">
        <v>42124</v>
      </c>
      <c r="M1067" t="s">
        <v>36</v>
      </c>
    </row>
    <row r="1068" spans="1:13" ht="45">
      <c r="A1068" s="6" t="s">
        <v>1910</v>
      </c>
      <c r="B1068" s="7" t="s">
        <v>1412</v>
      </c>
      <c r="C1068" s="7" t="s">
        <v>1911</v>
      </c>
      <c r="D1068" s="6" t="s">
        <v>1467</v>
      </c>
      <c r="E1068" s="7" t="s">
        <v>1468</v>
      </c>
      <c r="F1068" s="13"/>
      <c r="G1068" s="9">
        <f>IFERROR(VLOOKUP(D1068,Listas!$A$2:$B$20,2,FALSE()),999)</f>
        <v>2</v>
      </c>
      <c r="H1068" s="9" t="str">
        <f t="shared" ca="1" si="16"/>
        <v>Sin fecha</v>
      </c>
      <c r="J1068" s="11">
        <v>60</v>
      </c>
      <c r="K1068" s="11">
        <v>60</v>
      </c>
      <c r="L1068" s="12">
        <v>42124</v>
      </c>
      <c r="M1068" t="s">
        <v>36</v>
      </c>
    </row>
    <row r="1069" spans="1:13" ht="30">
      <c r="A1069" s="6" t="s">
        <v>1912</v>
      </c>
      <c r="B1069" s="7" t="s">
        <v>1412</v>
      </c>
      <c r="C1069" s="7" t="s">
        <v>1494</v>
      </c>
      <c r="D1069" s="6" t="s">
        <v>1467</v>
      </c>
      <c r="E1069" s="7" t="s">
        <v>1513</v>
      </c>
      <c r="F1069" s="13"/>
      <c r="G1069" s="9">
        <f>IFERROR(VLOOKUP(D1069,Listas!$A$2:$B$20,2,FALSE()),999)</f>
        <v>2</v>
      </c>
      <c r="H1069" s="9" t="str">
        <f t="shared" ca="1" si="16"/>
        <v>Sin fecha</v>
      </c>
      <c r="J1069" s="11">
        <v>60</v>
      </c>
      <c r="K1069" s="11">
        <v>60</v>
      </c>
      <c r="L1069" s="12">
        <v>42124</v>
      </c>
      <c r="M1069" t="s">
        <v>36</v>
      </c>
    </row>
    <row r="1070" spans="1:13" ht="30">
      <c r="A1070" s="6" t="s">
        <v>1913</v>
      </c>
      <c r="B1070" s="7" t="s">
        <v>1412</v>
      </c>
      <c r="C1070" s="7" t="s">
        <v>1494</v>
      </c>
      <c r="D1070" s="6" t="s">
        <v>1467</v>
      </c>
      <c r="E1070" s="7" t="s">
        <v>1513</v>
      </c>
      <c r="F1070" s="13"/>
      <c r="G1070" s="9">
        <f>IFERROR(VLOOKUP(D1070,Listas!$A$2:$B$20,2,FALSE()),999)</f>
        <v>2</v>
      </c>
      <c r="H1070" s="9" t="str">
        <f t="shared" ca="1" si="16"/>
        <v>Sin fecha</v>
      </c>
      <c r="J1070" s="11">
        <v>60</v>
      </c>
      <c r="K1070" s="11">
        <v>60</v>
      </c>
      <c r="L1070" s="12">
        <v>42124</v>
      </c>
      <c r="M1070" t="s">
        <v>36</v>
      </c>
    </row>
    <row r="1071" spans="1:13" ht="30">
      <c r="A1071" s="6" t="s">
        <v>1914</v>
      </c>
      <c r="B1071" s="7" t="s">
        <v>1412</v>
      </c>
      <c r="C1071" s="7" t="s">
        <v>1494</v>
      </c>
      <c r="D1071" s="6" t="s">
        <v>1467</v>
      </c>
      <c r="E1071" s="7" t="s">
        <v>1513</v>
      </c>
      <c r="F1071" s="13"/>
      <c r="G1071" s="9">
        <f>IFERROR(VLOOKUP(D1071,Listas!$A$2:$B$20,2,FALSE()),999)</f>
        <v>2</v>
      </c>
      <c r="H1071" s="9" t="str">
        <f t="shared" ca="1" si="16"/>
        <v>Sin fecha</v>
      </c>
      <c r="J1071" s="11">
        <v>60</v>
      </c>
      <c r="K1071" s="11">
        <v>60</v>
      </c>
      <c r="L1071" s="12">
        <v>42124</v>
      </c>
      <c r="M1071" t="s">
        <v>36</v>
      </c>
    </row>
    <row r="1072" spans="1:13" ht="30">
      <c r="A1072" s="6" t="s">
        <v>1915</v>
      </c>
      <c r="B1072" s="7" t="s">
        <v>1412</v>
      </c>
      <c r="C1072" s="7" t="s">
        <v>1916</v>
      </c>
      <c r="D1072" s="6" t="s">
        <v>18</v>
      </c>
      <c r="E1072" s="7" t="s">
        <v>1917</v>
      </c>
      <c r="F1072" s="13"/>
      <c r="G1072" s="9">
        <f>IFERROR(VLOOKUP(D1072,Listas!$A$2:$B$20,2,FALSE()),999)</f>
        <v>1</v>
      </c>
      <c r="H1072" s="9" t="str">
        <f t="shared" ca="1" si="16"/>
        <v>Sin fecha</v>
      </c>
      <c r="J1072" s="11">
        <v>60</v>
      </c>
      <c r="K1072" s="11">
        <v>60</v>
      </c>
      <c r="L1072" s="12">
        <v>42155</v>
      </c>
      <c r="M1072" t="s">
        <v>36</v>
      </c>
    </row>
    <row r="1073" spans="1:13" ht="45">
      <c r="A1073" s="6" t="s">
        <v>1918</v>
      </c>
      <c r="B1073" s="7" t="s">
        <v>1412</v>
      </c>
      <c r="C1073" s="7" t="s">
        <v>1919</v>
      </c>
      <c r="D1073" s="6" t="s">
        <v>18</v>
      </c>
      <c r="E1073" s="7" t="s">
        <v>1920</v>
      </c>
      <c r="F1073" s="13"/>
      <c r="G1073" s="9">
        <f>IFERROR(VLOOKUP(D1073,Listas!$A$2:$B$20,2,FALSE()),999)</f>
        <v>1</v>
      </c>
      <c r="H1073" s="9" t="str">
        <f t="shared" ca="1" si="16"/>
        <v>Sin fecha</v>
      </c>
      <c r="J1073" s="11">
        <v>60</v>
      </c>
      <c r="K1073" s="11">
        <v>60</v>
      </c>
      <c r="L1073" s="12">
        <v>42155</v>
      </c>
      <c r="M1073" t="s">
        <v>36</v>
      </c>
    </row>
    <row r="1074" spans="1:13" ht="30">
      <c r="A1074" s="6" t="s">
        <v>1921</v>
      </c>
      <c r="B1074" s="7" t="s">
        <v>1412</v>
      </c>
      <c r="C1074" s="7" t="s">
        <v>1501</v>
      </c>
      <c r="D1074" s="6" t="s">
        <v>18</v>
      </c>
      <c r="E1074" s="7" t="s">
        <v>1474</v>
      </c>
      <c r="F1074" s="13"/>
      <c r="G1074" s="9">
        <f>IFERROR(VLOOKUP(D1074,Listas!$A$2:$B$20,2,FALSE()),999)</f>
        <v>1</v>
      </c>
      <c r="H1074" s="9" t="str">
        <f t="shared" ca="1" si="16"/>
        <v>Sin fecha</v>
      </c>
      <c r="J1074" s="11">
        <v>60</v>
      </c>
      <c r="K1074" s="11">
        <v>60</v>
      </c>
      <c r="L1074" s="12">
        <v>42155</v>
      </c>
      <c r="M1074" t="s">
        <v>36</v>
      </c>
    </row>
    <row r="1075" spans="1:13" ht="30">
      <c r="A1075" s="6" t="s">
        <v>1922</v>
      </c>
      <c r="B1075" s="7" t="s">
        <v>1412</v>
      </c>
      <c r="C1075" s="7" t="s">
        <v>1501</v>
      </c>
      <c r="D1075" s="6" t="s">
        <v>18</v>
      </c>
      <c r="E1075" s="7" t="s">
        <v>1504</v>
      </c>
      <c r="F1075" s="13"/>
      <c r="G1075" s="9">
        <f>IFERROR(VLOOKUP(D1075,Listas!$A$2:$B$20,2,FALSE()),999)</f>
        <v>1</v>
      </c>
      <c r="H1075" s="9" t="str">
        <f t="shared" ca="1" si="16"/>
        <v>Sin fecha</v>
      </c>
      <c r="J1075" s="11">
        <v>60</v>
      </c>
      <c r="K1075" s="11">
        <v>60</v>
      </c>
      <c r="L1075" s="12">
        <v>42155</v>
      </c>
      <c r="M1075" t="s">
        <v>36</v>
      </c>
    </row>
    <row r="1076" spans="1:13" ht="45">
      <c r="A1076" s="6" t="s">
        <v>1923</v>
      </c>
      <c r="B1076" s="7" t="s">
        <v>1490</v>
      </c>
      <c r="C1076" s="7" t="s">
        <v>1924</v>
      </c>
      <c r="D1076" s="6" t="s">
        <v>18</v>
      </c>
      <c r="E1076" s="7" t="s">
        <v>1603</v>
      </c>
      <c r="F1076" s="13"/>
      <c r="G1076" s="9">
        <f>IFERROR(VLOOKUP(D1076,Listas!$A$2:$B$20,2,FALSE()),999)</f>
        <v>1</v>
      </c>
      <c r="H1076" s="9" t="str">
        <f t="shared" ca="1" si="16"/>
        <v>Sin fecha</v>
      </c>
      <c r="J1076" s="11">
        <v>60</v>
      </c>
      <c r="K1076" s="11">
        <v>60</v>
      </c>
      <c r="L1076" s="12">
        <v>42155</v>
      </c>
      <c r="M1076" t="s">
        <v>36</v>
      </c>
    </row>
    <row r="1077" spans="1:13" ht="30">
      <c r="A1077" s="6" t="s">
        <v>1925</v>
      </c>
      <c r="B1077" s="7" t="s">
        <v>1490</v>
      </c>
      <c r="C1077" s="7" t="s">
        <v>1926</v>
      </c>
      <c r="D1077" s="6" t="s">
        <v>18</v>
      </c>
      <c r="E1077" s="7" t="s">
        <v>1603</v>
      </c>
      <c r="F1077" s="13"/>
      <c r="G1077" s="9">
        <f>IFERROR(VLOOKUP(D1077,Listas!$A$2:$B$20,2,FALSE()),999)</f>
        <v>1</v>
      </c>
      <c r="H1077" s="9" t="str">
        <f t="shared" ca="1" si="16"/>
        <v>Sin fecha</v>
      </c>
      <c r="J1077" s="11">
        <v>60</v>
      </c>
      <c r="K1077" s="11">
        <v>60</v>
      </c>
      <c r="L1077" s="12">
        <v>42155</v>
      </c>
      <c r="M1077" t="s">
        <v>36</v>
      </c>
    </row>
    <row r="1078" spans="1:13" ht="30">
      <c r="A1078" s="6" t="s">
        <v>1927</v>
      </c>
      <c r="B1078" s="7" t="s">
        <v>1490</v>
      </c>
      <c r="C1078" s="7" t="s">
        <v>1928</v>
      </c>
      <c r="D1078" s="6" t="s">
        <v>18</v>
      </c>
      <c r="E1078" s="7" t="s">
        <v>1603</v>
      </c>
      <c r="F1078" s="13"/>
      <c r="G1078" s="9">
        <f>IFERROR(VLOOKUP(D1078,Listas!$A$2:$B$20,2,FALSE()),999)</f>
        <v>1</v>
      </c>
      <c r="H1078" s="9" t="str">
        <f t="shared" ca="1" si="16"/>
        <v>Sin fecha</v>
      </c>
      <c r="J1078" s="11">
        <v>60</v>
      </c>
      <c r="K1078" s="11">
        <v>60</v>
      </c>
      <c r="L1078" s="12">
        <v>42155</v>
      </c>
      <c r="M1078" t="s">
        <v>36</v>
      </c>
    </row>
    <row r="1079" spans="1:13" ht="30">
      <c r="A1079" s="6" t="s">
        <v>1929</v>
      </c>
      <c r="B1079" s="7" t="s">
        <v>1490</v>
      </c>
      <c r="C1079" s="7" t="s">
        <v>1926</v>
      </c>
      <c r="D1079" s="6" t="s">
        <v>18</v>
      </c>
      <c r="E1079" s="7" t="s">
        <v>1603</v>
      </c>
      <c r="F1079" s="13"/>
      <c r="G1079" s="9">
        <f>IFERROR(VLOOKUP(D1079,Listas!$A$2:$B$20,2,FALSE()),999)</f>
        <v>1</v>
      </c>
      <c r="H1079" s="9" t="str">
        <f t="shared" ca="1" si="16"/>
        <v>Sin fecha</v>
      </c>
      <c r="J1079" s="11">
        <v>60</v>
      </c>
      <c r="K1079" s="11">
        <v>60</v>
      </c>
      <c r="L1079" s="12">
        <v>42155</v>
      </c>
      <c r="M1079" t="s">
        <v>36</v>
      </c>
    </row>
    <row r="1080" spans="1:13" ht="30">
      <c r="A1080" s="6" t="s">
        <v>1930</v>
      </c>
      <c r="B1080" s="7" t="s">
        <v>1490</v>
      </c>
      <c r="C1080" s="7" t="s">
        <v>1926</v>
      </c>
      <c r="D1080" s="6" t="s">
        <v>18</v>
      </c>
      <c r="E1080" s="7" t="s">
        <v>1603</v>
      </c>
      <c r="F1080" s="13"/>
      <c r="G1080" s="9">
        <f>IFERROR(VLOOKUP(D1080,Listas!$A$2:$B$20,2,FALSE()),999)</f>
        <v>1</v>
      </c>
      <c r="H1080" s="9" t="str">
        <f t="shared" ca="1" si="16"/>
        <v>Sin fecha</v>
      </c>
      <c r="J1080" s="11">
        <v>60</v>
      </c>
      <c r="K1080" s="11">
        <v>60</v>
      </c>
      <c r="L1080" s="12">
        <v>42155</v>
      </c>
      <c r="M1080" t="s">
        <v>36</v>
      </c>
    </row>
    <row r="1081" spans="1:13" ht="30">
      <c r="A1081" s="6" t="s">
        <v>1931</v>
      </c>
      <c r="B1081" s="7" t="s">
        <v>1412</v>
      </c>
      <c r="C1081" s="7" t="s">
        <v>1932</v>
      </c>
      <c r="D1081" s="6" t="s">
        <v>18</v>
      </c>
      <c r="E1081" s="7" t="s">
        <v>1603</v>
      </c>
      <c r="F1081" s="13"/>
      <c r="G1081" s="9">
        <f>IFERROR(VLOOKUP(D1081,Listas!$A$2:$B$20,2,FALSE()),999)</f>
        <v>1</v>
      </c>
      <c r="H1081" s="9" t="str">
        <f t="shared" ca="1" si="16"/>
        <v>Sin fecha</v>
      </c>
      <c r="J1081" s="11">
        <v>60</v>
      </c>
      <c r="K1081" s="11">
        <v>60</v>
      </c>
      <c r="L1081" s="12">
        <v>42155</v>
      </c>
      <c r="M1081" t="s">
        <v>36</v>
      </c>
    </row>
    <row r="1082" spans="1:13" ht="30">
      <c r="A1082" s="6" t="s">
        <v>1933</v>
      </c>
      <c r="B1082" s="7" t="s">
        <v>1490</v>
      </c>
      <c r="C1082" s="7" t="s">
        <v>1501</v>
      </c>
      <c r="D1082" s="6" t="s">
        <v>1467</v>
      </c>
      <c r="E1082" s="7" t="s">
        <v>1934</v>
      </c>
      <c r="F1082" s="13"/>
      <c r="G1082" s="9">
        <f>IFERROR(VLOOKUP(D1082,Listas!$A$2:$B$20,2,FALSE()),999)</f>
        <v>2</v>
      </c>
      <c r="H1082" s="9" t="str">
        <f t="shared" ca="1" si="16"/>
        <v>Sin fecha</v>
      </c>
      <c r="J1082" s="11">
        <v>60</v>
      </c>
      <c r="K1082" s="11">
        <v>60</v>
      </c>
      <c r="L1082" s="12">
        <v>42155</v>
      </c>
      <c r="M1082" t="s">
        <v>36</v>
      </c>
    </row>
    <row r="1083" spans="1:13" ht="30">
      <c r="A1083" s="6" t="s">
        <v>1935</v>
      </c>
      <c r="B1083" s="7" t="s">
        <v>1490</v>
      </c>
      <c r="C1083" s="7" t="s">
        <v>1498</v>
      </c>
      <c r="D1083" s="6" t="s">
        <v>1467</v>
      </c>
      <c r="E1083" s="7" t="s">
        <v>1936</v>
      </c>
      <c r="F1083" s="13"/>
      <c r="G1083" s="9">
        <f>IFERROR(VLOOKUP(D1083,Listas!$A$2:$B$20,2,FALSE()),999)</f>
        <v>2</v>
      </c>
      <c r="H1083" s="9" t="str">
        <f t="shared" ca="1" si="16"/>
        <v>Sin fecha</v>
      </c>
      <c r="J1083" s="11">
        <v>60</v>
      </c>
      <c r="K1083" s="11">
        <v>60</v>
      </c>
      <c r="L1083" s="12">
        <v>42185</v>
      </c>
      <c r="M1083" t="s">
        <v>36</v>
      </c>
    </row>
    <row r="1084" spans="1:13" ht="30">
      <c r="A1084" s="6" t="s">
        <v>1937</v>
      </c>
      <c r="B1084" s="7" t="s">
        <v>1490</v>
      </c>
      <c r="C1084" s="7" t="s">
        <v>1481</v>
      </c>
      <c r="D1084" s="6" t="s">
        <v>1467</v>
      </c>
      <c r="E1084" s="7" t="s">
        <v>1936</v>
      </c>
      <c r="F1084" s="13"/>
      <c r="G1084" s="9">
        <f>IFERROR(VLOOKUP(D1084,Listas!$A$2:$B$20,2,FALSE()),999)</f>
        <v>2</v>
      </c>
      <c r="H1084" s="9" t="str">
        <f t="shared" ca="1" si="16"/>
        <v>Sin fecha</v>
      </c>
      <c r="J1084" s="11">
        <v>60</v>
      </c>
      <c r="K1084" s="11">
        <v>60</v>
      </c>
      <c r="L1084" s="12">
        <v>42185</v>
      </c>
      <c r="M1084" t="s">
        <v>36</v>
      </c>
    </row>
    <row r="1085" spans="1:13" ht="30">
      <c r="A1085" s="6" t="s">
        <v>1938</v>
      </c>
      <c r="B1085" s="7" t="s">
        <v>1412</v>
      </c>
      <c r="C1085" s="7" t="s">
        <v>1883</v>
      </c>
      <c r="D1085" s="6" t="s">
        <v>1467</v>
      </c>
      <c r="E1085" s="7" t="s">
        <v>1471</v>
      </c>
      <c r="F1085" s="13"/>
      <c r="G1085" s="9">
        <f>IFERROR(VLOOKUP(D1085,Listas!$A$2:$B$20,2,FALSE()),999)</f>
        <v>2</v>
      </c>
      <c r="H1085" s="9" t="str">
        <f t="shared" ca="1" si="16"/>
        <v>Sin fecha</v>
      </c>
      <c r="J1085" s="11">
        <v>60</v>
      </c>
      <c r="K1085" s="11">
        <v>60</v>
      </c>
      <c r="L1085" s="12">
        <v>42308</v>
      </c>
      <c r="M1085" t="s">
        <v>36</v>
      </c>
    </row>
    <row r="1086" spans="1:13" ht="30">
      <c r="A1086" s="6" t="s">
        <v>1939</v>
      </c>
      <c r="B1086" s="7" t="s">
        <v>1412</v>
      </c>
      <c r="C1086" s="7" t="s">
        <v>1940</v>
      </c>
      <c r="D1086" s="6" t="s">
        <v>1467</v>
      </c>
      <c r="E1086" s="7" t="s">
        <v>1513</v>
      </c>
      <c r="F1086" s="13"/>
      <c r="G1086" s="9">
        <f>IFERROR(VLOOKUP(D1086,Listas!$A$2:$B$20,2,FALSE()),999)</f>
        <v>2</v>
      </c>
      <c r="H1086" s="9" t="str">
        <f t="shared" ca="1" si="16"/>
        <v>Sin fecha</v>
      </c>
      <c r="J1086" s="11">
        <v>60</v>
      </c>
      <c r="K1086" s="11">
        <v>60</v>
      </c>
      <c r="L1086" s="12">
        <v>42247</v>
      </c>
      <c r="M1086" t="s">
        <v>36</v>
      </c>
    </row>
    <row r="1087" spans="1:13" ht="30">
      <c r="A1087" s="6" t="s">
        <v>1941</v>
      </c>
      <c r="B1087" s="7" t="s">
        <v>1412</v>
      </c>
      <c r="C1087" s="7" t="s">
        <v>1942</v>
      </c>
      <c r="D1087" s="6" t="s">
        <v>18</v>
      </c>
      <c r="E1087" s="7" t="s">
        <v>1519</v>
      </c>
      <c r="F1087" s="13"/>
      <c r="G1087" s="9">
        <f>IFERROR(VLOOKUP(D1087,Listas!$A$2:$B$20,2,FALSE()),999)</f>
        <v>1</v>
      </c>
      <c r="H1087" s="9" t="str">
        <f t="shared" ca="1" si="16"/>
        <v>Sin fecha</v>
      </c>
      <c r="J1087" s="11">
        <v>60</v>
      </c>
      <c r="K1087" s="11">
        <v>60</v>
      </c>
      <c r="L1087" s="12">
        <v>42247</v>
      </c>
      <c r="M1087" t="s">
        <v>36</v>
      </c>
    </row>
    <row r="1088" spans="1:13" ht="45">
      <c r="A1088" s="6" t="s">
        <v>1943</v>
      </c>
      <c r="B1088" s="7" t="s">
        <v>1412</v>
      </c>
      <c r="C1088" s="7" t="s">
        <v>1463</v>
      </c>
      <c r="D1088" s="6" t="s">
        <v>18</v>
      </c>
      <c r="E1088" s="7" t="s">
        <v>1476</v>
      </c>
      <c r="F1088" s="13"/>
      <c r="G1088" s="9">
        <f>IFERROR(VLOOKUP(D1088,Listas!$A$2:$B$20,2,FALSE()),999)</f>
        <v>1</v>
      </c>
      <c r="H1088" s="9" t="str">
        <f t="shared" ca="1" si="16"/>
        <v>Sin fecha</v>
      </c>
      <c r="J1088" s="11">
        <v>60</v>
      </c>
      <c r="K1088" s="11">
        <v>60</v>
      </c>
      <c r="L1088" s="12">
        <v>42369</v>
      </c>
      <c r="M1088" t="s">
        <v>36</v>
      </c>
    </row>
    <row r="1089" spans="1:13" ht="45">
      <c r="A1089" s="6" t="s">
        <v>1944</v>
      </c>
      <c r="B1089" s="7" t="s">
        <v>1490</v>
      </c>
      <c r="C1089" s="7" t="s">
        <v>1945</v>
      </c>
      <c r="D1089" s="6" t="s">
        <v>1467</v>
      </c>
      <c r="E1089" s="7" t="s">
        <v>1605</v>
      </c>
      <c r="F1089" s="13"/>
      <c r="G1089" s="9">
        <f>IFERROR(VLOOKUP(D1089,Listas!$A$2:$B$20,2,FALSE()),999)</f>
        <v>2</v>
      </c>
      <c r="H1089" s="9" t="str">
        <f t="shared" ca="1" si="16"/>
        <v>Sin fecha</v>
      </c>
      <c r="J1089" s="11">
        <v>120</v>
      </c>
      <c r="K1089" s="11">
        <v>120</v>
      </c>
      <c r="L1089" s="12">
        <v>42247</v>
      </c>
      <c r="M1089" t="s">
        <v>36</v>
      </c>
    </row>
    <row r="1090" spans="1:13" ht="45">
      <c r="A1090" s="6" t="s">
        <v>1946</v>
      </c>
      <c r="B1090" s="7" t="s">
        <v>1511</v>
      </c>
      <c r="C1090" s="7" t="s">
        <v>1947</v>
      </c>
      <c r="D1090" s="6" t="s">
        <v>18</v>
      </c>
      <c r="E1090" s="7" t="s">
        <v>1543</v>
      </c>
      <c r="F1090" s="13"/>
      <c r="G1090" s="9">
        <f>IFERROR(VLOOKUP(D1090,Listas!$A$2:$B$20,2,FALSE()),999)</f>
        <v>1</v>
      </c>
      <c r="H1090" s="9" t="str">
        <f t="shared" ca="1" si="16"/>
        <v>Sin fecha</v>
      </c>
      <c r="J1090" s="11">
        <v>60</v>
      </c>
      <c r="K1090" s="11">
        <v>60</v>
      </c>
      <c r="L1090" s="12">
        <v>42247</v>
      </c>
      <c r="M1090" t="s">
        <v>36</v>
      </c>
    </row>
    <row r="1091" spans="1:13" ht="45">
      <c r="A1091" s="6" t="s">
        <v>1948</v>
      </c>
      <c r="B1091" s="7" t="s">
        <v>1511</v>
      </c>
      <c r="C1091" s="7" t="s">
        <v>1949</v>
      </c>
      <c r="D1091" s="6" t="s">
        <v>18</v>
      </c>
      <c r="E1091" s="7" t="s">
        <v>1950</v>
      </c>
      <c r="F1091" s="13"/>
      <c r="G1091" s="9">
        <f>IFERROR(VLOOKUP(D1091,Listas!$A$2:$B$20,2,FALSE()),999)</f>
        <v>1</v>
      </c>
      <c r="H1091" s="9" t="str">
        <f t="shared" ca="1" si="16"/>
        <v>Sin fecha</v>
      </c>
      <c r="J1091" s="11">
        <v>60</v>
      </c>
      <c r="K1091" s="11">
        <v>60</v>
      </c>
      <c r="L1091" s="12">
        <v>42247</v>
      </c>
      <c r="M1091" t="s">
        <v>36</v>
      </c>
    </row>
    <row r="1092" spans="1:13" ht="30">
      <c r="A1092" s="6" t="s">
        <v>1951</v>
      </c>
      <c r="B1092" s="7" t="s">
        <v>1511</v>
      </c>
      <c r="C1092" s="7" t="s">
        <v>1339</v>
      </c>
      <c r="D1092" s="6" t="s">
        <v>18</v>
      </c>
      <c r="E1092" s="7" t="s">
        <v>1952</v>
      </c>
      <c r="F1092" s="13"/>
      <c r="G1092" s="9">
        <f>IFERROR(VLOOKUP(D1092,Listas!$A$2:$B$20,2,FALSE()),999)</f>
        <v>1</v>
      </c>
      <c r="H1092" s="9" t="str">
        <f t="shared" ca="1" si="16"/>
        <v>Sin fecha</v>
      </c>
      <c r="J1092" s="11">
        <v>1</v>
      </c>
      <c r="K1092" s="11">
        <v>1</v>
      </c>
      <c r="L1092" s="12">
        <v>43451</v>
      </c>
      <c r="M1092" t="s">
        <v>36</v>
      </c>
    </row>
    <row r="1093" spans="1:13" ht="75">
      <c r="A1093" s="6" t="s">
        <v>1953</v>
      </c>
      <c r="B1093" s="7" t="s">
        <v>1511</v>
      </c>
      <c r="C1093" s="7" t="s">
        <v>1954</v>
      </c>
      <c r="D1093" s="6" t="s">
        <v>1467</v>
      </c>
      <c r="E1093" s="7" t="s">
        <v>1513</v>
      </c>
      <c r="F1093" s="13"/>
      <c r="G1093" s="9">
        <f>IFERROR(VLOOKUP(D1093,Listas!$A$2:$B$20,2,FALSE()),999)</f>
        <v>2</v>
      </c>
      <c r="H1093" s="9" t="str">
        <f t="shared" ref="H1093:H1156" ca="1" si="17">IF(F1093="","Sin fecha",IF(TODAY()-F1093&gt;180,"Revisar",IF(TODAY()-F1093&gt;90,"Próximo","Vigente")))</f>
        <v>Sin fecha</v>
      </c>
      <c r="J1093" s="11">
        <v>60</v>
      </c>
      <c r="K1093" s="11">
        <v>60</v>
      </c>
      <c r="L1093" s="12">
        <v>42247</v>
      </c>
      <c r="M1093" t="s">
        <v>36</v>
      </c>
    </row>
    <row r="1094" spans="1:13" ht="30">
      <c r="A1094" s="6" t="s">
        <v>1955</v>
      </c>
      <c r="B1094" s="7" t="s">
        <v>1511</v>
      </c>
      <c r="C1094" s="7" t="s">
        <v>1956</v>
      </c>
      <c r="D1094" s="6" t="s">
        <v>1467</v>
      </c>
      <c r="E1094" s="7" t="s">
        <v>1513</v>
      </c>
      <c r="F1094" s="13"/>
      <c r="G1094" s="9">
        <f>IFERROR(VLOOKUP(D1094,Listas!$A$2:$B$20,2,FALSE()),999)</f>
        <v>2</v>
      </c>
      <c r="H1094" s="9" t="str">
        <f t="shared" ca="1" si="17"/>
        <v>Sin fecha</v>
      </c>
      <c r="J1094" s="11">
        <v>60</v>
      </c>
      <c r="K1094" s="11">
        <v>60</v>
      </c>
      <c r="L1094" s="12">
        <v>42247</v>
      </c>
      <c r="M1094" t="s">
        <v>36</v>
      </c>
    </row>
    <row r="1095" spans="1:13" ht="30">
      <c r="A1095" s="6" t="s">
        <v>1957</v>
      </c>
      <c r="B1095" s="7" t="s">
        <v>1511</v>
      </c>
      <c r="C1095" s="7" t="s">
        <v>1958</v>
      </c>
      <c r="D1095" s="6" t="s">
        <v>18</v>
      </c>
      <c r="E1095" s="7" t="s">
        <v>1959</v>
      </c>
      <c r="F1095" s="13"/>
      <c r="G1095" s="9">
        <f>IFERROR(VLOOKUP(D1095,Listas!$A$2:$B$20,2,FALSE()),999)</f>
        <v>1</v>
      </c>
      <c r="H1095" s="9" t="str">
        <f t="shared" ca="1" si="17"/>
        <v>Sin fecha</v>
      </c>
      <c r="J1095" s="11">
        <v>60</v>
      </c>
      <c r="K1095" s="11">
        <v>60</v>
      </c>
      <c r="L1095" s="12">
        <v>42247</v>
      </c>
      <c r="M1095" t="s">
        <v>36</v>
      </c>
    </row>
    <row r="1096" spans="1:13" ht="45">
      <c r="A1096" s="6" t="s">
        <v>1960</v>
      </c>
      <c r="B1096" s="7" t="s">
        <v>1511</v>
      </c>
      <c r="C1096" s="7" t="s">
        <v>1961</v>
      </c>
      <c r="D1096" s="6" t="s">
        <v>1467</v>
      </c>
      <c r="E1096" s="7" t="s">
        <v>1962</v>
      </c>
      <c r="F1096" s="13"/>
      <c r="G1096" s="9">
        <f>IFERROR(VLOOKUP(D1096,Listas!$A$2:$B$20,2,FALSE()),999)</f>
        <v>2</v>
      </c>
      <c r="H1096" s="9" t="str">
        <f t="shared" ca="1" si="17"/>
        <v>Sin fecha</v>
      </c>
      <c r="J1096" s="11">
        <v>60</v>
      </c>
      <c r="K1096" s="11">
        <v>60</v>
      </c>
      <c r="L1096" s="12">
        <v>42277</v>
      </c>
      <c r="M1096" t="s">
        <v>36</v>
      </c>
    </row>
    <row r="1097" spans="1:13" ht="30">
      <c r="A1097" s="6" t="s">
        <v>1963</v>
      </c>
      <c r="B1097" s="7" t="s">
        <v>1511</v>
      </c>
      <c r="C1097" s="7" t="s">
        <v>1964</v>
      </c>
      <c r="D1097" s="6" t="s">
        <v>1467</v>
      </c>
      <c r="E1097" s="7" t="s">
        <v>1513</v>
      </c>
      <c r="F1097" s="13"/>
      <c r="G1097" s="9">
        <f>IFERROR(VLOOKUP(D1097,Listas!$A$2:$B$20,2,FALSE()),999)</f>
        <v>2</v>
      </c>
      <c r="H1097" s="9" t="str">
        <f t="shared" ca="1" si="17"/>
        <v>Sin fecha</v>
      </c>
      <c r="J1097" s="11">
        <v>60</v>
      </c>
      <c r="K1097" s="11">
        <v>60</v>
      </c>
      <c r="L1097" s="12">
        <v>42277</v>
      </c>
      <c r="M1097" t="s">
        <v>36</v>
      </c>
    </row>
    <row r="1098" spans="1:13" ht="30">
      <c r="A1098" s="6" t="s">
        <v>1965</v>
      </c>
      <c r="B1098" s="7" t="s">
        <v>1412</v>
      </c>
      <c r="C1098" s="7" t="s">
        <v>1487</v>
      </c>
      <c r="D1098" s="6" t="s">
        <v>18</v>
      </c>
      <c r="E1098" s="7" t="s">
        <v>1905</v>
      </c>
      <c r="F1098" s="13"/>
      <c r="G1098" s="9">
        <f>IFERROR(VLOOKUP(D1098,Listas!$A$2:$B$20,2,FALSE()),999)</f>
        <v>1</v>
      </c>
      <c r="H1098" s="9" t="str">
        <f t="shared" ca="1" si="17"/>
        <v>Sin fecha</v>
      </c>
      <c r="J1098" s="11">
        <v>60</v>
      </c>
      <c r="K1098" s="11">
        <v>60</v>
      </c>
      <c r="L1098" s="12">
        <v>42400</v>
      </c>
      <c r="M1098" t="s">
        <v>36</v>
      </c>
    </row>
    <row r="1099" spans="1:13" ht="45">
      <c r="A1099" s="6" t="s">
        <v>1966</v>
      </c>
      <c r="B1099" s="7" t="s">
        <v>1490</v>
      </c>
      <c r="C1099" s="7" t="s">
        <v>1967</v>
      </c>
      <c r="D1099" s="6" t="s">
        <v>18</v>
      </c>
      <c r="E1099" s="7" t="s">
        <v>1474</v>
      </c>
      <c r="F1099" s="13"/>
      <c r="G1099" s="9">
        <f>IFERROR(VLOOKUP(D1099,Listas!$A$2:$B$20,2,FALSE()),999)</f>
        <v>1</v>
      </c>
      <c r="H1099" s="9" t="str">
        <f t="shared" ca="1" si="17"/>
        <v>Sin fecha</v>
      </c>
      <c r="J1099" s="11">
        <v>60</v>
      </c>
      <c r="K1099" s="11">
        <v>60</v>
      </c>
      <c r="L1099" s="12">
        <v>42369</v>
      </c>
      <c r="M1099" t="s">
        <v>36</v>
      </c>
    </row>
    <row r="1100" spans="1:13" ht="30">
      <c r="A1100" s="6" t="s">
        <v>1968</v>
      </c>
      <c r="B1100" s="7" t="s">
        <v>1511</v>
      </c>
      <c r="C1100" s="7" t="s">
        <v>1969</v>
      </c>
      <c r="D1100" s="6" t="s">
        <v>18</v>
      </c>
      <c r="E1100" s="7" t="s">
        <v>1525</v>
      </c>
      <c r="F1100" s="13"/>
      <c r="G1100" s="9">
        <f>IFERROR(VLOOKUP(D1100,Listas!$A$2:$B$20,2,FALSE()),999)</f>
        <v>1</v>
      </c>
      <c r="H1100" s="9" t="str">
        <f t="shared" ca="1" si="17"/>
        <v>Sin fecha</v>
      </c>
      <c r="J1100" s="11">
        <v>1</v>
      </c>
      <c r="K1100" s="11">
        <v>1</v>
      </c>
      <c r="L1100" s="12">
        <v>42886</v>
      </c>
      <c r="M1100" t="s">
        <v>36</v>
      </c>
    </row>
    <row r="1101" spans="1:13" ht="30">
      <c r="A1101" s="6" t="s">
        <v>1970</v>
      </c>
      <c r="B1101" s="7" t="s">
        <v>1412</v>
      </c>
      <c r="C1101" s="7" t="s">
        <v>1891</v>
      </c>
      <c r="D1101" s="6" t="s">
        <v>1467</v>
      </c>
      <c r="E1101" s="7" t="s">
        <v>1513</v>
      </c>
      <c r="F1101" s="13"/>
      <c r="G1101" s="9">
        <f>IFERROR(VLOOKUP(D1101,Listas!$A$2:$B$20,2,FALSE()),999)</f>
        <v>2</v>
      </c>
      <c r="H1101" s="9" t="str">
        <f t="shared" ca="1" si="17"/>
        <v>Sin fecha</v>
      </c>
      <c r="J1101" s="11">
        <v>60</v>
      </c>
      <c r="K1101" s="11">
        <v>60</v>
      </c>
      <c r="L1101" s="12">
        <v>42400</v>
      </c>
      <c r="M1101" t="s">
        <v>36</v>
      </c>
    </row>
    <row r="1102" spans="1:13" ht="30">
      <c r="A1102" s="6" t="s">
        <v>1971</v>
      </c>
      <c r="B1102" s="7" t="s">
        <v>1412</v>
      </c>
      <c r="C1102" s="7" t="s">
        <v>228</v>
      </c>
      <c r="D1102" s="6" t="s">
        <v>1467</v>
      </c>
      <c r="E1102" s="7" t="s">
        <v>1605</v>
      </c>
      <c r="F1102" s="13"/>
      <c r="G1102" s="9">
        <f>IFERROR(VLOOKUP(D1102,Listas!$A$2:$B$20,2,FALSE()),999)</f>
        <v>2</v>
      </c>
      <c r="H1102" s="9" t="str">
        <f t="shared" ca="1" si="17"/>
        <v>Sin fecha</v>
      </c>
      <c r="J1102" s="11">
        <v>60</v>
      </c>
      <c r="K1102" s="11">
        <v>60</v>
      </c>
      <c r="L1102" s="12">
        <v>41455</v>
      </c>
      <c r="M1102" t="s">
        <v>36</v>
      </c>
    </row>
    <row r="1103" spans="1:13" ht="45">
      <c r="A1103" s="6" t="s">
        <v>1972</v>
      </c>
      <c r="B1103" s="7" t="s">
        <v>1412</v>
      </c>
      <c r="C1103" s="7" t="s">
        <v>1973</v>
      </c>
      <c r="D1103" s="6" t="s">
        <v>18</v>
      </c>
      <c r="E1103" s="7" t="s">
        <v>1474</v>
      </c>
      <c r="F1103" s="13"/>
      <c r="G1103" s="9">
        <f>IFERROR(VLOOKUP(D1103,Listas!$A$2:$B$20,2,FALSE()),999)</f>
        <v>1</v>
      </c>
      <c r="H1103" s="9" t="str">
        <f t="shared" ca="1" si="17"/>
        <v>Sin fecha</v>
      </c>
      <c r="J1103" s="11">
        <v>60</v>
      </c>
      <c r="K1103" s="11">
        <v>60</v>
      </c>
      <c r="L1103" s="12">
        <v>42460</v>
      </c>
      <c r="M1103" t="s">
        <v>36</v>
      </c>
    </row>
    <row r="1104" spans="1:13" ht="30">
      <c r="A1104" s="6" t="s">
        <v>1974</v>
      </c>
      <c r="B1104" s="7" t="s">
        <v>1412</v>
      </c>
      <c r="C1104" s="7" t="s">
        <v>1975</v>
      </c>
      <c r="D1104" s="6" t="s">
        <v>18</v>
      </c>
      <c r="E1104" s="7" t="s">
        <v>1795</v>
      </c>
      <c r="F1104" s="13"/>
      <c r="G1104" s="9">
        <f>IFERROR(VLOOKUP(D1104,Listas!$A$2:$B$20,2,FALSE()),999)</f>
        <v>1</v>
      </c>
      <c r="H1104" s="9" t="str">
        <f t="shared" ca="1" si="17"/>
        <v>Sin fecha</v>
      </c>
      <c r="J1104" s="11">
        <v>60</v>
      </c>
      <c r="K1104" s="11">
        <v>60</v>
      </c>
      <c r="L1104" s="12">
        <v>41455</v>
      </c>
      <c r="M1104" t="s">
        <v>36</v>
      </c>
    </row>
    <row r="1105" spans="1:13" ht="45">
      <c r="A1105" s="6" t="s">
        <v>1976</v>
      </c>
      <c r="B1105" s="7" t="s">
        <v>1511</v>
      </c>
      <c r="C1105" s="7" t="s">
        <v>1977</v>
      </c>
      <c r="D1105" s="6" t="s">
        <v>1467</v>
      </c>
      <c r="E1105" s="7" t="s">
        <v>1513</v>
      </c>
      <c r="F1105" s="13"/>
      <c r="G1105" s="9">
        <f>IFERROR(VLOOKUP(D1105,Listas!$A$2:$B$20,2,FALSE()),999)</f>
        <v>2</v>
      </c>
      <c r="H1105" s="9" t="str">
        <f t="shared" ca="1" si="17"/>
        <v>Sin fecha</v>
      </c>
      <c r="J1105" s="11">
        <v>60</v>
      </c>
      <c r="K1105" s="11">
        <v>60</v>
      </c>
      <c r="L1105" s="12">
        <v>42490</v>
      </c>
      <c r="M1105" t="s">
        <v>36</v>
      </c>
    </row>
    <row r="1106" spans="1:13" ht="45">
      <c r="A1106" s="6" t="s">
        <v>1978</v>
      </c>
      <c r="B1106" s="7" t="s">
        <v>1412</v>
      </c>
      <c r="C1106" s="7" t="s">
        <v>1979</v>
      </c>
      <c r="D1106" s="6" t="s">
        <v>18</v>
      </c>
      <c r="E1106" s="7" t="s">
        <v>1980</v>
      </c>
      <c r="F1106" s="13"/>
      <c r="G1106" s="9">
        <f>IFERROR(VLOOKUP(D1106,Listas!$A$2:$B$20,2,FALSE()),999)</f>
        <v>1</v>
      </c>
      <c r="H1106" s="9" t="str">
        <f t="shared" ca="1" si="17"/>
        <v>Sin fecha</v>
      </c>
      <c r="J1106" s="11">
        <v>60</v>
      </c>
      <c r="K1106" s="11">
        <v>60</v>
      </c>
      <c r="L1106" s="12">
        <v>42490</v>
      </c>
      <c r="M1106" t="s">
        <v>36</v>
      </c>
    </row>
    <row r="1107" spans="1:13" ht="45">
      <c r="A1107" s="6" t="s">
        <v>1981</v>
      </c>
      <c r="B1107" s="7" t="s">
        <v>1412</v>
      </c>
      <c r="C1107" s="7" t="s">
        <v>1982</v>
      </c>
      <c r="D1107" s="6" t="s">
        <v>18</v>
      </c>
      <c r="E1107" s="7" t="s">
        <v>1513</v>
      </c>
      <c r="F1107" s="13"/>
      <c r="G1107" s="9">
        <f>IFERROR(VLOOKUP(D1107,Listas!$A$2:$B$20,2,FALSE()),999)</f>
        <v>1</v>
      </c>
      <c r="H1107" s="9" t="str">
        <f t="shared" ca="1" si="17"/>
        <v>Sin fecha</v>
      </c>
      <c r="J1107" s="11">
        <v>60</v>
      </c>
      <c r="K1107" s="11">
        <v>60</v>
      </c>
      <c r="L1107" s="12">
        <v>42490</v>
      </c>
      <c r="M1107" t="s">
        <v>36</v>
      </c>
    </row>
    <row r="1108" spans="1:13" ht="30">
      <c r="A1108" s="6" t="s">
        <v>1983</v>
      </c>
      <c r="B1108" s="7" t="s">
        <v>1412</v>
      </c>
      <c r="C1108" s="7" t="s">
        <v>1487</v>
      </c>
      <c r="D1108" s="6" t="s">
        <v>18</v>
      </c>
      <c r="E1108" s="7" t="s">
        <v>1984</v>
      </c>
      <c r="F1108" s="13"/>
      <c r="G1108" s="9">
        <f>IFERROR(VLOOKUP(D1108,Listas!$A$2:$B$20,2,FALSE()),999)</f>
        <v>1</v>
      </c>
      <c r="H1108" s="9" t="str">
        <f t="shared" ca="1" si="17"/>
        <v>Sin fecha</v>
      </c>
      <c r="J1108" s="11">
        <v>60</v>
      </c>
      <c r="K1108" s="11">
        <v>60</v>
      </c>
      <c r="L1108" s="12">
        <v>42551</v>
      </c>
      <c r="M1108" t="s">
        <v>36</v>
      </c>
    </row>
    <row r="1109" spans="1:13" ht="45">
      <c r="A1109" s="6" t="s">
        <v>1985</v>
      </c>
      <c r="B1109" s="7" t="s">
        <v>1412</v>
      </c>
      <c r="C1109" s="7" t="s">
        <v>1986</v>
      </c>
      <c r="D1109" s="6" t="s">
        <v>1467</v>
      </c>
      <c r="E1109" s="7" t="s">
        <v>1987</v>
      </c>
      <c r="F1109" s="13"/>
      <c r="G1109" s="9">
        <f>IFERROR(VLOOKUP(D1109,Listas!$A$2:$B$20,2,FALSE()),999)</f>
        <v>2</v>
      </c>
      <c r="H1109" s="9" t="str">
        <f t="shared" ca="1" si="17"/>
        <v>Sin fecha</v>
      </c>
      <c r="J1109" s="11">
        <v>60</v>
      </c>
      <c r="K1109" s="11">
        <v>60</v>
      </c>
      <c r="L1109" s="12">
        <v>42551</v>
      </c>
      <c r="M1109" t="s">
        <v>36</v>
      </c>
    </row>
    <row r="1110" spans="1:13" ht="45">
      <c r="A1110" s="6" t="s">
        <v>1988</v>
      </c>
      <c r="B1110" s="7" t="s">
        <v>1412</v>
      </c>
      <c r="C1110" s="7" t="s">
        <v>1850</v>
      </c>
      <c r="D1110" s="6" t="s">
        <v>18</v>
      </c>
      <c r="E1110" s="7" t="s">
        <v>1519</v>
      </c>
      <c r="F1110" s="13"/>
      <c r="G1110" s="9">
        <f>IFERROR(VLOOKUP(D1110,Listas!$A$2:$B$20,2,FALSE()),999)</f>
        <v>1</v>
      </c>
      <c r="H1110" s="9" t="str">
        <f t="shared" ca="1" si="17"/>
        <v>Sin fecha</v>
      </c>
      <c r="J1110" s="11">
        <v>60</v>
      </c>
      <c r="K1110" s="11">
        <v>60</v>
      </c>
      <c r="L1110" s="12">
        <v>42551</v>
      </c>
      <c r="M1110" t="s">
        <v>36</v>
      </c>
    </row>
    <row r="1111" spans="1:13" ht="30">
      <c r="A1111" s="6" t="s">
        <v>1989</v>
      </c>
      <c r="B1111" s="7" t="s">
        <v>1412</v>
      </c>
      <c r="C1111" s="7" t="s">
        <v>1807</v>
      </c>
      <c r="D1111" s="6" t="s">
        <v>18</v>
      </c>
      <c r="E1111" s="7" t="s">
        <v>1485</v>
      </c>
      <c r="F1111" s="13"/>
      <c r="G1111" s="9">
        <f>IFERROR(VLOOKUP(D1111,Listas!$A$2:$B$20,2,FALSE()),999)</f>
        <v>1</v>
      </c>
      <c r="H1111" s="9" t="str">
        <f t="shared" ca="1" si="17"/>
        <v>Sin fecha</v>
      </c>
      <c r="J1111" s="11">
        <v>60</v>
      </c>
      <c r="K1111" s="11">
        <v>60</v>
      </c>
      <c r="L1111" s="12">
        <v>42551</v>
      </c>
      <c r="M1111" t="s">
        <v>36</v>
      </c>
    </row>
    <row r="1112" spans="1:13" ht="30">
      <c r="A1112" s="6" t="s">
        <v>1990</v>
      </c>
      <c r="B1112" s="7" t="s">
        <v>1412</v>
      </c>
      <c r="C1112" s="7" t="s">
        <v>1487</v>
      </c>
      <c r="D1112" s="6" t="s">
        <v>18</v>
      </c>
      <c r="E1112" s="7" t="s">
        <v>1464</v>
      </c>
      <c r="F1112" s="13"/>
      <c r="G1112" s="9">
        <f>IFERROR(VLOOKUP(D1112,Listas!$A$2:$B$20,2,FALSE()),999)</f>
        <v>1</v>
      </c>
      <c r="H1112" s="9" t="str">
        <f t="shared" ca="1" si="17"/>
        <v>Sin fecha</v>
      </c>
      <c r="J1112" s="11">
        <v>60</v>
      </c>
      <c r="K1112" s="11">
        <v>60</v>
      </c>
      <c r="L1112" s="12">
        <v>42551</v>
      </c>
      <c r="M1112" t="s">
        <v>36</v>
      </c>
    </row>
    <row r="1113" spans="1:13" ht="30">
      <c r="A1113" s="6" t="s">
        <v>1991</v>
      </c>
      <c r="B1113" s="7" t="s">
        <v>1412</v>
      </c>
      <c r="C1113" s="7" t="s">
        <v>1487</v>
      </c>
      <c r="D1113" s="6" t="s">
        <v>18</v>
      </c>
      <c r="E1113" s="7" t="s">
        <v>1476</v>
      </c>
      <c r="F1113" s="13"/>
      <c r="G1113" s="9">
        <f>IFERROR(VLOOKUP(D1113,Listas!$A$2:$B$20,2,FALSE()),999)</f>
        <v>1</v>
      </c>
      <c r="H1113" s="9" t="str">
        <f t="shared" ca="1" si="17"/>
        <v>Sin fecha</v>
      </c>
      <c r="J1113" s="11">
        <v>60</v>
      </c>
      <c r="K1113" s="11">
        <v>60</v>
      </c>
      <c r="L1113" s="12">
        <v>42551</v>
      </c>
      <c r="M1113" t="s">
        <v>36</v>
      </c>
    </row>
    <row r="1114" spans="1:13" ht="45">
      <c r="A1114" s="6" t="s">
        <v>1992</v>
      </c>
      <c r="B1114" s="7" t="s">
        <v>1412</v>
      </c>
      <c r="C1114" s="7" t="s">
        <v>1993</v>
      </c>
      <c r="D1114" s="6" t="s">
        <v>18</v>
      </c>
      <c r="E1114" s="7" t="s">
        <v>1474</v>
      </c>
      <c r="F1114" s="13"/>
      <c r="G1114" s="9">
        <f>IFERROR(VLOOKUP(D1114,Listas!$A$2:$B$20,2,FALSE()),999)</f>
        <v>1</v>
      </c>
      <c r="H1114" s="9" t="str">
        <f t="shared" ca="1" si="17"/>
        <v>Sin fecha</v>
      </c>
      <c r="J1114" s="11">
        <v>60</v>
      </c>
      <c r="K1114" s="11">
        <v>60</v>
      </c>
      <c r="L1114" s="12">
        <v>42551</v>
      </c>
      <c r="M1114" t="s">
        <v>36</v>
      </c>
    </row>
    <row r="1115" spans="1:13" ht="45">
      <c r="A1115" s="6" t="s">
        <v>1994</v>
      </c>
      <c r="B1115" s="7" t="s">
        <v>1412</v>
      </c>
      <c r="C1115" s="7" t="s">
        <v>1555</v>
      </c>
      <c r="D1115" s="6" t="s">
        <v>18</v>
      </c>
      <c r="E1115" s="7" t="s">
        <v>1504</v>
      </c>
      <c r="F1115" s="13"/>
      <c r="G1115" s="9">
        <f>IFERROR(VLOOKUP(D1115,Listas!$A$2:$B$20,2,FALSE()),999)</f>
        <v>1</v>
      </c>
      <c r="H1115" s="9" t="str">
        <f t="shared" ca="1" si="17"/>
        <v>Sin fecha</v>
      </c>
      <c r="J1115" s="11">
        <v>60</v>
      </c>
      <c r="K1115" s="11">
        <v>60</v>
      </c>
      <c r="L1115" s="12">
        <v>42551</v>
      </c>
      <c r="M1115" t="s">
        <v>36</v>
      </c>
    </row>
    <row r="1116" spans="1:13" ht="30">
      <c r="A1116" s="6" t="s">
        <v>1995</v>
      </c>
      <c r="B1116" s="7" t="s">
        <v>1412</v>
      </c>
      <c r="C1116" s="7" t="s">
        <v>1807</v>
      </c>
      <c r="D1116" s="6" t="s">
        <v>18</v>
      </c>
      <c r="E1116" s="7" t="s">
        <v>1876</v>
      </c>
      <c r="F1116" s="13"/>
      <c r="G1116" s="9">
        <f>IFERROR(VLOOKUP(D1116,Listas!$A$2:$B$20,2,FALSE()),999)</f>
        <v>1</v>
      </c>
      <c r="H1116" s="9" t="str">
        <f t="shared" ca="1" si="17"/>
        <v>Sin fecha</v>
      </c>
      <c r="J1116" s="11">
        <v>60</v>
      </c>
      <c r="K1116" s="11">
        <v>60</v>
      </c>
      <c r="L1116" s="12">
        <v>42551</v>
      </c>
      <c r="M1116" t="s">
        <v>36</v>
      </c>
    </row>
    <row r="1117" spans="1:13" ht="30">
      <c r="A1117" s="6" t="s">
        <v>1996</v>
      </c>
      <c r="B1117" s="7" t="s">
        <v>1412</v>
      </c>
      <c r="C1117" s="7" t="s">
        <v>1487</v>
      </c>
      <c r="D1117" s="6" t="s">
        <v>18</v>
      </c>
      <c r="E1117" s="7" t="s">
        <v>1997</v>
      </c>
      <c r="F1117" s="13"/>
      <c r="G1117" s="9">
        <f>IFERROR(VLOOKUP(D1117,Listas!$A$2:$B$20,2,FALSE()),999)</f>
        <v>1</v>
      </c>
      <c r="H1117" s="9" t="str">
        <f t="shared" ca="1" si="17"/>
        <v>Sin fecha</v>
      </c>
      <c r="J1117" s="11">
        <v>60</v>
      </c>
      <c r="K1117" s="11">
        <v>60</v>
      </c>
      <c r="L1117" s="12">
        <v>42551</v>
      </c>
      <c r="M1117" t="s">
        <v>36</v>
      </c>
    </row>
    <row r="1118" spans="1:13" ht="30">
      <c r="A1118" s="6" t="s">
        <v>1998</v>
      </c>
      <c r="B1118" s="7" t="s">
        <v>1412</v>
      </c>
      <c r="C1118" s="7" t="s">
        <v>1873</v>
      </c>
      <c r="D1118" s="6" t="s">
        <v>18</v>
      </c>
      <c r="E1118" s="7" t="s">
        <v>1876</v>
      </c>
      <c r="F1118" s="13"/>
      <c r="G1118" s="9">
        <f>IFERROR(VLOOKUP(D1118,Listas!$A$2:$B$20,2,FALSE()),999)</f>
        <v>1</v>
      </c>
      <c r="H1118" s="9" t="str">
        <f t="shared" ca="1" si="17"/>
        <v>Sin fecha</v>
      </c>
      <c r="J1118" s="11">
        <v>60</v>
      </c>
      <c r="K1118" s="11">
        <v>60</v>
      </c>
      <c r="L1118" s="12">
        <v>42551</v>
      </c>
      <c r="M1118" t="s">
        <v>36</v>
      </c>
    </row>
    <row r="1119" spans="1:13" ht="30">
      <c r="A1119" s="6" t="s">
        <v>1999</v>
      </c>
      <c r="B1119" s="7" t="s">
        <v>1412</v>
      </c>
      <c r="C1119" s="7" t="s">
        <v>1883</v>
      </c>
      <c r="D1119" s="6" t="s">
        <v>1467</v>
      </c>
      <c r="E1119" s="7" t="s">
        <v>1567</v>
      </c>
      <c r="F1119" s="13"/>
      <c r="G1119" s="9">
        <f>IFERROR(VLOOKUP(D1119,Listas!$A$2:$B$20,2,FALSE()),999)</f>
        <v>2</v>
      </c>
      <c r="H1119" s="9" t="str">
        <f t="shared" ca="1" si="17"/>
        <v>Sin fecha</v>
      </c>
      <c r="J1119" s="11">
        <v>60</v>
      </c>
      <c r="K1119" s="11">
        <v>60</v>
      </c>
      <c r="L1119" s="12">
        <v>42551</v>
      </c>
      <c r="M1119" t="s">
        <v>36</v>
      </c>
    </row>
    <row r="1120" spans="1:13" ht="30">
      <c r="A1120" s="6" t="s">
        <v>2000</v>
      </c>
      <c r="B1120" s="7" t="s">
        <v>1412</v>
      </c>
      <c r="C1120" s="7" t="s">
        <v>1487</v>
      </c>
      <c r="D1120" s="6" t="s">
        <v>1467</v>
      </c>
      <c r="E1120" s="7" t="s">
        <v>2001</v>
      </c>
      <c r="F1120" s="13"/>
      <c r="G1120" s="9">
        <f>IFERROR(VLOOKUP(D1120,Listas!$A$2:$B$20,2,FALSE()),999)</f>
        <v>2</v>
      </c>
      <c r="H1120" s="9" t="str">
        <f t="shared" ca="1" si="17"/>
        <v>Sin fecha</v>
      </c>
      <c r="J1120" s="11">
        <v>60</v>
      </c>
      <c r="K1120" s="11">
        <v>60</v>
      </c>
      <c r="L1120" s="12">
        <v>42551</v>
      </c>
      <c r="M1120" t="s">
        <v>36</v>
      </c>
    </row>
    <row r="1121" spans="1:13" ht="30">
      <c r="A1121" s="6" t="s">
        <v>2002</v>
      </c>
      <c r="B1121" s="7" t="s">
        <v>1511</v>
      </c>
      <c r="C1121" s="7" t="s">
        <v>2003</v>
      </c>
      <c r="D1121" s="6" t="s">
        <v>18</v>
      </c>
      <c r="E1121" s="7" t="s">
        <v>2004</v>
      </c>
      <c r="F1121" s="13"/>
      <c r="G1121" s="9">
        <f>IFERROR(VLOOKUP(D1121,Listas!$A$2:$B$20,2,FALSE()),999)</f>
        <v>1</v>
      </c>
      <c r="H1121" s="9" t="str">
        <f t="shared" ca="1" si="17"/>
        <v>Sin fecha</v>
      </c>
      <c r="J1121" s="11">
        <v>60</v>
      </c>
      <c r="K1121" s="11">
        <v>60</v>
      </c>
      <c r="L1121" s="12">
        <v>42551</v>
      </c>
      <c r="M1121" t="s">
        <v>36</v>
      </c>
    </row>
    <row r="1122" spans="1:13" ht="45">
      <c r="A1122" s="6" t="s">
        <v>2005</v>
      </c>
      <c r="B1122" s="7" t="s">
        <v>1511</v>
      </c>
      <c r="C1122" s="7" t="s">
        <v>2006</v>
      </c>
      <c r="D1122" s="6" t="s">
        <v>1467</v>
      </c>
      <c r="E1122" s="7" t="s">
        <v>1594</v>
      </c>
      <c r="F1122" s="13"/>
      <c r="G1122" s="9">
        <f>IFERROR(VLOOKUP(D1122,Listas!$A$2:$B$20,2,FALSE()),999)</f>
        <v>2</v>
      </c>
      <c r="H1122" s="9" t="str">
        <f t="shared" ca="1" si="17"/>
        <v>Sin fecha</v>
      </c>
      <c r="J1122" s="11">
        <v>60</v>
      </c>
      <c r="K1122" s="11">
        <v>60</v>
      </c>
      <c r="L1122" s="12">
        <v>42551</v>
      </c>
      <c r="M1122" t="s">
        <v>36</v>
      </c>
    </row>
    <row r="1123" spans="1:13" ht="30">
      <c r="A1123" s="6" t="s">
        <v>2007</v>
      </c>
      <c r="B1123" s="7" t="s">
        <v>1412</v>
      </c>
      <c r="C1123" s="7" t="s">
        <v>1487</v>
      </c>
      <c r="D1123" s="6" t="s">
        <v>1467</v>
      </c>
      <c r="E1123" s="7" t="s">
        <v>2008</v>
      </c>
      <c r="F1123" s="13"/>
      <c r="G1123" s="9">
        <f>IFERROR(VLOOKUP(D1123,Listas!$A$2:$B$20,2,FALSE()),999)</f>
        <v>2</v>
      </c>
      <c r="H1123" s="9" t="str">
        <f t="shared" ca="1" si="17"/>
        <v>Sin fecha</v>
      </c>
      <c r="J1123" s="11">
        <v>60</v>
      </c>
      <c r="K1123" s="11">
        <v>60</v>
      </c>
      <c r="L1123" s="12">
        <v>42063</v>
      </c>
      <c r="M1123" t="s">
        <v>36</v>
      </c>
    </row>
    <row r="1124" spans="1:13" ht="30">
      <c r="A1124" s="6" t="s">
        <v>2009</v>
      </c>
      <c r="B1124" s="7" t="s">
        <v>1412</v>
      </c>
      <c r="C1124" s="7" t="s">
        <v>1807</v>
      </c>
      <c r="D1124" s="6" t="s">
        <v>18</v>
      </c>
      <c r="E1124" s="7" t="s">
        <v>1519</v>
      </c>
      <c r="F1124" s="13"/>
      <c r="G1124" s="9">
        <f>IFERROR(VLOOKUP(D1124,Listas!$A$2:$B$20,2,FALSE()),999)</f>
        <v>1</v>
      </c>
      <c r="H1124" s="9" t="str">
        <f t="shared" ca="1" si="17"/>
        <v>Sin fecha</v>
      </c>
      <c r="J1124" s="11">
        <v>60</v>
      </c>
      <c r="K1124" s="11">
        <v>60</v>
      </c>
      <c r="L1124" s="12">
        <v>42613</v>
      </c>
      <c r="M1124" t="s">
        <v>36</v>
      </c>
    </row>
    <row r="1125" spans="1:13" ht="30">
      <c r="A1125" s="6" t="s">
        <v>2010</v>
      </c>
      <c r="B1125" s="7" t="s">
        <v>1412</v>
      </c>
      <c r="C1125" s="7" t="s">
        <v>1891</v>
      </c>
      <c r="D1125" s="6" t="s">
        <v>1467</v>
      </c>
      <c r="E1125" s="7" t="s">
        <v>1513</v>
      </c>
      <c r="F1125" s="13"/>
      <c r="G1125" s="9">
        <f>IFERROR(VLOOKUP(D1125,Listas!$A$2:$B$20,2,FALSE()),999)</f>
        <v>2</v>
      </c>
      <c r="H1125" s="9" t="str">
        <f t="shared" ca="1" si="17"/>
        <v>Sin fecha</v>
      </c>
      <c r="J1125" s="11">
        <v>60</v>
      </c>
      <c r="K1125" s="11">
        <v>60</v>
      </c>
      <c r="L1125" s="12">
        <v>42613</v>
      </c>
      <c r="M1125" t="s">
        <v>36</v>
      </c>
    </row>
    <row r="1126" spans="1:13" ht="30">
      <c r="A1126" s="6" t="s">
        <v>2011</v>
      </c>
      <c r="B1126" s="7" t="s">
        <v>1412</v>
      </c>
      <c r="C1126" s="7" t="s">
        <v>1932</v>
      </c>
      <c r="D1126" s="6" t="s">
        <v>18</v>
      </c>
      <c r="E1126" s="7" t="s">
        <v>1513</v>
      </c>
      <c r="F1126" s="13"/>
      <c r="G1126" s="9">
        <f>IFERROR(VLOOKUP(D1126,Listas!$A$2:$B$20,2,FALSE()),999)</f>
        <v>1</v>
      </c>
      <c r="H1126" s="9" t="str">
        <f t="shared" ca="1" si="17"/>
        <v>Sin fecha</v>
      </c>
      <c r="J1126" s="11">
        <v>60</v>
      </c>
      <c r="K1126" s="11">
        <v>60</v>
      </c>
      <c r="L1126" s="12">
        <v>42613</v>
      </c>
      <c r="M1126" t="s">
        <v>36</v>
      </c>
    </row>
    <row r="1127" spans="1:13" ht="30">
      <c r="A1127" s="6" t="s">
        <v>2012</v>
      </c>
      <c r="B1127" s="7" t="s">
        <v>1412</v>
      </c>
      <c r="C1127" s="7" t="s">
        <v>2013</v>
      </c>
      <c r="D1127" s="6" t="s">
        <v>1467</v>
      </c>
      <c r="E1127" s="7" t="s">
        <v>1513</v>
      </c>
      <c r="F1127" s="13"/>
      <c r="G1127" s="9">
        <f>IFERROR(VLOOKUP(D1127,Listas!$A$2:$B$20,2,FALSE()),999)</f>
        <v>2</v>
      </c>
      <c r="H1127" s="9" t="str">
        <f t="shared" ca="1" si="17"/>
        <v>Sin fecha</v>
      </c>
      <c r="J1127" s="11">
        <v>60</v>
      </c>
      <c r="K1127" s="11">
        <v>60</v>
      </c>
      <c r="L1127" s="12">
        <v>42613</v>
      </c>
      <c r="M1127" t="s">
        <v>36</v>
      </c>
    </row>
    <row r="1128" spans="1:13" ht="30">
      <c r="A1128" s="6" t="s">
        <v>2014</v>
      </c>
      <c r="B1128" s="7" t="s">
        <v>1412</v>
      </c>
      <c r="C1128" s="7" t="s">
        <v>2015</v>
      </c>
      <c r="D1128" s="6" t="s">
        <v>18</v>
      </c>
      <c r="E1128" s="7" t="s">
        <v>1519</v>
      </c>
      <c r="F1128" s="13"/>
      <c r="G1128" s="9">
        <f>IFERROR(VLOOKUP(D1128,Listas!$A$2:$B$20,2,FALSE()),999)</f>
        <v>1</v>
      </c>
      <c r="H1128" s="9" t="str">
        <f t="shared" ca="1" si="17"/>
        <v>Sin fecha</v>
      </c>
      <c r="J1128" s="11">
        <v>60</v>
      </c>
      <c r="K1128" s="11">
        <v>60</v>
      </c>
      <c r="L1128" s="12">
        <v>42613</v>
      </c>
      <c r="M1128" t="s">
        <v>36</v>
      </c>
    </row>
    <row r="1129" spans="1:13" ht="30">
      <c r="A1129" s="6" t="s">
        <v>2016</v>
      </c>
      <c r="B1129" s="7" t="s">
        <v>1511</v>
      </c>
      <c r="C1129" s="7" t="s">
        <v>2017</v>
      </c>
      <c r="D1129" s="6" t="s">
        <v>18</v>
      </c>
      <c r="E1129" s="7" t="s">
        <v>1474</v>
      </c>
      <c r="F1129" s="13"/>
      <c r="G1129" s="9">
        <f>IFERROR(VLOOKUP(D1129,Listas!$A$2:$B$20,2,FALSE()),999)</f>
        <v>1</v>
      </c>
      <c r="H1129" s="9" t="str">
        <f t="shared" ca="1" si="17"/>
        <v>Sin fecha</v>
      </c>
      <c r="J1129" s="11">
        <v>60</v>
      </c>
      <c r="K1129" s="11">
        <v>60</v>
      </c>
      <c r="L1129" s="12">
        <v>42613</v>
      </c>
      <c r="M1129" t="s">
        <v>36</v>
      </c>
    </row>
    <row r="1130" spans="1:13" ht="45">
      <c r="A1130" s="6" t="s">
        <v>2018</v>
      </c>
      <c r="B1130" s="7" t="s">
        <v>1511</v>
      </c>
      <c r="C1130" s="7" t="s">
        <v>2019</v>
      </c>
      <c r="D1130" s="6" t="s">
        <v>1467</v>
      </c>
      <c r="E1130" s="7" t="s">
        <v>1513</v>
      </c>
      <c r="F1130" s="13"/>
      <c r="G1130" s="9">
        <f>IFERROR(VLOOKUP(D1130,Listas!$A$2:$B$20,2,FALSE()),999)</f>
        <v>2</v>
      </c>
      <c r="H1130" s="9" t="str">
        <f t="shared" ca="1" si="17"/>
        <v>Sin fecha</v>
      </c>
      <c r="J1130" s="11">
        <v>60</v>
      </c>
      <c r="K1130" s="11">
        <v>60</v>
      </c>
      <c r="L1130" s="12">
        <v>42613</v>
      </c>
      <c r="M1130" t="s">
        <v>36</v>
      </c>
    </row>
    <row r="1131" spans="1:13" ht="30">
      <c r="A1131" s="6" t="s">
        <v>2020</v>
      </c>
      <c r="B1131" s="7" t="s">
        <v>1412</v>
      </c>
      <c r="C1131" s="7" t="s">
        <v>1916</v>
      </c>
      <c r="D1131" s="6" t="s">
        <v>18</v>
      </c>
      <c r="E1131" s="7" t="s">
        <v>2021</v>
      </c>
      <c r="F1131" s="13"/>
      <c r="G1131" s="9">
        <f>IFERROR(VLOOKUP(D1131,Listas!$A$2:$B$20,2,FALSE()),999)</f>
        <v>1</v>
      </c>
      <c r="H1131" s="9" t="str">
        <f t="shared" ca="1" si="17"/>
        <v>Sin fecha</v>
      </c>
      <c r="J1131" s="11">
        <v>60</v>
      </c>
      <c r="K1131" s="11">
        <v>60</v>
      </c>
      <c r="L1131" s="12">
        <v>42643</v>
      </c>
      <c r="M1131" t="s">
        <v>36</v>
      </c>
    </row>
    <row r="1132" spans="1:13" ht="30">
      <c r="A1132" s="6" t="s">
        <v>2022</v>
      </c>
      <c r="B1132" s="7" t="s">
        <v>1511</v>
      </c>
      <c r="C1132" s="7" t="s">
        <v>2023</v>
      </c>
      <c r="D1132" s="6" t="s">
        <v>18</v>
      </c>
      <c r="E1132" s="7" t="s">
        <v>2024</v>
      </c>
      <c r="F1132" s="13"/>
      <c r="G1132" s="9">
        <f>IFERROR(VLOOKUP(D1132,Listas!$A$2:$B$20,2,FALSE()),999)</f>
        <v>1</v>
      </c>
      <c r="H1132" s="9" t="str">
        <f t="shared" ca="1" si="17"/>
        <v>Sin fecha</v>
      </c>
      <c r="J1132" s="11">
        <v>60</v>
      </c>
      <c r="K1132" s="11">
        <v>60</v>
      </c>
      <c r="L1132" s="12">
        <v>42643</v>
      </c>
      <c r="M1132" t="s">
        <v>36</v>
      </c>
    </row>
    <row r="1133" spans="1:13" ht="45">
      <c r="A1133" s="6" t="s">
        <v>2025</v>
      </c>
      <c r="B1133" s="7" t="s">
        <v>1511</v>
      </c>
      <c r="C1133" s="7" t="s">
        <v>2026</v>
      </c>
      <c r="D1133" s="6" t="s">
        <v>1467</v>
      </c>
      <c r="E1133" s="7" t="s">
        <v>1513</v>
      </c>
      <c r="F1133" s="13"/>
      <c r="G1133" s="9">
        <f>IFERROR(VLOOKUP(D1133,Listas!$A$2:$B$20,2,FALSE()),999)</f>
        <v>2</v>
      </c>
      <c r="H1133" s="9" t="str">
        <f t="shared" ca="1" si="17"/>
        <v>Sin fecha</v>
      </c>
      <c r="J1133" s="11">
        <v>60</v>
      </c>
      <c r="K1133" s="11">
        <v>60</v>
      </c>
      <c r="L1133" s="12">
        <v>42643</v>
      </c>
      <c r="M1133" t="s">
        <v>36</v>
      </c>
    </row>
    <row r="1134" spans="1:13" ht="30">
      <c r="A1134" s="6" t="s">
        <v>2027</v>
      </c>
      <c r="B1134" s="7" t="s">
        <v>1412</v>
      </c>
      <c r="C1134" s="7" t="s">
        <v>1549</v>
      </c>
      <c r="D1134" s="6" t="s">
        <v>18</v>
      </c>
      <c r="E1134" s="7" t="s">
        <v>2028</v>
      </c>
      <c r="F1134" s="13"/>
      <c r="G1134" s="9">
        <f>IFERROR(VLOOKUP(D1134,Listas!$A$2:$B$20,2,FALSE()),999)</f>
        <v>1</v>
      </c>
      <c r="H1134" s="9" t="str">
        <f t="shared" ca="1" si="17"/>
        <v>Sin fecha</v>
      </c>
      <c r="J1134" s="11">
        <v>60</v>
      </c>
      <c r="K1134" s="11">
        <v>60</v>
      </c>
      <c r="L1134" s="12">
        <v>42643</v>
      </c>
      <c r="M1134" t="s">
        <v>36</v>
      </c>
    </row>
    <row r="1135" spans="1:13" ht="30">
      <c r="A1135" s="6" t="s">
        <v>2029</v>
      </c>
      <c r="B1135" s="7" t="s">
        <v>1412</v>
      </c>
      <c r="C1135" s="7" t="s">
        <v>2030</v>
      </c>
      <c r="D1135" s="6" t="s">
        <v>1467</v>
      </c>
      <c r="E1135" s="7" t="s">
        <v>1468</v>
      </c>
      <c r="F1135" s="13"/>
      <c r="G1135" s="9">
        <f>IFERROR(VLOOKUP(D1135,Listas!$A$2:$B$20,2,FALSE()),999)</f>
        <v>2</v>
      </c>
      <c r="H1135" s="9" t="str">
        <f t="shared" ca="1" si="17"/>
        <v>Sin fecha</v>
      </c>
      <c r="J1135" s="11">
        <v>60</v>
      </c>
      <c r="K1135" s="11">
        <v>60</v>
      </c>
      <c r="L1135" s="12">
        <v>42643</v>
      </c>
      <c r="M1135" t="s">
        <v>36</v>
      </c>
    </row>
    <row r="1136" spans="1:13" ht="30">
      <c r="A1136" s="6" t="s">
        <v>2031</v>
      </c>
      <c r="B1136" s="7" t="s">
        <v>1412</v>
      </c>
      <c r="C1136" s="7" t="s">
        <v>1487</v>
      </c>
      <c r="D1136" s="6" t="s">
        <v>1467</v>
      </c>
      <c r="E1136" s="7" t="s">
        <v>1513</v>
      </c>
      <c r="F1136" s="13"/>
      <c r="G1136" s="9">
        <f>IFERROR(VLOOKUP(D1136,Listas!$A$2:$B$20,2,FALSE()),999)</f>
        <v>2</v>
      </c>
      <c r="H1136" s="9" t="str">
        <f t="shared" ca="1" si="17"/>
        <v>Sin fecha</v>
      </c>
      <c r="J1136" s="11">
        <v>60</v>
      </c>
      <c r="K1136" s="11">
        <v>60</v>
      </c>
      <c r="L1136" s="12">
        <v>42674</v>
      </c>
      <c r="M1136" t="s">
        <v>36</v>
      </c>
    </row>
    <row r="1137" spans="1:13" ht="30">
      <c r="A1137" s="6" t="s">
        <v>2032</v>
      </c>
      <c r="B1137" s="7" t="s">
        <v>1412</v>
      </c>
      <c r="C1137" s="7" t="s">
        <v>1807</v>
      </c>
      <c r="D1137" s="6" t="s">
        <v>18</v>
      </c>
      <c r="E1137" s="7" t="s">
        <v>2033</v>
      </c>
      <c r="F1137" s="13"/>
      <c r="G1137" s="9">
        <f>IFERROR(VLOOKUP(D1137,Listas!$A$2:$B$20,2,FALSE()),999)</f>
        <v>1</v>
      </c>
      <c r="H1137" s="9" t="str">
        <f t="shared" ca="1" si="17"/>
        <v>Sin fecha</v>
      </c>
      <c r="J1137" s="11">
        <v>60</v>
      </c>
      <c r="K1137" s="11">
        <v>60</v>
      </c>
      <c r="L1137" s="12">
        <v>42674</v>
      </c>
      <c r="M1137" t="s">
        <v>36</v>
      </c>
    </row>
    <row r="1138" spans="1:13" ht="45">
      <c r="A1138" s="6" t="s">
        <v>2034</v>
      </c>
      <c r="B1138" s="7" t="s">
        <v>1511</v>
      </c>
      <c r="C1138" s="7" t="s">
        <v>2035</v>
      </c>
      <c r="D1138" s="6" t="s">
        <v>1467</v>
      </c>
      <c r="E1138" s="7" t="s">
        <v>1513</v>
      </c>
      <c r="F1138" s="13"/>
      <c r="G1138" s="9">
        <f>IFERROR(VLOOKUP(D1138,Listas!$A$2:$B$20,2,FALSE()),999)</f>
        <v>2</v>
      </c>
      <c r="H1138" s="9" t="str">
        <f t="shared" ca="1" si="17"/>
        <v>Sin fecha</v>
      </c>
      <c r="J1138" s="11">
        <v>60</v>
      </c>
      <c r="K1138" s="11">
        <v>60</v>
      </c>
      <c r="L1138" s="12">
        <v>42704</v>
      </c>
      <c r="M1138" t="s">
        <v>36</v>
      </c>
    </row>
    <row r="1139" spans="1:13" ht="30">
      <c r="A1139" s="6" t="s">
        <v>2036</v>
      </c>
      <c r="B1139" s="7" t="s">
        <v>1511</v>
      </c>
      <c r="C1139" s="7" t="s">
        <v>2037</v>
      </c>
      <c r="D1139" s="6" t="s">
        <v>1467</v>
      </c>
      <c r="E1139" s="7" t="s">
        <v>1513</v>
      </c>
      <c r="F1139" s="13"/>
      <c r="G1139" s="9">
        <f>IFERROR(VLOOKUP(D1139,Listas!$A$2:$B$20,2,FALSE()),999)</f>
        <v>2</v>
      </c>
      <c r="H1139" s="9" t="str">
        <f t="shared" ca="1" si="17"/>
        <v>Sin fecha</v>
      </c>
      <c r="J1139" s="11">
        <v>60</v>
      </c>
      <c r="K1139" s="11">
        <v>60</v>
      </c>
      <c r="L1139" s="12">
        <v>42704</v>
      </c>
      <c r="M1139" t="s">
        <v>36</v>
      </c>
    </row>
    <row r="1140" spans="1:13" ht="45">
      <c r="A1140" s="6" t="s">
        <v>2038</v>
      </c>
      <c r="B1140" s="7" t="s">
        <v>1511</v>
      </c>
      <c r="C1140" s="7" t="s">
        <v>2039</v>
      </c>
      <c r="D1140" s="6" t="s">
        <v>18</v>
      </c>
      <c r="E1140" s="7" t="s">
        <v>1476</v>
      </c>
      <c r="F1140" s="13"/>
      <c r="G1140" s="9">
        <f>IFERROR(VLOOKUP(D1140,Listas!$A$2:$B$20,2,FALSE()),999)</f>
        <v>1</v>
      </c>
      <c r="H1140" s="9" t="str">
        <f t="shared" ca="1" si="17"/>
        <v>Sin fecha</v>
      </c>
      <c r="J1140" s="11">
        <v>60</v>
      </c>
      <c r="K1140" s="11">
        <v>60</v>
      </c>
      <c r="L1140" s="12">
        <v>42704</v>
      </c>
      <c r="M1140" t="s">
        <v>36</v>
      </c>
    </row>
    <row r="1141" spans="1:13" ht="60">
      <c r="A1141" s="6" t="s">
        <v>2040</v>
      </c>
      <c r="B1141" s="7" t="s">
        <v>1511</v>
      </c>
      <c r="C1141" s="7" t="s">
        <v>2041</v>
      </c>
      <c r="D1141" s="6" t="s">
        <v>1467</v>
      </c>
      <c r="E1141" s="7" t="s">
        <v>2042</v>
      </c>
      <c r="F1141" s="13"/>
      <c r="G1141" s="9">
        <f>IFERROR(VLOOKUP(D1141,Listas!$A$2:$B$20,2,FALSE()),999)</f>
        <v>2</v>
      </c>
      <c r="H1141" s="9" t="str">
        <f t="shared" ca="1" si="17"/>
        <v>Sin fecha</v>
      </c>
      <c r="J1141" s="11">
        <v>60</v>
      </c>
      <c r="K1141" s="11">
        <v>60</v>
      </c>
      <c r="L1141" s="12">
        <v>42704</v>
      </c>
      <c r="M1141" t="s">
        <v>36</v>
      </c>
    </row>
    <row r="1142" spans="1:13" ht="45">
      <c r="A1142" s="6" t="s">
        <v>2043</v>
      </c>
      <c r="B1142" s="7" t="s">
        <v>1511</v>
      </c>
      <c r="C1142" s="7" t="s">
        <v>2044</v>
      </c>
      <c r="D1142" s="6" t="s">
        <v>1467</v>
      </c>
      <c r="E1142" s="7" t="s">
        <v>1513</v>
      </c>
      <c r="F1142" s="13"/>
      <c r="G1142" s="9">
        <f>IFERROR(VLOOKUP(D1142,Listas!$A$2:$B$20,2,FALSE()),999)</f>
        <v>2</v>
      </c>
      <c r="H1142" s="9" t="str">
        <f t="shared" ca="1" si="17"/>
        <v>Sin fecha</v>
      </c>
      <c r="J1142" s="11">
        <v>60</v>
      </c>
      <c r="K1142" s="11">
        <v>60</v>
      </c>
      <c r="L1142" s="12">
        <v>42704</v>
      </c>
      <c r="M1142" t="s">
        <v>36</v>
      </c>
    </row>
    <row r="1143" spans="1:13" ht="30">
      <c r="A1143" s="6" t="s">
        <v>2045</v>
      </c>
      <c r="B1143" s="7" t="s">
        <v>1412</v>
      </c>
      <c r="C1143" s="7" t="s">
        <v>1501</v>
      </c>
      <c r="D1143" s="6" t="s">
        <v>18</v>
      </c>
      <c r="E1143" s="7" t="s">
        <v>1795</v>
      </c>
      <c r="F1143" s="13"/>
      <c r="G1143" s="9">
        <f>IFERROR(VLOOKUP(D1143,Listas!$A$2:$B$20,2,FALSE()),999)</f>
        <v>1</v>
      </c>
      <c r="H1143" s="9" t="str">
        <f t="shared" ca="1" si="17"/>
        <v>Sin fecha</v>
      </c>
      <c r="J1143" s="11">
        <v>1</v>
      </c>
      <c r="K1143" s="11">
        <v>1</v>
      </c>
      <c r="L1143" s="12">
        <v>42886</v>
      </c>
      <c r="M1143" t="s">
        <v>36</v>
      </c>
    </row>
    <row r="1144" spans="1:13" ht="30">
      <c r="A1144" s="6" t="s">
        <v>2046</v>
      </c>
      <c r="B1144" s="7" t="s">
        <v>1412</v>
      </c>
      <c r="C1144" s="7" t="s">
        <v>2047</v>
      </c>
      <c r="D1144" s="6" t="s">
        <v>18</v>
      </c>
      <c r="E1144" s="7" t="s">
        <v>1556</v>
      </c>
      <c r="F1144" s="13"/>
      <c r="G1144" s="9">
        <f>IFERROR(VLOOKUP(D1144,Listas!$A$2:$B$20,2,FALSE()),999)</f>
        <v>1</v>
      </c>
      <c r="H1144" s="9" t="str">
        <f t="shared" ca="1" si="17"/>
        <v>Sin fecha</v>
      </c>
      <c r="J1144" s="11">
        <v>1</v>
      </c>
      <c r="K1144" s="11">
        <v>1</v>
      </c>
      <c r="L1144" s="12">
        <v>42886</v>
      </c>
      <c r="M1144" t="s">
        <v>36</v>
      </c>
    </row>
    <row r="1145" spans="1:13" ht="45">
      <c r="A1145" s="6" t="s">
        <v>2048</v>
      </c>
      <c r="B1145" s="7" t="s">
        <v>1511</v>
      </c>
      <c r="C1145" s="7" t="s">
        <v>2049</v>
      </c>
      <c r="D1145" s="6" t="s">
        <v>18</v>
      </c>
      <c r="E1145" s="7" t="s">
        <v>1833</v>
      </c>
      <c r="F1145" s="13"/>
      <c r="G1145" s="9">
        <f>IFERROR(VLOOKUP(D1145,Listas!$A$2:$B$20,2,FALSE()),999)</f>
        <v>1</v>
      </c>
      <c r="H1145" s="9" t="str">
        <f t="shared" ca="1" si="17"/>
        <v>Sin fecha</v>
      </c>
      <c r="J1145" s="11">
        <v>60</v>
      </c>
      <c r="K1145" s="11">
        <v>60</v>
      </c>
      <c r="L1145" s="12">
        <v>42766</v>
      </c>
      <c r="M1145" t="s">
        <v>36</v>
      </c>
    </row>
    <row r="1146" spans="1:13" ht="45">
      <c r="A1146" s="6" t="s">
        <v>2050</v>
      </c>
      <c r="B1146" s="7" t="s">
        <v>1511</v>
      </c>
      <c r="C1146" s="7" t="s">
        <v>2051</v>
      </c>
      <c r="D1146" s="6" t="s">
        <v>18</v>
      </c>
      <c r="E1146" s="7" t="s">
        <v>1504</v>
      </c>
      <c r="F1146" s="13"/>
      <c r="G1146" s="9">
        <f>IFERROR(VLOOKUP(D1146,Listas!$A$2:$B$20,2,FALSE()),999)</f>
        <v>1</v>
      </c>
      <c r="H1146" s="9" t="str">
        <f t="shared" ca="1" si="17"/>
        <v>Sin fecha</v>
      </c>
      <c r="J1146" s="11">
        <v>60</v>
      </c>
      <c r="K1146" s="11">
        <v>60</v>
      </c>
      <c r="L1146" s="12">
        <v>42825</v>
      </c>
      <c r="M1146" t="s">
        <v>36</v>
      </c>
    </row>
    <row r="1147" spans="1:13" ht="30">
      <c r="A1147" s="6" t="s">
        <v>2052</v>
      </c>
      <c r="B1147" s="7" t="s">
        <v>1412</v>
      </c>
      <c r="C1147" s="7" t="s">
        <v>1807</v>
      </c>
      <c r="D1147" s="6" t="s">
        <v>1467</v>
      </c>
      <c r="E1147" s="7" t="s">
        <v>2053</v>
      </c>
      <c r="F1147" s="13"/>
      <c r="G1147" s="9">
        <f>IFERROR(VLOOKUP(D1147,Listas!$A$2:$B$20,2,FALSE()),999)</f>
        <v>2</v>
      </c>
      <c r="H1147" s="9" t="str">
        <f t="shared" ca="1" si="17"/>
        <v>Sin fecha</v>
      </c>
      <c r="J1147" s="11">
        <v>60</v>
      </c>
      <c r="K1147" s="11">
        <v>60</v>
      </c>
      <c r="L1147" s="12">
        <v>42825</v>
      </c>
      <c r="M1147" t="s">
        <v>36</v>
      </c>
    </row>
    <row r="1148" spans="1:13" ht="30">
      <c r="A1148" s="6" t="s">
        <v>2054</v>
      </c>
      <c r="B1148" s="7" t="s">
        <v>1511</v>
      </c>
      <c r="C1148" s="7" t="s">
        <v>2055</v>
      </c>
      <c r="D1148" s="6" t="s">
        <v>18</v>
      </c>
      <c r="E1148" s="7" t="s">
        <v>1521</v>
      </c>
      <c r="F1148" s="13"/>
      <c r="G1148" s="9">
        <f>IFERROR(VLOOKUP(D1148,Listas!$A$2:$B$20,2,FALSE()),999)</f>
        <v>1</v>
      </c>
      <c r="H1148" s="9" t="str">
        <f t="shared" ca="1" si="17"/>
        <v>Sin fecha</v>
      </c>
      <c r="J1148" s="11">
        <v>60</v>
      </c>
      <c r="K1148" s="11">
        <v>60</v>
      </c>
      <c r="L1148" s="12">
        <v>42855</v>
      </c>
      <c r="M1148" t="s">
        <v>36</v>
      </c>
    </row>
    <row r="1149" spans="1:13" ht="30">
      <c r="A1149" s="6" t="s">
        <v>2056</v>
      </c>
      <c r="B1149" s="7" t="s">
        <v>1511</v>
      </c>
      <c r="C1149" s="7" t="s">
        <v>2057</v>
      </c>
      <c r="D1149" s="6" t="s">
        <v>18</v>
      </c>
      <c r="E1149" s="7" t="s">
        <v>1543</v>
      </c>
      <c r="F1149" s="13"/>
      <c r="G1149" s="9">
        <f>IFERROR(VLOOKUP(D1149,Listas!$A$2:$B$20,2,FALSE()),999)</f>
        <v>1</v>
      </c>
      <c r="H1149" s="9" t="str">
        <f t="shared" ca="1" si="17"/>
        <v>Sin fecha</v>
      </c>
      <c r="J1149" s="11">
        <v>60</v>
      </c>
      <c r="K1149" s="11">
        <v>60</v>
      </c>
      <c r="L1149" s="12">
        <v>42855</v>
      </c>
      <c r="M1149" t="s">
        <v>36</v>
      </c>
    </row>
    <row r="1150" spans="1:13" ht="45">
      <c r="A1150" s="6" t="s">
        <v>2058</v>
      </c>
      <c r="B1150" s="7" t="s">
        <v>1511</v>
      </c>
      <c r="C1150" s="7" t="s">
        <v>2059</v>
      </c>
      <c r="D1150" s="6" t="s">
        <v>1467</v>
      </c>
      <c r="E1150" s="7" t="s">
        <v>1561</v>
      </c>
      <c r="F1150" s="13"/>
      <c r="G1150" s="9">
        <f>IFERROR(VLOOKUP(D1150,Listas!$A$2:$B$20,2,FALSE()),999)</f>
        <v>2</v>
      </c>
      <c r="H1150" s="9" t="str">
        <f t="shared" ca="1" si="17"/>
        <v>Sin fecha</v>
      </c>
      <c r="J1150" s="11">
        <v>60</v>
      </c>
      <c r="K1150" s="11">
        <v>60</v>
      </c>
      <c r="L1150" s="12">
        <v>42551</v>
      </c>
      <c r="M1150" t="s">
        <v>36</v>
      </c>
    </row>
    <row r="1151" spans="1:13" ht="30">
      <c r="A1151" s="6" t="s">
        <v>2060</v>
      </c>
      <c r="B1151" s="7" t="s">
        <v>1511</v>
      </c>
      <c r="C1151" s="7" t="s">
        <v>2017</v>
      </c>
      <c r="D1151" s="6" t="s">
        <v>18</v>
      </c>
      <c r="E1151" s="7" t="s">
        <v>1476</v>
      </c>
      <c r="F1151" s="13"/>
      <c r="G1151" s="9">
        <f>IFERROR(VLOOKUP(D1151,Listas!$A$2:$B$20,2,FALSE()),999)</f>
        <v>1</v>
      </c>
      <c r="H1151" s="9" t="str">
        <f t="shared" ca="1" si="17"/>
        <v>Sin fecha</v>
      </c>
      <c r="J1151" s="11">
        <v>60</v>
      </c>
      <c r="K1151" s="11">
        <v>60</v>
      </c>
      <c r="L1151" s="12">
        <v>42855</v>
      </c>
      <c r="M1151" t="s">
        <v>36</v>
      </c>
    </row>
    <row r="1152" spans="1:13" ht="30">
      <c r="A1152" s="6" t="s">
        <v>2061</v>
      </c>
      <c r="B1152" s="7" t="s">
        <v>1511</v>
      </c>
      <c r="C1152" s="7" t="s">
        <v>2017</v>
      </c>
      <c r="D1152" s="6" t="s">
        <v>18</v>
      </c>
      <c r="E1152" s="7" t="s">
        <v>1476</v>
      </c>
      <c r="F1152" s="13"/>
      <c r="G1152" s="9">
        <f>IFERROR(VLOOKUP(D1152,Listas!$A$2:$B$20,2,FALSE()),999)</f>
        <v>1</v>
      </c>
      <c r="H1152" s="9" t="str">
        <f t="shared" ca="1" si="17"/>
        <v>Sin fecha</v>
      </c>
      <c r="J1152" s="11">
        <v>60</v>
      </c>
      <c r="K1152" s="11">
        <v>60</v>
      </c>
      <c r="L1152" s="12">
        <v>42855</v>
      </c>
      <c r="M1152" t="s">
        <v>36</v>
      </c>
    </row>
    <row r="1153" spans="1:13" ht="30">
      <c r="A1153" s="6" t="s">
        <v>2062</v>
      </c>
      <c r="B1153" s="7" t="s">
        <v>1511</v>
      </c>
      <c r="C1153" s="7" t="s">
        <v>2017</v>
      </c>
      <c r="D1153" s="6" t="s">
        <v>18</v>
      </c>
      <c r="E1153" s="7" t="s">
        <v>1476</v>
      </c>
      <c r="F1153" s="13"/>
      <c r="G1153" s="9">
        <f>IFERROR(VLOOKUP(D1153,Listas!$A$2:$B$20,2,FALSE()),999)</f>
        <v>1</v>
      </c>
      <c r="H1153" s="9" t="str">
        <f t="shared" ca="1" si="17"/>
        <v>Sin fecha</v>
      </c>
      <c r="J1153" s="11">
        <v>60</v>
      </c>
      <c r="K1153" s="11">
        <v>60</v>
      </c>
      <c r="L1153" s="12">
        <v>42855</v>
      </c>
      <c r="M1153" t="s">
        <v>36</v>
      </c>
    </row>
    <row r="1154" spans="1:13" ht="30">
      <c r="A1154" s="6" t="s">
        <v>2063</v>
      </c>
      <c r="B1154" s="7" t="s">
        <v>1412</v>
      </c>
      <c r="C1154" s="7" t="s">
        <v>2064</v>
      </c>
      <c r="D1154" s="6" t="s">
        <v>1467</v>
      </c>
      <c r="E1154" s="7" t="s">
        <v>1513</v>
      </c>
      <c r="F1154" s="13"/>
      <c r="G1154" s="9">
        <f>IFERROR(VLOOKUP(D1154,Listas!$A$2:$B$20,2,FALSE()),999)</f>
        <v>2</v>
      </c>
      <c r="H1154" s="9" t="str">
        <f t="shared" ca="1" si="17"/>
        <v>Sin fecha</v>
      </c>
      <c r="J1154" s="11">
        <v>60</v>
      </c>
      <c r="K1154" s="11">
        <v>60</v>
      </c>
      <c r="L1154" s="12">
        <v>42855</v>
      </c>
      <c r="M1154" t="s">
        <v>36</v>
      </c>
    </row>
    <row r="1155" spans="1:13" ht="45">
      <c r="A1155" s="6" t="s">
        <v>2065</v>
      </c>
      <c r="B1155" s="7" t="s">
        <v>1412</v>
      </c>
      <c r="C1155" s="7" t="s">
        <v>2066</v>
      </c>
      <c r="D1155" s="6" t="s">
        <v>1467</v>
      </c>
      <c r="E1155" s="7" t="s">
        <v>2067</v>
      </c>
      <c r="F1155" s="13"/>
      <c r="G1155" s="9">
        <f>IFERROR(VLOOKUP(D1155,Listas!$A$2:$B$20,2,FALSE()),999)</f>
        <v>2</v>
      </c>
      <c r="H1155" s="9" t="str">
        <f t="shared" ca="1" si="17"/>
        <v>Sin fecha</v>
      </c>
      <c r="J1155" s="11">
        <v>60</v>
      </c>
      <c r="K1155" s="11">
        <v>60</v>
      </c>
      <c r="L1155" s="12">
        <v>42855</v>
      </c>
      <c r="M1155" t="s">
        <v>36</v>
      </c>
    </row>
    <row r="1156" spans="1:13" ht="45">
      <c r="A1156" s="6" t="s">
        <v>2068</v>
      </c>
      <c r="B1156" s="7" t="s">
        <v>1511</v>
      </c>
      <c r="C1156" s="7" t="s">
        <v>2069</v>
      </c>
      <c r="D1156" s="6" t="s">
        <v>1467</v>
      </c>
      <c r="E1156" s="7" t="s">
        <v>1580</v>
      </c>
      <c r="F1156" s="13"/>
      <c r="G1156" s="9">
        <f>IFERROR(VLOOKUP(D1156,Listas!$A$2:$B$20,2,FALSE()),999)</f>
        <v>2</v>
      </c>
      <c r="H1156" s="9" t="str">
        <f t="shared" ca="1" si="17"/>
        <v>Sin fecha</v>
      </c>
      <c r="J1156" s="11">
        <v>60</v>
      </c>
      <c r="K1156" s="11">
        <v>60</v>
      </c>
      <c r="L1156" s="12">
        <v>42916</v>
      </c>
      <c r="M1156" t="s">
        <v>36</v>
      </c>
    </row>
    <row r="1157" spans="1:13" ht="135">
      <c r="A1157" s="6" t="s">
        <v>2070</v>
      </c>
      <c r="B1157" s="7" t="s">
        <v>1412</v>
      </c>
      <c r="C1157" s="7" t="s">
        <v>2071</v>
      </c>
      <c r="D1157" s="6" t="s">
        <v>1467</v>
      </c>
      <c r="E1157" s="7" t="s">
        <v>1468</v>
      </c>
      <c r="F1157" s="13"/>
      <c r="G1157" s="9">
        <f>IFERROR(VLOOKUP(D1157,Listas!$A$2:$B$20,2,FALSE()),999)</f>
        <v>2</v>
      </c>
      <c r="H1157" s="9" t="str">
        <f t="shared" ref="H1157:H1220" ca="1" si="18">IF(F1157="","Sin fecha",IF(TODAY()-F1157&gt;180,"Revisar",IF(TODAY()-F1157&gt;90,"Próximo","Vigente")))</f>
        <v>Sin fecha</v>
      </c>
      <c r="J1157" s="11">
        <v>60</v>
      </c>
      <c r="K1157" s="11">
        <v>60</v>
      </c>
      <c r="L1157" s="12">
        <v>42960</v>
      </c>
      <c r="M1157" t="s">
        <v>36</v>
      </c>
    </row>
    <row r="1158" spans="1:13" ht="150">
      <c r="A1158" s="6" t="s">
        <v>2072</v>
      </c>
      <c r="B1158" s="7" t="s">
        <v>1412</v>
      </c>
      <c r="C1158" s="7" t="s">
        <v>2073</v>
      </c>
      <c r="D1158" s="6" t="s">
        <v>1467</v>
      </c>
      <c r="E1158" s="7" t="s">
        <v>1468</v>
      </c>
      <c r="F1158" s="13"/>
      <c r="G1158" s="9">
        <f>IFERROR(VLOOKUP(D1158,Listas!$A$2:$B$20,2,FALSE()),999)</f>
        <v>2</v>
      </c>
      <c r="H1158" s="9" t="str">
        <f t="shared" ca="1" si="18"/>
        <v>Sin fecha</v>
      </c>
      <c r="J1158" s="11">
        <v>60</v>
      </c>
      <c r="K1158" s="11">
        <v>60</v>
      </c>
      <c r="L1158" s="12">
        <v>42960</v>
      </c>
      <c r="M1158" t="s">
        <v>36</v>
      </c>
    </row>
    <row r="1159" spans="1:13" ht="135">
      <c r="A1159" s="6" t="s">
        <v>2074</v>
      </c>
      <c r="B1159" s="7" t="s">
        <v>1412</v>
      </c>
      <c r="C1159" s="7" t="s">
        <v>2071</v>
      </c>
      <c r="D1159" s="6" t="s">
        <v>1467</v>
      </c>
      <c r="E1159" s="7" t="s">
        <v>1513</v>
      </c>
      <c r="F1159" s="13"/>
      <c r="G1159" s="9">
        <f>IFERROR(VLOOKUP(D1159,Listas!$A$2:$B$20,2,FALSE()),999)</f>
        <v>2</v>
      </c>
      <c r="H1159" s="9" t="str">
        <f t="shared" ca="1" si="18"/>
        <v>Sin fecha</v>
      </c>
      <c r="J1159" s="11">
        <v>60</v>
      </c>
      <c r="K1159" s="11">
        <v>60</v>
      </c>
      <c r="L1159" s="12">
        <v>42960</v>
      </c>
      <c r="M1159" t="s">
        <v>36</v>
      </c>
    </row>
    <row r="1160" spans="1:13" ht="135">
      <c r="A1160" s="6" t="s">
        <v>2075</v>
      </c>
      <c r="B1160" s="7" t="s">
        <v>1412</v>
      </c>
      <c r="C1160" s="7" t="s">
        <v>2071</v>
      </c>
      <c r="D1160" s="6" t="s">
        <v>18</v>
      </c>
      <c r="E1160" s="7" t="s">
        <v>1474</v>
      </c>
      <c r="F1160" s="13"/>
      <c r="G1160" s="9">
        <f>IFERROR(VLOOKUP(D1160,Listas!$A$2:$B$20,2,FALSE()),999)</f>
        <v>1</v>
      </c>
      <c r="H1160" s="9" t="str">
        <f t="shared" ca="1" si="18"/>
        <v>Sin fecha</v>
      </c>
      <c r="J1160" s="11">
        <v>60</v>
      </c>
      <c r="K1160" s="11">
        <v>60</v>
      </c>
      <c r="L1160" s="12">
        <v>42960</v>
      </c>
      <c r="M1160" t="s">
        <v>36</v>
      </c>
    </row>
    <row r="1161" spans="1:13" ht="135">
      <c r="A1161" s="6" t="s">
        <v>2076</v>
      </c>
      <c r="B1161" s="7" t="s">
        <v>1412</v>
      </c>
      <c r="C1161" s="7" t="s">
        <v>2077</v>
      </c>
      <c r="D1161" s="6" t="s">
        <v>1467</v>
      </c>
      <c r="E1161" s="7" t="s">
        <v>1468</v>
      </c>
      <c r="F1161" s="13"/>
      <c r="G1161" s="9">
        <f>IFERROR(VLOOKUP(D1161,Listas!$A$2:$B$20,2,FALSE()),999)</f>
        <v>2</v>
      </c>
      <c r="H1161" s="9" t="str">
        <f t="shared" ca="1" si="18"/>
        <v>Sin fecha</v>
      </c>
      <c r="J1161" s="11">
        <v>60</v>
      </c>
      <c r="K1161" s="11">
        <v>60</v>
      </c>
      <c r="L1161" s="12">
        <v>42960</v>
      </c>
      <c r="M1161" t="s">
        <v>36</v>
      </c>
    </row>
    <row r="1162" spans="1:13" ht="150">
      <c r="A1162" s="6" t="s">
        <v>2078</v>
      </c>
      <c r="B1162" s="7" t="s">
        <v>1412</v>
      </c>
      <c r="C1162" s="7" t="s">
        <v>2079</v>
      </c>
      <c r="D1162" s="6" t="s">
        <v>18</v>
      </c>
      <c r="E1162" s="7" t="s">
        <v>1482</v>
      </c>
      <c r="F1162" s="13"/>
      <c r="G1162" s="9">
        <f>IFERROR(VLOOKUP(D1162,Listas!$A$2:$B$20,2,FALSE()),999)</f>
        <v>1</v>
      </c>
      <c r="H1162" s="9" t="str">
        <f t="shared" ca="1" si="18"/>
        <v>Sin fecha</v>
      </c>
      <c r="J1162" s="11">
        <v>60</v>
      </c>
      <c r="K1162" s="11">
        <v>60</v>
      </c>
      <c r="L1162" s="12">
        <v>42960</v>
      </c>
      <c r="M1162" t="s">
        <v>36</v>
      </c>
    </row>
    <row r="1163" spans="1:13" ht="150">
      <c r="A1163" s="6" t="s">
        <v>2080</v>
      </c>
      <c r="B1163" s="7" t="s">
        <v>1412</v>
      </c>
      <c r="C1163" s="7" t="s">
        <v>2081</v>
      </c>
      <c r="D1163" s="6" t="s">
        <v>1467</v>
      </c>
      <c r="E1163" s="7" t="s">
        <v>1468</v>
      </c>
      <c r="F1163" s="13"/>
      <c r="G1163" s="9">
        <f>IFERROR(VLOOKUP(D1163,Listas!$A$2:$B$20,2,FALSE()),999)</f>
        <v>2</v>
      </c>
      <c r="H1163" s="9" t="str">
        <f t="shared" ca="1" si="18"/>
        <v>Sin fecha</v>
      </c>
      <c r="J1163" s="11">
        <v>60</v>
      </c>
      <c r="K1163" s="11">
        <v>60</v>
      </c>
      <c r="L1163" s="12">
        <v>42960</v>
      </c>
      <c r="M1163" t="s">
        <v>36</v>
      </c>
    </row>
    <row r="1164" spans="1:13" ht="135">
      <c r="A1164" s="6" t="s">
        <v>2082</v>
      </c>
      <c r="B1164" s="7" t="s">
        <v>1412</v>
      </c>
      <c r="C1164" s="7" t="s">
        <v>2083</v>
      </c>
      <c r="D1164" s="6" t="s">
        <v>1467</v>
      </c>
      <c r="E1164" s="7" t="s">
        <v>1513</v>
      </c>
      <c r="F1164" s="13"/>
      <c r="G1164" s="9">
        <f>IFERROR(VLOOKUP(D1164,Listas!$A$2:$B$20,2,FALSE()),999)</f>
        <v>2</v>
      </c>
      <c r="H1164" s="9" t="str">
        <f t="shared" ca="1" si="18"/>
        <v>Sin fecha</v>
      </c>
      <c r="J1164" s="11">
        <v>60</v>
      </c>
      <c r="K1164" s="11">
        <v>60</v>
      </c>
      <c r="L1164" s="12">
        <v>42960</v>
      </c>
      <c r="M1164" t="s">
        <v>36</v>
      </c>
    </row>
    <row r="1165" spans="1:13" ht="135">
      <c r="A1165" s="6" t="s">
        <v>2084</v>
      </c>
      <c r="B1165" s="7" t="s">
        <v>1412</v>
      </c>
      <c r="C1165" s="7" t="s">
        <v>2071</v>
      </c>
      <c r="D1165" s="6" t="s">
        <v>18</v>
      </c>
      <c r="E1165" s="7" t="s">
        <v>1464</v>
      </c>
      <c r="F1165" s="13"/>
      <c r="G1165" s="9">
        <f>IFERROR(VLOOKUP(D1165,Listas!$A$2:$B$20,2,FALSE()),999)</f>
        <v>1</v>
      </c>
      <c r="H1165" s="9" t="str">
        <f t="shared" ca="1" si="18"/>
        <v>Sin fecha</v>
      </c>
      <c r="J1165" s="11">
        <v>60</v>
      </c>
      <c r="K1165" s="11">
        <v>60</v>
      </c>
      <c r="L1165" s="12">
        <v>42960</v>
      </c>
      <c r="M1165" t="s">
        <v>36</v>
      </c>
    </row>
    <row r="1166" spans="1:13" ht="150">
      <c r="A1166" s="6" t="s">
        <v>2085</v>
      </c>
      <c r="B1166" s="7" t="s">
        <v>1412</v>
      </c>
      <c r="C1166" s="7" t="s">
        <v>2079</v>
      </c>
      <c r="D1166" s="6" t="s">
        <v>18</v>
      </c>
      <c r="E1166" s="7" t="s">
        <v>1835</v>
      </c>
      <c r="F1166" s="13"/>
      <c r="G1166" s="9">
        <f>IFERROR(VLOOKUP(D1166,Listas!$A$2:$B$20,2,FALSE()),999)</f>
        <v>1</v>
      </c>
      <c r="H1166" s="9" t="str">
        <f t="shared" ca="1" si="18"/>
        <v>Sin fecha</v>
      </c>
      <c r="J1166" s="11">
        <v>60</v>
      </c>
      <c r="K1166" s="11">
        <v>60</v>
      </c>
      <c r="L1166" s="12">
        <v>42960</v>
      </c>
      <c r="M1166" t="s">
        <v>36</v>
      </c>
    </row>
    <row r="1167" spans="1:13" ht="150">
      <c r="A1167" s="6" t="s">
        <v>2086</v>
      </c>
      <c r="B1167" s="7" t="s">
        <v>1412</v>
      </c>
      <c r="C1167" s="7" t="s">
        <v>2079</v>
      </c>
      <c r="D1167" s="6" t="s">
        <v>1467</v>
      </c>
      <c r="E1167" s="7" t="s">
        <v>1468</v>
      </c>
      <c r="F1167" s="13"/>
      <c r="G1167" s="9">
        <f>IFERROR(VLOOKUP(D1167,Listas!$A$2:$B$20,2,FALSE()),999)</f>
        <v>2</v>
      </c>
      <c r="H1167" s="9" t="str">
        <f t="shared" ca="1" si="18"/>
        <v>Sin fecha</v>
      </c>
      <c r="J1167" s="11">
        <v>60</v>
      </c>
      <c r="K1167" s="11">
        <v>60</v>
      </c>
      <c r="L1167" s="12">
        <v>42960</v>
      </c>
      <c r="M1167" t="s">
        <v>36</v>
      </c>
    </row>
    <row r="1168" spans="1:13" ht="150">
      <c r="A1168" s="6" t="s">
        <v>2087</v>
      </c>
      <c r="B1168" s="7" t="s">
        <v>1412</v>
      </c>
      <c r="C1168" s="7" t="s">
        <v>2079</v>
      </c>
      <c r="D1168" s="6" t="s">
        <v>1467</v>
      </c>
      <c r="E1168" s="7" t="s">
        <v>1468</v>
      </c>
      <c r="F1168" s="13"/>
      <c r="G1168" s="9">
        <f>IFERROR(VLOOKUP(D1168,Listas!$A$2:$B$20,2,FALSE()),999)</f>
        <v>2</v>
      </c>
      <c r="H1168" s="9" t="str">
        <f t="shared" ca="1" si="18"/>
        <v>Sin fecha</v>
      </c>
      <c r="J1168" s="11">
        <v>60</v>
      </c>
      <c r="K1168" s="11">
        <v>60</v>
      </c>
      <c r="L1168" s="12">
        <v>42960</v>
      </c>
      <c r="M1168" t="s">
        <v>36</v>
      </c>
    </row>
    <row r="1169" spans="1:13" ht="30">
      <c r="A1169" s="6" t="s">
        <v>2088</v>
      </c>
      <c r="B1169" s="7" t="s">
        <v>1412</v>
      </c>
      <c r="C1169" s="7" t="s">
        <v>2089</v>
      </c>
      <c r="D1169" s="6" t="s">
        <v>1467</v>
      </c>
      <c r="E1169" s="7" t="s">
        <v>1513</v>
      </c>
      <c r="F1169" s="13"/>
      <c r="G1169" s="9">
        <f>IFERROR(VLOOKUP(D1169,Listas!$A$2:$B$20,2,FALSE()),999)</f>
        <v>2</v>
      </c>
      <c r="H1169" s="9" t="str">
        <f t="shared" ca="1" si="18"/>
        <v>Sin fecha</v>
      </c>
      <c r="J1169" s="11">
        <v>60</v>
      </c>
      <c r="K1169" s="11">
        <v>60</v>
      </c>
      <c r="L1169" s="12">
        <v>43028</v>
      </c>
      <c r="M1169" t="s">
        <v>36</v>
      </c>
    </row>
    <row r="1170" spans="1:13" ht="105">
      <c r="A1170" s="6" t="s">
        <v>2090</v>
      </c>
      <c r="B1170" s="7" t="s">
        <v>1412</v>
      </c>
      <c r="C1170" s="7" t="s">
        <v>2091</v>
      </c>
      <c r="D1170" s="6" t="s">
        <v>18</v>
      </c>
      <c r="E1170" s="7" t="s">
        <v>2092</v>
      </c>
      <c r="F1170" s="13"/>
      <c r="G1170" s="9">
        <f>IFERROR(VLOOKUP(D1170,Listas!$A$2:$B$20,2,FALSE()),999)</f>
        <v>1</v>
      </c>
      <c r="H1170" s="9" t="str">
        <f t="shared" ca="1" si="18"/>
        <v>Sin fecha</v>
      </c>
      <c r="J1170" s="11">
        <v>60</v>
      </c>
      <c r="K1170" s="11">
        <v>60</v>
      </c>
      <c r="L1170" s="12">
        <v>43002</v>
      </c>
      <c r="M1170" t="s">
        <v>36</v>
      </c>
    </row>
    <row r="1171" spans="1:13" ht="105">
      <c r="A1171" s="6" t="s">
        <v>2093</v>
      </c>
      <c r="B1171" s="7" t="s">
        <v>1412</v>
      </c>
      <c r="C1171" s="7" t="s">
        <v>2091</v>
      </c>
      <c r="D1171" s="6" t="s">
        <v>18</v>
      </c>
      <c r="E1171" s="7" t="s">
        <v>1485</v>
      </c>
      <c r="F1171" s="13"/>
      <c r="G1171" s="9">
        <f>IFERROR(VLOOKUP(D1171,Listas!$A$2:$B$20,2,FALSE()),999)</f>
        <v>1</v>
      </c>
      <c r="H1171" s="9" t="str">
        <f t="shared" ca="1" si="18"/>
        <v>Sin fecha</v>
      </c>
      <c r="J1171" s="11">
        <v>60</v>
      </c>
      <c r="K1171" s="11">
        <v>60</v>
      </c>
      <c r="L1171" s="12">
        <v>43002</v>
      </c>
      <c r="M1171" t="s">
        <v>36</v>
      </c>
    </row>
    <row r="1172" spans="1:13" ht="45">
      <c r="A1172" s="6" t="s">
        <v>2094</v>
      </c>
      <c r="B1172" s="7" t="s">
        <v>1511</v>
      </c>
      <c r="C1172" s="7" t="s">
        <v>2095</v>
      </c>
      <c r="D1172" s="6" t="s">
        <v>1467</v>
      </c>
      <c r="E1172" s="7" t="s">
        <v>1513</v>
      </c>
      <c r="F1172" s="13"/>
      <c r="G1172" s="9">
        <f>IFERROR(VLOOKUP(D1172,Listas!$A$2:$B$20,2,FALSE()),999)</f>
        <v>2</v>
      </c>
      <c r="H1172" s="9" t="str">
        <f t="shared" ca="1" si="18"/>
        <v>Sin fecha</v>
      </c>
      <c r="J1172" s="11">
        <v>60</v>
      </c>
      <c r="K1172" s="11">
        <v>60</v>
      </c>
      <c r="L1172" s="12">
        <v>43002</v>
      </c>
      <c r="M1172" t="s">
        <v>36</v>
      </c>
    </row>
    <row r="1173" spans="1:13" ht="45">
      <c r="A1173" s="6" t="s">
        <v>2096</v>
      </c>
      <c r="B1173" s="7" t="s">
        <v>1511</v>
      </c>
      <c r="C1173" s="7" t="s">
        <v>2095</v>
      </c>
      <c r="D1173" s="6" t="s">
        <v>1467</v>
      </c>
      <c r="E1173" s="7" t="s">
        <v>1513</v>
      </c>
      <c r="F1173" s="13"/>
      <c r="G1173" s="9">
        <f>IFERROR(VLOOKUP(D1173,Listas!$A$2:$B$20,2,FALSE()),999)</f>
        <v>2</v>
      </c>
      <c r="H1173" s="9" t="str">
        <f t="shared" ca="1" si="18"/>
        <v>Sin fecha</v>
      </c>
      <c r="J1173" s="11">
        <v>60</v>
      </c>
      <c r="K1173" s="11">
        <v>60</v>
      </c>
      <c r="L1173" s="12">
        <v>43002</v>
      </c>
      <c r="M1173" t="s">
        <v>36</v>
      </c>
    </row>
    <row r="1174" spans="1:13" ht="45">
      <c r="A1174" s="6" t="s">
        <v>2097</v>
      </c>
      <c r="B1174" s="7" t="s">
        <v>1511</v>
      </c>
      <c r="C1174" s="7" t="s">
        <v>2095</v>
      </c>
      <c r="D1174" s="6" t="s">
        <v>1467</v>
      </c>
      <c r="E1174" s="7" t="s">
        <v>1513</v>
      </c>
      <c r="F1174" s="13"/>
      <c r="G1174" s="9">
        <f>IFERROR(VLOOKUP(D1174,Listas!$A$2:$B$20,2,FALSE()),999)</f>
        <v>2</v>
      </c>
      <c r="H1174" s="9" t="str">
        <f t="shared" ca="1" si="18"/>
        <v>Sin fecha</v>
      </c>
      <c r="J1174" s="11">
        <v>60</v>
      </c>
      <c r="K1174" s="11">
        <v>60</v>
      </c>
      <c r="L1174" s="12">
        <v>43002</v>
      </c>
      <c r="M1174" t="s">
        <v>36</v>
      </c>
    </row>
    <row r="1175" spans="1:13" ht="45">
      <c r="A1175" s="6" t="s">
        <v>2098</v>
      </c>
      <c r="B1175" s="7" t="s">
        <v>1511</v>
      </c>
      <c r="C1175" s="7" t="s">
        <v>2095</v>
      </c>
      <c r="D1175" s="6" t="s">
        <v>18</v>
      </c>
      <c r="E1175" s="7" t="s">
        <v>1485</v>
      </c>
      <c r="F1175" s="13"/>
      <c r="G1175" s="9">
        <f>IFERROR(VLOOKUP(D1175,Listas!$A$2:$B$20,2,FALSE()),999)</f>
        <v>1</v>
      </c>
      <c r="H1175" s="9" t="str">
        <f t="shared" ca="1" si="18"/>
        <v>Sin fecha</v>
      </c>
      <c r="J1175" s="11">
        <v>60</v>
      </c>
      <c r="K1175" s="11">
        <v>60</v>
      </c>
      <c r="L1175" s="12">
        <v>43002</v>
      </c>
      <c r="M1175" t="s">
        <v>36</v>
      </c>
    </row>
    <row r="1176" spans="1:13" ht="45">
      <c r="A1176" s="6" t="s">
        <v>2099</v>
      </c>
      <c r="B1176" s="7" t="s">
        <v>1511</v>
      </c>
      <c r="C1176" s="7" t="s">
        <v>2095</v>
      </c>
      <c r="D1176" s="6" t="s">
        <v>1467</v>
      </c>
      <c r="E1176" s="7" t="s">
        <v>1513</v>
      </c>
      <c r="F1176" s="13"/>
      <c r="G1176" s="9">
        <f>IFERROR(VLOOKUP(D1176,Listas!$A$2:$B$20,2,FALSE()),999)</f>
        <v>2</v>
      </c>
      <c r="H1176" s="9" t="str">
        <f t="shared" ca="1" si="18"/>
        <v>Sin fecha</v>
      </c>
      <c r="J1176" s="11">
        <v>60</v>
      </c>
      <c r="K1176" s="11">
        <v>60</v>
      </c>
      <c r="L1176" s="12">
        <v>43002</v>
      </c>
      <c r="M1176" t="s">
        <v>36</v>
      </c>
    </row>
    <row r="1177" spans="1:13" ht="60">
      <c r="A1177" s="6" t="s">
        <v>2100</v>
      </c>
      <c r="B1177" s="7" t="s">
        <v>1412</v>
      </c>
      <c r="C1177" s="7" t="s">
        <v>2101</v>
      </c>
      <c r="D1177" s="6" t="s">
        <v>18</v>
      </c>
      <c r="E1177" s="7" t="s">
        <v>1824</v>
      </c>
      <c r="F1177" s="13"/>
      <c r="G1177" s="9">
        <f>IFERROR(VLOOKUP(D1177,Listas!$A$2:$B$20,2,FALSE()),999)</f>
        <v>1</v>
      </c>
      <c r="H1177" s="9" t="str">
        <f t="shared" ca="1" si="18"/>
        <v>Sin fecha</v>
      </c>
      <c r="J1177" s="11">
        <v>60</v>
      </c>
      <c r="K1177" s="11">
        <v>60</v>
      </c>
      <c r="L1177" s="12">
        <v>43032</v>
      </c>
      <c r="M1177" t="s">
        <v>36</v>
      </c>
    </row>
    <row r="1178" spans="1:13" ht="75">
      <c r="A1178" s="6" t="s">
        <v>2102</v>
      </c>
      <c r="B1178" s="7" t="s">
        <v>1490</v>
      </c>
      <c r="C1178" s="7" t="s">
        <v>2103</v>
      </c>
      <c r="D1178" s="6" t="s">
        <v>1467</v>
      </c>
      <c r="E1178" s="7" t="s">
        <v>1936</v>
      </c>
      <c r="F1178" s="13"/>
      <c r="G1178" s="9">
        <f>IFERROR(VLOOKUP(D1178,Listas!$A$2:$B$20,2,FALSE()),999)</f>
        <v>2</v>
      </c>
      <c r="H1178" s="9" t="str">
        <f t="shared" ca="1" si="18"/>
        <v>Sin fecha</v>
      </c>
      <c r="J1178" s="11">
        <v>60</v>
      </c>
      <c r="K1178" s="11">
        <v>60</v>
      </c>
      <c r="L1178" s="12">
        <v>43034</v>
      </c>
      <c r="M1178" t="s">
        <v>36</v>
      </c>
    </row>
    <row r="1179" spans="1:13" ht="45">
      <c r="A1179" s="6" t="s">
        <v>2104</v>
      </c>
      <c r="B1179" s="7" t="s">
        <v>1511</v>
      </c>
      <c r="C1179" s="7" t="s">
        <v>2105</v>
      </c>
      <c r="D1179" s="6" t="s">
        <v>18</v>
      </c>
      <c r="E1179" s="7" t="s">
        <v>1519</v>
      </c>
      <c r="F1179" s="13"/>
      <c r="G1179" s="9">
        <f>IFERROR(VLOOKUP(D1179,Listas!$A$2:$B$20,2,FALSE()),999)</f>
        <v>1</v>
      </c>
      <c r="H1179" s="9" t="str">
        <f t="shared" ca="1" si="18"/>
        <v>Sin fecha</v>
      </c>
      <c r="J1179" s="11">
        <v>60</v>
      </c>
      <c r="K1179" s="11">
        <v>60</v>
      </c>
      <c r="L1179" s="12">
        <v>43062</v>
      </c>
      <c r="M1179" t="s">
        <v>36</v>
      </c>
    </row>
    <row r="1180" spans="1:13" ht="45">
      <c r="A1180" s="6" t="s">
        <v>2106</v>
      </c>
      <c r="B1180" s="7" t="s">
        <v>1511</v>
      </c>
      <c r="C1180" s="7" t="s">
        <v>2107</v>
      </c>
      <c r="D1180" s="6" t="s">
        <v>1467</v>
      </c>
      <c r="E1180" s="7" t="s">
        <v>1513</v>
      </c>
      <c r="F1180" s="13"/>
      <c r="G1180" s="9">
        <f>IFERROR(VLOOKUP(D1180,Listas!$A$2:$B$20,2,FALSE()),999)</f>
        <v>2</v>
      </c>
      <c r="H1180" s="9" t="str">
        <f t="shared" ca="1" si="18"/>
        <v>Sin fecha</v>
      </c>
      <c r="J1180" s="11">
        <v>60</v>
      </c>
      <c r="K1180" s="11">
        <v>60</v>
      </c>
      <c r="L1180" s="12">
        <v>43092</v>
      </c>
      <c r="M1180" t="s">
        <v>36</v>
      </c>
    </row>
    <row r="1181" spans="1:13" ht="45">
      <c r="A1181" s="6" t="s">
        <v>2108</v>
      </c>
      <c r="B1181" s="7" t="s">
        <v>1511</v>
      </c>
      <c r="C1181" s="7" t="s">
        <v>2109</v>
      </c>
      <c r="D1181" s="6" t="s">
        <v>18</v>
      </c>
      <c r="E1181" s="7" t="s">
        <v>1519</v>
      </c>
      <c r="F1181" s="13"/>
      <c r="G1181" s="9">
        <f>IFERROR(VLOOKUP(D1181,Listas!$A$2:$B$20,2,FALSE()),999)</f>
        <v>1</v>
      </c>
      <c r="H1181" s="9" t="str">
        <f t="shared" ca="1" si="18"/>
        <v>Sin fecha</v>
      </c>
      <c r="J1181" s="11">
        <v>60</v>
      </c>
      <c r="K1181" s="11">
        <v>60</v>
      </c>
      <c r="L1181" s="12">
        <v>43092</v>
      </c>
      <c r="M1181" t="s">
        <v>36</v>
      </c>
    </row>
    <row r="1182" spans="1:13" ht="45">
      <c r="A1182" s="6" t="s">
        <v>2110</v>
      </c>
      <c r="B1182" s="7" t="s">
        <v>1511</v>
      </c>
      <c r="C1182" s="7" t="s">
        <v>2109</v>
      </c>
      <c r="D1182" s="6" t="s">
        <v>1467</v>
      </c>
      <c r="E1182" s="7" t="s">
        <v>1513</v>
      </c>
      <c r="F1182" s="13"/>
      <c r="G1182" s="9">
        <f>IFERROR(VLOOKUP(D1182,Listas!$A$2:$B$20,2,FALSE()),999)</f>
        <v>2</v>
      </c>
      <c r="H1182" s="9" t="str">
        <f t="shared" ca="1" si="18"/>
        <v>Sin fecha</v>
      </c>
      <c r="J1182" s="11">
        <v>60</v>
      </c>
      <c r="K1182" s="11">
        <v>60</v>
      </c>
      <c r="L1182" s="12">
        <v>43092</v>
      </c>
      <c r="M1182" t="s">
        <v>36</v>
      </c>
    </row>
    <row r="1183" spans="1:13" ht="75">
      <c r="A1183" s="6" t="s">
        <v>2111</v>
      </c>
      <c r="B1183" s="7" t="s">
        <v>1412</v>
      </c>
      <c r="C1183" s="7" t="s">
        <v>2112</v>
      </c>
      <c r="D1183" s="6" t="s">
        <v>18</v>
      </c>
      <c r="E1183" s="7" t="s">
        <v>2113</v>
      </c>
      <c r="F1183" s="13"/>
      <c r="G1183" s="9">
        <f>IFERROR(VLOOKUP(D1183,Listas!$A$2:$B$20,2,FALSE()),999)</f>
        <v>1</v>
      </c>
      <c r="H1183" s="9" t="str">
        <f t="shared" ca="1" si="18"/>
        <v>Sin fecha</v>
      </c>
      <c r="J1183" s="11">
        <v>60</v>
      </c>
      <c r="K1183" s="11">
        <v>60</v>
      </c>
      <c r="L1183" s="12">
        <v>43092</v>
      </c>
      <c r="M1183" t="s">
        <v>36</v>
      </c>
    </row>
    <row r="1184" spans="1:13" ht="75">
      <c r="A1184" s="6" t="s">
        <v>2114</v>
      </c>
      <c r="B1184" s="7" t="s">
        <v>1412</v>
      </c>
      <c r="C1184" s="7" t="s">
        <v>2115</v>
      </c>
      <c r="D1184" s="6" t="s">
        <v>18</v>
      </c>
      <c r="E1184" s="7" t="s">
        <v>2024</v>
      </c>
      <c r="F1184" s="13"/>
      <c r="G1184" s="9">
        <f>IFERROR(VLOOKUP(D1184,Listas!$A$2:$B$20,2,FALSE()),999)</f>
        <v>1</v>
      </c>
      <c r="H1184" s="9" t="str">
        <f t="shared" ca="1" si="18"/>
        <v>Sin fecha</v>
      </c>
      <c r="J1184" s="11">
        <v>60</v>
      </c>
      <c r="K1184" s="11">
        <v>60</v>
      </c>
      <c r="L1184" s="12">
        <v>43092</v>
      </c>
      <c r="M1184" t="s">
        <v>36</v>
      </c>
    </row>
    <row r="1185" spans="1:13" ht="75">
      <c r="A1185" s="6" t="s">
        <v>2116</v>
      </c>
      <c r="B1185" s="7" t="s">
        <v>1412</v>
      </c>
      <c r="C1185" s="7" t="s">
        <v>2115</v>
      </c>
      <c r="D1185" s="6" t="s">
        <v>1467</v>
      </c>
      <c r="E1185" s="7" t="s">
        <v>2117</v>
      </c>
      <c r="F1185" s="13"/>
      <c r="G1185" s="9">
        <f>IFERROR(VLOOKUP(D1185,Listas!$A$2:$B$20,2,FALSE()),999)</f>
        <v>2</v>
      </c>
      <c r="H1185" s="9" t="str">
        <f t="shared" ca="1" si="18"/>
        <v>Sin fecha</v>
      </c>
      <c r="J1185" s="11">
        <v>60</v>
      </c>
      <c r="K1185" s="11">
        <v>60</v>
      </c>
      <c r="L1185" s="12">
        <v>43092</v>
      </c>
      <c r="M1185" t="s">
        <v>36</v>
      </c>
    </row>
    <row r="1186" spans="1:13" ht="75">
      <c r="A1186" s="6" t="s">
        <v>2118</v>
      </c>
      <c r="B1186" s="7" t="s">
        <v>1412</v>
      </c>
      <c r="C1186" s="7" t="s">
        <v>2115</v>
      </c>
      <c r="D1186" s="6" t="s">
        <v>1467</v>
      </c>
      <c r="E1186" s="7" t="s">
        <v>1513</v>
      </c>
      <c r="F1186" s="13"/>
      <c r="G1186" s="9">
        <f>IFERROR(VLOOKUP(D1186,Listas!$A$2:$B$20,2,FALSE()),999)</f>
        <v>2</v>
      </c>
      <c r="H1186" s="9" t="str">
        <f t="shared" ca="1" si="18"/>
        <v>Sin fecha</v>
      </c>
      <c r="J1186" s="11">
        <v>60</v>
      </c>
      <c r="K1186" s="11">
        <v>60</v>
      </c>
      <c r="L1186" s="12">
        <v>43092</v>
      </c>
      <c r="M1186" t="s">
        <v>36</v>
      </c>
    </row>
    <row r="1187" spans="1:13" ht="75">
      <c r="A1187" s="6" t="s">
        <v>2119</v>
      </c>
      <c r="B1187" s="7" t="s">
        <v>1511</v>
      </c>
      <c r="C1187" s="7" t="s">
        <v>2120</v>
      </c>
      <c r="D1187" s="6" t="s">
        <v>18</v>
      </c>
      <c r="E1187" s="7" t="s">
        <v>1543</v>
      </c>
      <c r="F1187" s="13"/>
      <c r="G1187" s="9">
        <f>IFERROR(VLOOKUP(D1187,Listas!$A$2:$B$20,2,FALSE()),999)</f>
        <v>1</v>
      </c>
      <c r="H1187" s="9" t="str">
        <f t="shared" ca="1" si="18"/>
        <v>Sin fecha</v>
      </c>
      <c r="J1187" s="11">
        <v>60</v>
      </c>
      <c r="K1187" s="11">
        <v>60</v>
      </c>
      <c r="L1187" s="12">
        <v>43092</v>
      </c>
      <c r="M1187" t="s">
        <v>36</v>
      </c>
    </row>
    <row r="1188" spans="1:13" ht="75">
      <c r="A1188" s="6" t="s">
        <v>2121</v>
      </c>
      <c r="B1188" s="7" t="s">
        <v>1412</v>
      </c>
      <c r="C1188" s="7" t="s">
        <v>2120</v>
      </c>
      <c r="D1188" s="6" t="s">
        <v>18</v>
      </c>
      <c r="E1188" s="7" t="s">
        <v>1485</v>
      </c>
      <c r="F1188" s="13"/>
      <c r="G1188" s="9">
        <f>IFERROR(VLOOKUP(D1188,Listas!$A$2:$B$20,2,FALSE()),999)</f>
        <v>1</v>
      </c>
      <c r="H1188" s="9" t="str">
        <f t="shared" ca="1" si="18"/>
        <v>Sin fecha</v>
      </c>
      <c r="J1188" s="11">
        <v>60</v>
      </c>
      <c r="K1188" s="11">
        <v>60</v>
      </c>
      <c r="L1188" s="12">
        <v>43092</v>
      </c>
      <c r="M1188" t="s">
        <v>36</v>
      </c>
    </row>
    <row r="1189" spans="1:13" ht="75">
      <c r="A1189" s="6" t="s">
        <v>2122</v>
      </c>
      <c r="B1189" s="7" t="s">
        <v>1412</v>
      </c>
      <c r="C1189" s="7" t="s">
        <v>2123</v>
      </c>
      <c r="D1189" s="6" t="s">
        <v>18</v>
      </c>
      <c r="E1189" s="7" t="s">
        <v>1485</v>
      </c>
      <c r="F1189" s="13"/>
      <c r="G1189" s="9">
        <f>IFERROR(VLOOKUP(D1189,Listas!$A$2:$B$20,2,FALSE()),999)</f>
        <v>1</v>
      </c>
      <c r="H1189" s="9" t="str">
        <f t="shared" ca="1" si="18"/>
        <v>Sin fecha</v>
      </c>
      <c r="J1189" s="11">
        <v>60</v>
      </c>
      <c r="K1189" s="11">
        <v>60</v>
      </c>
      <c r="L1189" s="12">
        <v>43092</v>
      </c>
      <c r="M1189" t="s">
        <v>36</v>
      </c>
    </row>
    <row r="1190" spans="1:13" ht="75">
      <c r="A1190" s="6" t="s">
        <v>2124</v>
      </c>
      <c r="B1190" s="7" t="s">
        <v>1490</v>
      </c>
      <c r="C1190" s="7" t="s">
        <v>2125</v>
      </c>
      <c r="D1190" s="6" t="s">
        <v>1467</v>
      </c>
      <c r="E1190" s="7" t="s">
        <v>1936</v>
      </c>
      <c r="F1190" s="13"/>
      <c r="G1190" s="9">
        <f>IFERROR(VLOOKUP(D1190,Listas!$A$2:$B$20,2,FALSE()),999)</f>
        <v>2</v>
      </c>
      <c r="H1190" s="9" t="str">
        <f t="shared" ca="1" si="18"/>
        <v>Sin fecha</v>
      </c>
      <c r="J1190" s="11">
        <v>60</v>
      </c>
      <c r="K1190" s="11">
        <v>60</v>
      </c>
      <c r="L1190" s="12">
        <v>43111</v>
      </c>
      <c r="M1190" t="s">
        <v>36</v>
      </c>
    </row>
    <row r="1191" spans="1:13" ht="150">
      <c r="A1191" s="6" t="s">
        <v>2126</v>
      </c>
      <c r="B1191" s="7" t="s">
        <v>1511</v>
      </c>
      <c r="C1191" s="7" t="s">
        <v>2127</v>
      </c>
      <c r="D1191" s="6" t="s">
        <v>1467</v>
      </c>
      <c r="E1191" s="7" t="s">
        <v>1513</v>
      </c>
      <c r="F1191" s="13"/>
      <c r="G1191" s="9">
        <f>IFERROR(VLOOKUP(D1191,Listas!$A$2:$B$20,2,FALSE()),999)</f>
        <v>2</v>
      </c>
      <c r="H1191" s="9" t="str">
        <f t="shared" ca="1" si="18"/>
        <v>Sin fecha</v>
      </c>
      <c r="J1191" s="11">
        <v>60</v>
      </c>
      <c r="K1191" s="11">
        <v>60</v>
      </c>
      <c r="L1191" s="12">
        <v>43112</v>
      </c>
      <c r="M1191" t="s">
        <v>36</v>
      </c>
    </row>
    <row r="1192" spans="1:13" ht="45">
      <c r="A1192" s="6" t="s">
        <v>2128</v>
      </c>
      <c r="B1192" s="7" t="s">
        <v>1511</v>
      </c>
      <c r="C1192" s="7" t="s">
        <v>2129</v>
      </c>
      <c r="D1192" s="6" t="s">
        <v>1467</v>
      </c>
      <c r="E1192" s="7" t="s">
        <v>1468</v>
      </c>
      <c r="F1192" s="13"/>
      <c r="G1192" s="9">
        <f>IFERROR(VLOOKUP(D1192,Listas!$A$2:$B$20,2,FALSE()),999)</f>
        <v>2</v>
      </c>
      <c r="H1192" s="9" t="str">
        <f t="shared" ca="1" si="18"/>
        <v>Sin fecha</v>
      </c>
      <c r="J1192" s="11">
        <v>60</v>
      </c>
      <c r="K1192" s="11">
        <v>60</v>
      </c>
      <c r="L1192" s="12">
        <v>43112</v>
      </c>
      <c r="M1192" t="s">
        <v>36</v>
      </c>
    </row>
    <row r="1193" spans="1:13" ht="30">
      <c r="A1193" s="6" t="s">
        <v>2130</v>
      </c>
      <c r="B1193" s="7" t="s">
        <v>1412</v>
      </c>
      <c r="C1193" s="7" t="s">
        <v>771</v>
      </c>
      <c r="D1193" s="6" t="s">
        <v>1467</v>
      </c>
      <c r="E1193" s="7" t="s">
        <v>1468</v>
      </c>
      <c r="F1193" s="13"/>
      <c r="G1193" s="9">
        <f>IFERROR(VLOOKUP(D1193,Listas!$A$2:$B$20,2,FALSE()),999)</f>
        <v>2</v>
      </c>
      <c r="H1193" s="9" t="str">
        <f t="shared" ca="1" si="18"/>
        <v>Sin fecha</v>
      </c>
      <c r="J1193" s="11">
        <v>60</v>
      </c>
      <c r="K1193" s="11">
        <v>60</v>
      </c>
      <c r="L1193" s="12">
        <v>43112</v>
      </c>
      <c r="M1193" t="s">
        <v>36</v>
      </c>
    </row>
    <row r="1194" spans="1:13" ht="30">
      <c r="A1194" s="6" t="s">
        <v>2131</v>
      </c>
      <c r="B1194" s="7" t="s">
        <v>1412</v>
      </c>
      <c r="C1194" s="7" t="s">
        <v>771</v>
      </c>
      <c r="D1194" s="6" t="s">
        <v>1467</v>
      </c>
      <c r="E1194" s="7" t="s">
        <v>1567</v>
      </c>
      <c r="F1194" s="13"/>
      <c r="G1194" s="9">
        <f>IFERROR(VLOOKUP(D1194,Listas!$A$2:$B$20,2,FALSE()),999)</f>
        <v>2</v>
      </c>
      <c r="H1194" s="9" t="str">
        <f t="shared" ca="1" si="18"/>
        <v>Sin fecha</v>
      </c>
      <c r="J1194" s="11">
        <v>60</v>
      </c>
      <c r="K1194" s="11">
        <v>60</v>
      </c>
      <c r="L1194" s="12">
        <v>43112</v>
      </c>
      <c r="M1194" t="s">
        <v>36</v>
      </c>
    </row>
    <row r="1195" spans="1:13" ht="30">
      <c r="A1195" s="6" t="s">
        <v>2132</v>
      </c>
      <c r="B1195" s="7" t="s">
        <v>1412</v>
      </c>
      <c r="C1195" s="7" t="s">
        <v>771</v>
      </c>
      <c r="D1195" s="6" t="s">
        <v>18</v>
      </c>
      <c r="E1195" s="7" t="s">
        <v>1521</v>
      </c>
      <c r="F1195" s="13"/>
      <c r="G1195" s="9">
        <f>IFERROR(VLOOKUP(D1195,Listas!$A$2:$B$20,2,FALSE()),999)</f>
        <v>1</v>
      </c>
      <c r="H1195" s="9" t="str">
        <f t="shared" ca="1" si="18"/>
        <v>Sin fecha</v>
      </c>
      <c r="J1195" s="11">
        <v>60</v>
      </c>
      <c r="K1195" s="11">
        <v>60</v>
      </c>
      <c r="L1195" s="12">
        <v>43112</v>
      </c>
      <c r="M1195" t="s">
        <v>36</v>
      </c>
    </row>
    <row r="1196" spans="1:13" ht="45">
      <c r="A1196" s="6" t="s">
        <v>2133</v>
      </c>
      <c r="B1196" s="7" t="s">
        <v>1490</v>
      </c>
      <c r="C1196" s="7" t="s">
        <v>2134</v>
      </c>
      <c r="D1196" s="6" t="s">
        <v>18</v>
      </c>
      <c r="E1196" s="7" t="s">
        <v>1835</v>
      </c>
      <c r="F1196" s="13"/>
      <c r="G1196" s="9">
        <f>IFERROR(VLOOKUP(D1196,Listas!$A$2:$B$20,2,FALSE()),999)</f>
        <v>1</v>
      </c>
      <c r="H1196" s="9" t="str">
        <f t="shared" ca="1" si="18"/>
        <v>Sin fecha</v>
      </c>
      <c r="J1196" s="11">
        <v>60</v>
      </c>
      <c r="K1196" s="11">
        <v>60</v>
      </c>
      <c r="L1196" s="12">
        <v>43121</v>
      </c>
      <c r="M1196" t="s">
        <v>36</v>
      </c>
    </row>
    <row r="1197" spans="1:13" ht="135">
      <c r="A1197" s="6" t="s">
        <v>2135</v>
      </c>
      <c r="B1197" s="7" t="s">
        <v>1412</v>
      </c>
      <c r="C1197" s="7" t="s">
        <v>2136</v>
      </c>
      <c r="D1197" s="6" t="s">
        <v>1467</v>
      </c>
      <c r="E1197" s="7" t="s">
        <v>1567</v>
      </c>
      <c r="F1197" s="13"/>
      <c r="G1197" s="9">
        <f>IFERROR(VLOOKUP(D1197,Listas!$A$2:$B$20,2,FALSE()),999)</f>
        <v>2</v>
      </c>
      <c r="H1197" s="9" t="str">
        <f t="shared" ca="1" si="18"/>
        <v>Sin fecha</v>
      </c>
      <c r="J1197" s="11">
        <v>60</v>
      </c>
      <c r="K1197" s="11">
        <v>60</v>
      </c>
      <c r="L1197" s="12">
        <v>43122</v>
      </c>
      <c r="M1197" t="s">
        <v>36</v>
      </c>
    </row>
    <row r="1198" spans="1:13" ht="180">
      <c r="A1198" s="6" t="s">
        <v>2137</v>
      </c>
      <c r="B1198" s="7" t="s">
        <v>1412</v>
      </c>
      <c r="C1198" s="7" t="s">
        <v>2138</v>
      </c>
      <c r="D1198" s="6" t="s">
        <v>1467</v>
      </c>
      <c r="E1198" s="7" t="s">
        <v>1513</v>
      </c>
      <c r="F1198" s="13"/>
      <c r="G1198" s="9">
        <f>IFERROR(VLOOKUP(D1198,Listas!$A$2:$B$20,2,FALSE()),999)</f>
        <v>2</v>
      </c>
      <c r="H1198" s="9" t="str">
        <f t="shared" ca="1" si="18"/>
        <v>Sin fecha</v>
      </c>
      <c r="J1198" s="11">
        <v>60</v>
      </c>
      <c r="K1198" s="11">
        <v>60</v>
      </c>
      <c r="L1198" s="12">
        <v>43122</v>
      </c>
      <c r="M1198" t="s">
        <v>36</v>
      </c>
    </row>
    <row r="1199" spans="1:13" ht="45">
      <c r="A1199" s="6" t="s">
        <v>2139</v>
      </c>
      <c r="B1199" s="7" t="s">
        <v>1412</v>
      </c>
      <c r="C1199" s="7" t="s">
        <v>2140</v>
      </c>
      <c r="D1199" s="6" t="s">
        <v>1467</v>
      </c>
      <c r="E1199" s="7" t="s">
        <v>1583</v>
      </c>
      <c r="F1199" s="13"/>
      <c r="G1199" s="9">
        <f>IFERROR(VLOOKUP(D1199,Listas!$A$2:$B$20,2,FALSE()),999)</f>
        <v>2</v>
      </c>
      <c r="H1199" s="9" t="str">
        <f t="shared" ca="1" si="18"/>
        <v>Sin fecha</v>
      </c>
      <c r="J1199" s="11">
        <v>60</v>
      </c>
      <c r="K1199" s="11">
        <v>60</v>
      </c>
      <c r="L1199" s="12">
        <v>43122</v>
      </c>
      <c r="M1199" t="s">
        <v>36</v>
      </c>
    </row>
    <row r="1200" spans="1:13" ht="45">
      <c r="A1200" s="6" t="s">
        <v>2141</v>
      </c>
      <c r="B1200" s="7" t="s">
        <v>1511</v>
      </c>
      <c r="C1200" s="7" t="s">
        <v>2142</v>
      </c>
      <c r="D1200" s="6" t="s">
        <v>1467</v>
      </c>
      <c r="E1200" s="7" t="s">
        <v>1513</v>
      </c>
      <c r="F1200" s="13"/>
      <c r="G1200" s="9">
        <f>IFERROR(VLOOKUP(D1200,Listas!$A$2:$B$20,2,FALSE()),999)</f>
        <v>2</v>
      </c>
      <c r="H1200" s="9" t="str">
        <f t="shared" ca="1" si="18"/>
        <v>Sin fecha</v>
      </c>
      <c r="J1200" s="11">
        <v>60</v>
      </c>
      <c r="K1200" s="11">
        <v>60</v>
      </c>
      <c r="L1200" s="12">
        <v>43122</v>
      </c>
      <c r="M1200" t="s">
        <v>36</v>
      </c>
    </row>
    <row r="1201" spans="1:13" ht="225">
      <c r="A1201" s="6" t="s">
        <v>2143</v>
      </c>
      <c r="B1201" s="7" t="s">
        <v>1412</v>
      </c>
      <c r="C1201" s="7" t="s">
        <v>2144</v>
      </c>
      <c r="D1201" s="6" t="s">
        <v>18</v>
      </c>
      <c r="E1201" s="7" t="s">
        <v>2145</v>
      </c>
      <c r="F1201" s="13"/>
      <c r="G1201" s="9">
        <f>IFERROR(VLOOKUP(D1201,Listas!$A$2:$B$20,2,FALSE()),999)</f>
        <v>1</v>
      </c>
      <c r="H1201" s="9" t="str">
        <f t="shared" ca="1" si="18"/>
        <v>Sin fecha</v>
      </c>
      <c r="J1201" s="11">
        <v>60</v>
      </c>
      <c r="K1201" s="11">
        <v>60</v>
      </c>
      <c r="L1201" s="12">
        <v>43121</v>
      </c>
      <c r="M1201" t="s">
        <v>36</v>
      </c>
    </row>
    <row r="1202" spans="1:13" ht="225">
      <c r="A1202" s="6" t="s">
        <v>2146</v>
      </c>
      <c r="B1202" s="7" t="s">
        <v>1511</v>
      </c>
      <c r="C1202" s="7" t="s">
        <v>2147</v>
      </c>
      <c r="D1202" s="6" t="s">
        <v>18</v>
      </c>
      <c r="E1202" s="7" t="s">
        <v>1513</v>
      </c>
      <c r="F1202" s="13"/>
      <c r="G1202" s="9">
        <f>IFERROR(VLOOKUP(D1202,Listas!$A$2:$B$20,2,FALSE()),999)</f>
        <v>1</v>
      </c>
      <c r="H1202" s="9" t="str">
        <f t="shared" ca="1" si="18"/>
        <v>Sin fecha</v>
      </c>
      <c r="J1202" s="11">
        <v>60</v>
      </c>
      <c r="K1202" s="11">
        <v>60</v>
      </c>
      <c r="L1202" s="12">
        <v>43102</v>
      </c>
      <c r="M1202" t="s">
        <v>36</v>
      </c>
    </row>
    <row r="1203" spans="1:13" ht="75">
      <c r="A1203" s="6" t="s">
        <v>2148</v>
      </c>
      <c r="B1203" s="7" t="s">
        <v>1490</v>
      </c>
      <c r="C1203" s="7" t="s">
        <v>2149</v>
      </c>
      <c r="D1203" s="6" t="s">
        <v>1467</v>
      </c>
      <c r="E1203" s="7" t="s">
        <v>1936</v>
      </c>
      <c r="F1203" s="13"/>
      <c r="G1203" s="9">
        <f>IFERROR(VLOOKUP(D1203,Listas!$A$2:$B$20,2,FALSE()),999)</f>
        <v>2</v>
      </c>
      <c r="H1203" s="9" t="str">
        <f t="shared" ca="1" si="18"/>
        <v>Sin fecha</v>
      </c>
      <c r="J1203" s="11">
        <v>60</v>
      </c>
      <c r="K1203" s="11">
        <v>60</v>
      </c>
      <c r="L1203" s="12">
        <v>43212</v>
      </c>
      <c r="M1203" t="s">
        <v>36</v>
      </c>
    </row>
    <row r="1204" spans="1:13" ht="75">
      <c r="A1204" s="6" t="s">
        <v>2150</v>
      </c>
      <c r="B1204" s="7" t="s">
        <v>1490</v>
      </c>
      <c r="C1204" s="7" t="s">
        <v>2149</v>
      </c>
      <c r="D1204" s="6" t="s">
        <v>1467</v>
      </c>
      <c r="E1204" s="7" t="s">
        <v>1936</v>
      </c>
      <c r="F1204" s="13"/>
      <c r="G1204" s="9">
        <f>IFERROR(VLOOKUP(D1204,Listas!$A$2:$B$20,2,FALSE()),999)</f>
        <v>2</v>
      </c>
      <c r="H1204" s="9" t="str">
        <f t="shared" ca="1" si="18"/>
        <v>Sin fecha</v>
      </c>
      <c r="J1204" s="11">
        <v>60</v>
      </c>
      <c r="K1204" s="11">
        <v>60</v>
      </c>
      <c r="L1204" s="12">
        <v>43212</v>
      </c>
      <c r="M1204" t="s">
        <v>36</v>
      </c>
    </row>
    <row r="1205" spans="1:13" ht="45">
      <c r="A1205" s="6" t="s">
        <v>2151</v>
      </c>
      <c r="B1205" s="7" t="s">
        <v>1412</v>
      </c>
      <c r="C1205" s="7" t="s">
        <v>2152</v>
      </c>
      <c r="D1205" s="6" t="s">
        <v>18</v>
      </c>
      <c r="E1205" s="7" t="s">
        <v>1841</v>
      </c>
      <c r="F1205" s="13"/>
      <c r="G1205" s="9">
        <f>IFERROR(VLOOKUP(D1205,Listas!$A$2:$B$20,2,FALSE()),999)</f>
        <v>1</v>
      </c>
      <c r="H1205" s="9" t="str">
        <f t="shared" ca="1" si="18"/>
        <v>Sin fecha</v>
      </c>
      <c r="J1205" s="11">
        <v>60</v>
      </c>
      <c r="K1205" s="11">
        <v>60</v>
      </c>
      <c r="L1205" s="12">
        <v>43229</v>
      </c>
      <c r="M1205" t="s">
        <v>36</v>
      </c>
    </row>
    <row r="1206" spans="1:13" ht="75">
      <c r="A1206" s="6" t="s">
        <v>2153</v>
      </c>
      <c r="B1206" s="7" t="s">
        <v>1412</v>
      </c>
      <c r="C1206" s="7" t="s">
        <v>2154</v>
      </c>
      <c r="D1206" s="6" t="s">
        <v>18</v>
      </c>
      <c r="E1206" s="7" t="s">
        <v>1886</v>
      </c>
      <c r="F1206" s="13"/>
      <c r="G1206" s="9">
        <f>IFERROR(VLOOKUP(D1206,Listas!$A$2:$B$20,2,FALSE()),999)</f>
        <v>1</v>
      </c>
      <c r="H1206" s="9" t="str">
        <f t="shared" ca="1" si="18"/>
        <v>Sin fecha</v>
      </c>
      <c r="J1206" s="11">
        <v>60</v>
      </c>
      <c r="K1206" s="11">
        <v>60</v>
      </c>
      <c r="L1206" s="12">
        <v>43244</v>
      </c>
      <c r="M1206" t="s">
        <v>36</v>
      </c>
    </row>
    <row r="1207" spans="1:13" ht="165">
      <c r="A1207" s="6" t="s">
        <v>2155</v>
      </c>
      <c r="B1207" s="7" t="s">
        <v>1511</v>
      </c>
      <c r="C1207" s="7" t="s">
        <v>2156</v>
      </c>
      <c r="D1207" s="6" t="s">
        <v>1467</v>
      </c>
      <c r="E1207" s="7" t="s">
        <v>1513</v>
      </c>
      <c r="F1207" s="13"/>
      <c r="G1207" s="9">
        <f>IFERROR(VLOOKUP(D1207,Listas!$A$2:$B$20,2,FALSE()),999)</f>
        <v>2</v>
      </c>
      <c r="H1207" s="9" t="str">
        <f t="shared" ca="1" si="18"/>
        <v>Sin fecha</v>
      </c>
      <c r="J1207" s="11">
        <v>60</v>
      </c>
      <c r="K1207" s="11">
        <v>60</v>
      </c>
      <c r="L1207" s="12">
        <v>43245</v>
      </c>
      <c r="M1207" t="s">
        <v>36</v>
      </c>
    </row>
    <row r="1208" spans="1:13" ht="60">
      <c r="A1208" s="6" t="s">
        <v>2157</v>
      </c>
      <c r="B1208" s="7" t="s">
        <v>1511</v>
      </c>
      <c r="C1208" s="7" t="s">
        <v>2158</v>
      </c>
      <c r="D1208" s="6" t="s">
        <v>1467</v>
      </c>
      <c r="E1208" s="7" t="s">
        <v>1513</v>
      </c>
      <c r="F1208" s="13"/>
      <c r="G1208" s="9">
        <f>IFERROR(VLOOKUP(D1208,Listas!$A$2:$B$20,2,FALSE()),999)</f>
        <v>2</v>
      </c>
      <c r="H1208" s="9" t="str">
        <f t="shared" ca="1" si="18"/>
        <v>Sin fecha</v>
      </c>
      <c r="J1208" s="11">
        <v>60</v>
      </c>
      <c r="K1208" s="11">
        <v>60</v>
      </c>
      <c r="L1208" s="12">
        <v>43273</v>
      </c>
      <c r="M1208" t="s">
        <v>36</v>
      </c>
    </row>
    <row r="1209" spans="1:13" ht="60">
      <c r="A1209" s="6" t="s">
        <v>2159</v>
      </c>
      <c r="B1209" s="7" t="s">
        <v>1511</v>
      </c>
      <c r="C1209" s="7" t="s">
        <v>2158</v>
      </c>
      <c r="D1209" s="6" t="s">
        <v>18</v>
      </c>
      <c r="E1209" s="7" t="s">
        <v>2004</v>
      </c>
      <c r="F1209" s="13"/>
      <c r="G1209" s="9">
        <f>IFERROR(VLOOKUP(D1209,Listas!$A$2:$B$20,2,FALSE()),999)</f>
        <v>1</v>
      </c>
      <c r="H1209" s="9" t="str">
        <f t="shared" ca="1" si="18"/>
        <v>Sin fecha</v>
      </c>
      <c r="J1209" s="11">
        <v>60</v>
      </c>
      <c r="K1209" s="11">
        <v>60</v>
      </c>
      <c r="L1209" s="12">
        <v>43273</v>
      </c>
      <c r="M1209" t="s">
        <v>36</v>
      </c>
    </row>
    <row r="1210" spans="1:13" ht="60">
      <c r="A1210" s="6" t="s">
        <v>2160</v>
      </c>
      <c r="B1210" s="7" t="s">
        <v>1412</v>
      </c>
      <c r="C1210" s="7" t="s">
        <v>2161</v>
      </c>
      <c r="D1210" s="6" t="s">
        <v>1467</v>
      </c>
      <c r="E1210" s="7" t="s">
        <v>1513</v>
      </c>
      <c r="F1210" s="13"/>
      <c r="G1210" s="9">
        <f>IFERROR(VLOOKUP(D1210,Listas!$A$2:$B$20,2,FALSE()),999)</f>
        <v>2</v>
      </c>
      <c r="H1210" s="9" t="str">
        <f t="shared" ca="1" si="18"/>
        <v>Sin fecha</v>
      </c>
      <c r="J1210" s="11">
        <v>60</v>
      </c>
      <c r="K1210" s="11">
        <v>60</v>
      </c>
      <c r="L1210" s="12">
        <v>43299</v>
      </c>
      <c r="M1210" t="s">
        <v>36</v>
      </c>
    </row>
    <row r="1211" spans="1:13" ht="30">
      <c r="A1211" s="6" t="s">
        <v>2162</v>
      </c>
      <c r="B1211" s="7" t="s">
        <v>1412</v>
      </c>
      <c r="C1211" s="7" t="s">
        <v>2163</v>
      </c>
      <c r="D1211" s="6" t="s">
        <v>1467</v>
      </c>
      <c r="E1211" s="7" t="s">
        <v>1513</v>
      </c>
      <c r="F1211" s="13"/>
      <c r="G1211" s="9">
        <f>IFERROR(VLOOKUP(D1211,Listas!$A$2:$B$20,2,FALSE()),999)</f>
        <v>2</v>
      </c>
      <c r="H1211" s="9" t="str">
        <f t="shared" ca="1" si="18"/>
        <v>Sin fecha</v>
      </c>
      <c r="J1211" s="11">
        <v>60</v>
      </c>
      <c r="K1211" s="11">
        <v>60</v>
      </c>
      <c r="L1211" s="12">
        <v>43300</v>
      </c>
      <c r="M1211" t="s">
        <v>36</v>
      </c>
    </row>
    <row r="1212" spans="1:13" ht="30">
      <c r="A1212" s="6" t="s">
        <v>2164</v>
      </c>
      <c r="B1212" s="7" t="s">
        <v>1412</v>
      </c>
      <c r="C1212" s="7" t="s">
        <v>2163</v>
      </c>
      <c r="D1212" s="6" t="s">
        <v>18</v>
      </c>
      <c r="E1212" s="7" t="s">
        <v>2165</v>
      </c>
      <c r="F1212" s="13"/>
      <c r="G1212" s="9">
        <f>IFERROR(VLOOKUP(D1212,Listas!$A$2:$B$20,2,FALSE()),999)</f>
        <v>1</v>
      </c>
      <c r="H1212" s="9" t="str">
        <f t="shared" ca="1" si="18"/>
        <v>Sin fecha</v>
      </c>
      <c r="J1212" s="11">
        <v>60</v>
      </c>
      <c r="K1212" s="11">
        <v>60</v>
      </c>
      <c r="L1212" s="12">
        <v>43300</v>
      </c>
      <c r="M1212" t="s">
        <v>36</v>
      </c>
    </row>
    <row r="1213" spans="1:13" ht="150">
      <c r="A1213" s="6" t="s">
        <v>2166</v>
      </c>
      <c r="B1213" s="7" t="s">
        <v>1511</v>
      </c>
      <c r="C1213" s="7" t="s">
        <v>2167</v>
      </c>
      <c r="D1213" s="6" t="s">
        <v>18</v>
      </c>
      <c r="E1213" s="7" t="s">
        <v>2004</v>
      </c>
      <c r="F1213" s="13"/>
      <c r="G1213" s="9">
        <f>IFERROR(VLOOKUP(D1213,Listas!$A$2:$B$20,2,FALSE()),999)</f>
        <v>1</v>
      </c>
      <c r="H1213" s="9" t="str">
        <f t="shared" ca="1" si="18"/>
        <v>Sin fecha</v>
      </c>
      <c r="J1213" s="11">
        <v>60</v>
      </c>
      <c r="K1213" s="11">
        <v>60</v>
      </c>
      <c r="L1213" s="12">
        <v>43321</v>
      </c>
      <c r="M1213" t="s">
        <v>36</v>
      </c>
    </row>
    <row r="1214" spans="1:13" ht="120">
      <c r="A1214" s="6" t="s">
        <v>2168</v>
      </c>
      <c r="B1214" s="7" t="s">
        <v>1511</v>
      </c>
      <c r="C1214" s="7" t="s">
        <v>2169</v>
      </c>
      <c r="D1214" s="6" t="s">
        <v>18</v>
      </c>
      <c r="E1214" s="7" t="s">
        <v>1513</v>
      </c>
      <c r="F1214" s="13"/>
      <c r="G1214" s="9">
        <f>IFERROR(VLOOKUP(D1214,Listas!$A$2:$B$20,2,FALSE()),999)</f>
        <v>1</v>
      </c>
      <c r="H1214" s="9" t="str">
        <f t="shared" ca="1" si="18"/>
        <v>Sin fecha</v>
      </c>
      <c r="J1214" s="11">
        <v>60</v>
      </c>
      <c r="K1214" s="11">
        <v>60</v>
      </c>
      <c r="L1214" s="12">
        <v>43330</v>
      </c>
      <c r="M1214" t="s">
        <v>36</v>
      </c>
    </row>
    <row r="1215" spans="1:13" ht="75">
      <c r="A1215" s="6" t="s">
        <v>2170</v>
      </c>
      <c r="B1215" s="7" t="s">
        <v>1412</v>
      </c>
      <c r="C1215" s="7" t="s">
        <v>2171</v>
      </c>
      <c r="D1215" s="6" t="s">
        <v>1467</v>
      </c>
      <c r="E1215" s="7" t="s">
        <v>1886</v>
      </c>
      <c r="F1215" s="13"/>
      <c r="G1215" s="9">
        <f>IFERROR(VLOOKUP(D1215,Listas!$A$2:$B$20,2,FALSE()),999)</f>
        <v>2</v>
      </c>
      <c r="H1215" s="9" t="str">
        <f t="shared" ca="1" si="18"/>
        <v>Sin fecha</v>
      </c>
      <c r="J1215" s="11">
        <v>60</v>
      </c>
      <c r="K1215" s="11">
        <v>60</v>
      </c>
      <c r="L1215" s="12">
        <v>43336</v>
      </c>
      <c r="M1215" t="s">
        <v>36</v>
      </c>
    </row>
    <row r="1216" spans="1:13" ht="75">
      <c r="A1216" s="6" t="s">
        <v>2172</v>
      </c>
      <c r="B1216" s="7" t="s">
        <v>1412</v>
      </c>
      <c r="C1216" s="7" t="s">
        <v>2171</v>
      </c>
      <c r="D1216" s="6" t="s">
        <v>18</v>
      </c>
      <c r="E1216" s="7" t="s">
        <v>1917</v>
      </c>
      <c r="F1216" s="13"/>
      <c r="G1216" s="9">
        <f>IFERROR(VLOOKUP(D1216,Listas!$A$2:$B$20,2,FALSE()),999)</f>
        <v>1</v>
      </c>
      <c r="H1216" s="9" t="str">
        <f t="shared" ca="1" si="18"/>
        <v>Sin fecha</v>
      </c>
      <c r="J1216" s="11">
        <v>60</v>
      </c>
      <c r="K1216" s="11">
        <v>60</v>
      </c>
      <c r="L1216" s="12">
        <v>43336</v>
      </c>
      <c r="M1216" t="s">
        <v>36</v>
      </c>
    </row>
    <row r="1217" spans="1:13" ht="75">
      <c r="A1217" s="6" t="s">
        <v>2173</v>
      </c>
      <c r="B1217" s="7" t="s">
        <v>1412</v>
      </c>
      <c r="C1217" s="7" t="s">
        <v>2171</v>
      </c>
      <c r="D1217" s="6" t="s">
        <v>18</v>
      </c>
      <c r="E1217" s="7" t="s">
        <v>1701</v>
      </c>
      <c r="F1217" s="13"/>
      <c r="G1217" s="9">
        <f>IFERROR(VLOOKUP(D1217,Listas!$A$2:$B$20,2,FALSE()),999)</f>
        <v>1</v>
      </c>
      <c r="H1217" s="9" t="str">
        <f t="shared" ca="1" si="18"/>
        <v>Sin fecha</v>
      </c>
      <c r="J1217" s="11">
        <v>60</v>
      </c>
      <c r="K1217" s="11">
        <v>60</v>
      </c>
      <c r="L1217" s="12">
        <v>43336</v>
      </c>
      <c r="M1217" t="s">
        <v>36</v>
      </c>
    </row>
    <row r="1218" spans="1:13" ht="75">
      <c r="A1218" s="6" t="s">
        <v>2174</v>
      </c>
      <c r="B1218" s="7" t="s">
        <v>1412</v>
      </c>
      <c r="C1218" s="7" t="s">
        <v>2171</v>
      </c>
      <c r="D1218" s="6" t="s">
        <v>18</v>
      </c>
      <c r="E1218" s="7" t="s">
        <v>1795</v>
      </c>
      <c r="F1218" s="13"/>
      <c r="G1218" s="9">
        <f>IFERROR(VLOOKUP(D1218,Listas!$A$2:$B$20,2,FALSE()),999)</f>
        <v>1</v>
      </c>
      <c r="H1218" s="9" t="str">
        <f t="shared" ca="1" si="18"/>
        <v>Sin fecha</v>
      </c>
      <c r="J1218" s="11">
        <v>60</v>
      </c>
      <c r="K1218" s="11">
        <v>60</v>
      </c>
      <c r="L1218" s="12">
        <v>43336</v>
      </c>
      <c r="M1218" t="s">
        <v>36</v>
      </c>
    </row>
    <row r="1219" spans="1:13" ht="75">
      <c r="A1219" s="6" t="s">
        <v>2175</v>
      </c>
      <c r="B1219" s="7" t="s">
        <v>1412</v>
      </c>
      <c r="C1219" s="7" t="s">
        <v>2171</v>
      </c>
      <c r="D1219" s="6" t="s">
        <v>18</v>
      </c>
      <c r="E1219" s="7" t="s">
        <v>2176</v>
      </c>
      <c r="F1219" s="13"/>
      <c r="G1219" s="9">
        <f>IFERROR(VLOOKUP(D1219,Listas!$A$2:$B$20,2,FALSE()),999)</f>
        <v>1</v>
      </c>
      <c r="H1219" s="9" t="str">
        <f t="shared" ca="1" si="18"/>
        <v>Sin fecha</v>
      </c>
      <c r="J1219" s="11">
        <v>60</v>
      </c>
      <c r="K1219" s="11">
        <v>60</v>
      </c>
      <c r="L1219" s="12">
        <v>43336</v>
      </c>
      <c r="M1219" t="s">
        <v>36</v>
      </c>
    </row>
    <row r="1220" spans="1:13" ht="120">
      <c r="A1220" s="6" t="s">
        <v>2177</v>
      </c>
      <c r="B1220" s="7" t="s">
        <v>1511</v>
      </c>
      <c r="C1220" s="7" t="s">
        <v>2178</v>
      </c>
      <c r="D1220" s="6" t="s">
        <v>18</v>
      </c>
      <c r="E1220" s="7" t="s">
        <v>1519</v>
      </c>
      <c r="F1220" s="13"/>
      <c r="G1220" s="9">
        <f>IFERROR(VLOOKUP(D1220,Listas!$A$2:$B$20,2,FALSE()),999)</f>
        <v>1</v>
      </c>
      <c r="H1220" s="9" t="str">
        <f t="shared" ca="1" si="18"/>
        <v>Sin fecha</v>
      </c>
      <c r="J1220" s="11">
        <v>60</v>
      </c>
      <c r="K1220" s="11">
        <v>60</v>
      </c>
      <c r="L1220" s="12">
        <v>43336</v>
      </c>
      <c r="M1220" t="s">
        <v>36</v>
      </c>
    </row>
    <row r="1221" spans="1:13" ht="45">
      <c r="A1221" s="6" t="s">
        <v>2179</v>
      </c>
      <c r="B1221" s="7" t="s">
        <v>1511</v>
      </c>
      <c r="C1221" s="7" t="s">
        <v>2180</v>
      </c>
      <c r="D1221" s="6" t="s">
        <v>1467</v>
      </c>
      <c r="E1221" s="7" t="s">
        <v>1513</v>
      </c>
      <c r="F1221" s="13"/>
      <c r="G1221" s="9">
        <f>IFERROR(VLOOKUP(D1221,Listas!$A$2:$B$20,2,FALSE()),999)</f>
        <v>2</v>
      </c>
      <c r="H1221" s="9" t="str">
        <f t="shared" ref="H1221:H1284" ca="1" si="19">IF(F1221="","Sin fecha",IF(TODAY()-F1221&gt;180,"Revisar",IF(TODAY()-F1221&gt;90,"Próximo","Vigente")))</f>
        <v>Sin fecha</v>
      </c>
      <c r="J1221" s="11">
        <v>60</v>
      </c>
      <c r="K1221" s="11">
        <v>60</v>
      </c>
      <c r="L1221" s="12">
        <v>43351</v>
      </c>
      <c r="M1221" t="s">
        <v>36</v>
      </c>
    </row>
    <row r="1222" spans="1:13" ht="45">
      <c r="A1222" s="6" t="s">
        <v>2181</v>
      </c>
      <c r="B1222" s="7" t="s">
        <v>1412</v>
      </c>
      <c r="C1222" s="7" t="s">
        <v>2182</v>
      </c>
      <c r="D1222" s="6" t="s">
        <v>18</v>
      </c>
      <c r="E1222" s="7" t="s">
        <v>1513</v>
      </c>
      <c r="F1222" s="13"/>
      <c r="G1222" s="9">
        <f>IFERROR(VLOOKUP(D1222,Listas!$A$2:$B$20,2,FALSE()),999)</f>
        <v>1</v>
      </c>
      <c r="H1222" s="9" t="str">
        <f t="shared" ca="1" si="19"/>
        <v>Sin fecha</v>
      </c>
      <c r="J1222" s="11">
        <v>60</v>
      </c>
      <c r="K1222" s="11">
        <v>60</v>
      </c>
      <c r="L1222" s="12">
        <v>43356</v>
      </c>
      <c r="M1222" t="s">
        <v>36</v>
      </c>
    </row>
    <row r="1223" spans="1:13" ht="135">
      <c r="A1223" s="6" t="s">
        <v>2183</v>
      </c>
      <c r="B1223" s="7" t="s">
        <v>1511</v>
      </c>
      <c r="C1223" s="7" t="s">
        <v>2184</v>
      </c>
      <c r="D1223" s="6" t="s">
        <v>1467</v>
      </c>
      <c r="E1223" s="7" t="s">
        <v>1513</v>
      </c>
      <c r="F1223" s="13"/>
      <c r="G1223" s="9">
        <f>IFERROR(VLOOKUP(D1223,Listas!$A$2:$B$20,2,FALSE()),999)</f>
        <v>2</v>
      </c>
      <c r="H1223" s="9" t="str">
        <f t="shared" ca="1" si="19"/>
        <v>Sin fecha</v>
      </c>
      <c r="J1223" s="11">
        <v>60</v>
      </c>
      <c r="K1223" s="11">
        <v>60</v>
      </c>
      <c r="L1223" s="12">
        <v>43367</v>
      </c>
      <c r="M1223" t="s">
        <v>36</v>
      </c>
    </row>
    <row r="1224" spans="1:13" ht="135">
      <c r="A1224" s="6" t="s">
        <v>2185</v>
      </c>
      <c r="B1224" s="7" t="s">
        <v>1511</v>
      </c>
      <c r="C1224" s="7" t="s">
        <v>2184</v>
      </c>
      <c r="D1224" s="6" t="s">
        <v>18</v>
      </c>
      <c r="E1224" s="7" t="s">
        <v>1513</v>
      </c>
      <c r="F1224" s="13"/>
      <c r="G1224" s="9">
        <f>IFERROR(VLOOKUP(D1224,Listas!$A$2:$B$20,2,FALSE()),999)</f>
        <v>1</v>
      </c>
      <c r="H1224" s="9" t="str">
        <f t="shared" ca="1" si="19"/>
        <v>Sin fecha</v>
      </c>
      <c r="J1224" s="11">
        <v>60</v>
      </c>
      <c r="K1224" s="11">
        <v>60</v>
      </c>
      <c r="L1224" s="12">
        <v>43367</v>
      </c>
      <c r="M1224" t="s">
        <v>36</v>
      </c>
    </row>
    <row r="1225" spans="1:13" ht="45">
      <c r="A1225" s="6" t="s">
        <v>2186</v>
      </c>
      <c r="B1225" s="7" t="s">
        <v>1412</v>
      </c>
      <c r="C1225" s="7" t="s">
        <v>2182</v>
      </c>
      <c r="D1225" s="6" t="s">
        <v>1467</v>
      </c>
      <c r="E1225" s="7" t="s">
        <v>2187</v>
      </c>
      <c r="F1225" s="13"/>
      <c r="G1225" s="9">
        <f>IFERROR(VLOOKUP(D1225,Listas!$A$2:$B$20,2,FALSE()),999)</f>
        <v>2</v>
      </c>
      <c r="H1225" s="9" t="str">
        <f t="shared" ca="1" si="19"/>
        <v>Sin fecha</v>
      </c>
      <c r="J1225" s="11">
        <v>60</v>
      </c>
      <c r="K1225" s="11">
        <v>60</v>
      </c>
      <c r="L1225" s="12">
        <v>43367</v>
      </c>
      <c r="M1225" t="s">
        <v>36</v>
      </c>
    </row>
    <row r="1226" spans="1:13" ht="45">
      <c r="A1226" s="6" t="s">
        <v>2188</v>
      </c>
      <c r="B1226" s="7" t="s">
        <v>1412</v>
      </c>
      <c r="C1226" s="7" t="s">
        <v>2182</v>
      </c>
      <c r="D1226" s="6" t="s">
        <v>1467</v>
      </c>
      <c r="E1226" s="7" t="s">
        <v>1513</v>
      </c>
      <c r="F1226" s="13"/>
      <c r="G1226" s="9">
        <f>IFERROR(VLOOKUP(D1226,Listas!$A$2:$B$20,2,FALSE()),999)</f>
        <v>2</v>
      </c>
      <c r="H1226" s="9" t="str">
        <f t="shared" ca="1" si="19"/>
        <v>Sin fecha</v>
      </c>
      <c r="J1226" s="11">
        <v>60</v>
      </c>
      <c r="K1226" s="11">
        <v>60</v>
      </c>
      <c r="L1226" s="12">
        <v>43367</v>
      </c>
      <c r="M1226" t="s">
        <v>36</v>
      </c>
    </row>
    <row r="1227" spans="1:13" ht="45">
      <c r="A1227" s="6" t="s">
        <v>2189</v>
      </c>
      <c r="B1227" s="7" t="s">
        <v>1412</v>
      </c>
      <c r="C1227" s="7" t="s">
        <v>2182</v>
      </c>
      <c r="D1227" s="6" t="s">
        <v>1467</v>
      </c>
      <c r="E1227" s="7" t="s">
        <v>1513</v>
      </c>
      <c r="F1227" s="13"/>
      <c r="G1227" s="9">
        <f>IFERROR(VLOOKUP(D1227,Listas!$A$2:$B$20,2,FALSE()),999)</f>
        <v>2</v>
      </c>
      <c r="H1227" s="9" t="str">
        <f t="shared" ca="1" si="19"/>
        <v>Sin fecha</v>
      </c>
      <c r="J1227" s="11">
        <v>60</v>
      </c>
      <c r="K1227" s="11">
        <v>60</v>
      </c>
      <c r="L1227" s="12">
        <v>43367</v>
      </c>
      <c r="M1227" t="s">
        <v>36</v>
      </c>
    </row>
    <row r="1228" spans="1:13" ht="75">
      <c r="A1228" s="6" t="s">
        <v>2190</v>
      </c>
      <c r="B1228" s="7" t="s">
        <v>1412</v>
      </c>
      <c r="C1228" s="7" t="s">
        <v>2191</v>
      </c>
      <c r="D1228" s="6" t="s">
        <v>1467</v>
      </c>
      <c r="E1228" s="7" t="s">
        <v>1513</v>
      </c>
      <c r="F1228" s="13"/>
      <c r="G1228" s="9">
        <f>IFERROR(VLOOKUP(D1228,Listas!$A$2:$B$20,2,FALSE()),999)</f>
        <v>2</v>
      </c>
      <c r="H1228" s="9" t="str">
        <f t="shared" ca="1" si="19"/>
        <v>Sin fecha</v>
      </c>
      <c r="J1228" s="11">
        <v>60</v>
      </c>
      <c r="K1228" s="11">
        <v>60</v>
      </c>
      <c r="L1228" s="12">
        <v>43382</v>
      </c>
      <c r="M1228" t="s">
        <v>36</v>
      </c>
    </row>
    <row r="1229" spans="1:13" ht="75">
      <c r="A1229" s="6" t="s">
        <v>2192</v>
      </c>
      <c r="B1229" s="7" t="s">
        <v>1412</v>
      </c>
      <c r="C1229" s="7" t="s">
        <v>2191</v>
      </c>
      <c r="D1229" s="6" t="s">
        <v>18</v>
      </c>
      <c r="E1229" s="7" t="s">
        <v>1488</v>
      </c>
      <c r="F1229" s="13"/>
      <c r="G1229" s="9">
        <f>IFERROR(VLOOKUP(D1229,Listas!$A$2:$B$20,2,FALSE()),999)</f>
        <v>1</v>
      </c>
      <c r="H1229" s="9" t="str">
        <f t="shared" ca="1" si="19"/>
        <v>Sin fecha</v>
      </c>
      <c r="J1229" s="11">
        <v>60</v>
      </c>
      <c r="K1229" s="11">
        <v>60</v>
      </c>
      <c r="L1229" s="12">
        <v>43382</v>
      </c>
      <c r="M1229" t="s">
        <v>36</v>
      </c>
    </row>
    <row r="1230" spans="1:13" ht="60">
      <c r="A1230" s="6" t="s">
        <v>2193</v>
      </c>
      <c r="B1230" s="7" t="s">
        <v>1511</v>
      </c>
      <c r="C1230" s="7" t="s">
        <v>2194</v>
      </c>
      <c r="D1230" s="6" t="s">
        <v>1467</v>
      </c>
      <c r="E1230" s="7" t="s">
        <v>1513</v>
      </c>
      <c r="F1230" s="13"/>
      <c r="G1230" s="9">
        <f>IFERROR(VLOOKUP(D1230,Listas!$A$2:$B$20,2,FALSE()),999)</f>
        <v>2</v>
      </c>
      <c r="H1230" s="9" t="str">
        <f t="shared" ca="1" si="19"/>
        <v>Sin fecha</v>
      </c>
      <c r="J1230" s="11">
        <v>60</v>
      </c>
      <c r="K1230" s="11">
        <v>60</v>
      </c>
      <c r="L1230" s="12">
        <v>43382</v>
      </c>
      <c r="M1230" t="s">
        <v>36</v>
      </c>
    </row>
    <row r="1231" spans="1:13" ht="60">
      <c r="A1231" s="6" t="s">
        <v>2195</v>
      </c>
      <c r="B1231" s="7" t="s">
        <v>1511</v>
      </c>
      <c r="C1231" s="7" t="s">
        <v>2194</v>
      </c>
      <c r="D1231" s="6" t="s">
        <v>1467</v>
      </c>
      <c r="E1231" s="7" t="s">
        <v>1513</v>
      </c>
      <c r="F1231" s="13"/>
      <c r="G1231" s="9">
        <f>IFERROR(VLOOKUP(D1231,Listas!$A$2:$B$20,2,FALSE()),999)</f>
        <v>2</v>
      </c>
      <c r="H1231" s="9" t="str">
        <f t="shared" ca="1" si="19"/>
        <v>Sin fecha</v>
      </c>
      <c r="J1231" s="11">
        <v>60</v>
      </c>
      <c r="K1231" s="11">
        <v>60</v>
      </c>
      <c r="L1231" s="12">
        <v>43382</v>
      </c>
      <c r="M1231" t="s">
        <v>36</v>
      </c>
    </row>
    <row r="1232" spans="1:13" ht="105">
      <c r="A1232" s="6" t="s">
        <v>2196</v>
      </c>
      <c r="B1232" s="7" t="s">
        <v>1511</v>
      </c>
      <c r="C1232" s="7" t="s">
        <v>2197</v>
      </c>
      <c r="D1232" s="6" t="s">
        <v>1467</v>
      </c>
      <c r="E1232" s="7" t="s">
        <v>1513</v>
      </c>
      <c r="F1232" s="13"/>
      <c r="G1232" s="9">
        <f>IFERROR(VLOOKUP(D1232,Listas!$A$2:$B$20,2,FALSE()),999)</f>
        <v>2</v>
      </c>
      <c r="H1232" s="9" t="str">
        <f t="shared" ca="1" si="19"/>
        <v>Sin fecha</v>
      </c>
      <c r="J1232" s="11">
        <v>60</v>
      </c>
      <c r="K1232" s="11">
        <v>60</v>
      </c>
      <c r="L1232" s="12">
        <v>43389</v>
      </c>
      <c r="M1232" t="s">
        <v>36</v>
      </c>
    </row>
    <row r="1233" spans="1:13" ht="75">
      <c r="A1233" s="6" t="s">
        <v>2198</v>
      </c>
      <c r="B1233" s="7" t="s">
        <v>1412</v>
      </c>
      <c r="C1233" s="7" t="s">
        <v>2191</v>
      </c>
      <c r="D1233" s="6" t="s">
        <v>18</v>
      </c>
      <c r="E1233" s="7" t="s">
        <v>1474</v>
      </c>
      <c r="F1233" s="13"/>
      <c r="G1233" s="9">
        <f>IFERROR(VLOOKUP(D1233,Listas!$A$2:$B$20,2,FALSE()),999)</f>
        <v>1</v>
      </c>
      <c r="H1233" s="9" t="str">
        <f t="shared" ca="1" si="19"/>
        <v>Sin fecha</v>
      </c>
      <c r="J1233" s="11">
        <v>60</v>
      </c>
      <c r="K1233" s="11">
        <v>60</v>
      </c>
      <c r="L1233" s="12">
        <v>43389</v>
      </c>
      <c r="M1233" t="s">
        <v>36</v>
      </c>
    </row>
    <row r="1234" spans="1:13" ht="45">
      <c r="A1234" s="6" t="s">
        <v>2199</v>
      </c>
      <c r="B1234" s="7" t="s">
        <v>1511</v>
      </c>
      <c r="C1234" s="7" t="s">
        <v>2200</v>
      </c>
      <c r="D1234" s="6" t="s">
        <v>1467</v>
      </c>
      <c r="E1234" s="7" t="s">
        <v>1513</v>
      </c>
      <c r="F1234" s="13"/>
      <c r="G1234" s="9">
        <f>IFERROR(VLOOKUP(D1234,Listas!$A$2:$B$20,2,FALSE()),999)</f>
        <v>2</v>
      </c>
      <c r="H1234" s="9" t="str">
        <f t="shared" ca="1" si="19"/>
        <v>Sin fecha</v>
      </c>
      <c r="J1234" s="11">
        <v>60</v>
      </c>
      <c r="K1234" s="11">
        <v>60</v>
      </c>
      <c r="L1234" s="12">
        <v>43401</v>
      </c>
      <c r="M1234" t="s">
        <v>36</v>
      </c>
    </row>
    <row r="1235" spans="1:13" ht="45">
      <c r="A1235" s="6" t="s">
        <v>2201</v>
      </c>
      <c r="B1235" s="7" t="s">
        <v>1511</v>
      </c>
      <c r="C1235" s="7" t="s">
        <v>2200</v>
      </c>
      <c r="D1235" s="6" t="s">
        <v>18</v>
      </c>
      <c r="E1235" s="7" t="s">
        <v>1556</v>
      </c>
      <c r="F1235" s="13"/>
      <c r="G1235" s="9">
        <f>IFERROR(VLOOKUP(D1235,Listas!$A$2:$B$20,2,FALSE()),999)</f>
        <v>1</v>
      </c>
      <c r="H1235" s="9" t="str">
        <f t="shared" ca="1" si="19"/>
        <v>Sin fecha</v>
      </c>
      <c r="J1235" s="11">
        <v>60</v>
      </c>
      <c r="K1235" s="11">
        <v>60</v>
      </c>
      <c r="L1235" s="12">
        <v>43401</v>
      </c>
      <c r="M1235" t="s">
        <v>36</v>
      </c>
    </row>
    <row r="1236" spans="1:13" ht="45">
      <c r="A1236" s="6" t="s">
        <v>2202</v>
      </c>
      <c r="B1236" s="7" t="s">
        <v>1490</v>
      </c>
      <c r="C1236" s="7" t="s">
        <v>2203</v>
      </c>
      <c r="D1236" s="6" t="s">
        <v>1467</v>
      </c>
      <c r="E1236" s="7" t="s">
        <v>1513</v>
      </c>
      <c r="F1236" s="13"/>
      <c r="G1236" s="9">
        <f>IFERROR(VLOOKUP(D1236,Listas!$A$2:$B$20,2,FALSE()),999)</f>
        <v>2</v>
      </c>
      <c r="H1236" s="9" t="str">
        <f t="shared" ca="1" si="19"/>
        <v>Sin fecha</v>
      </c>
      <c r="J1236" s="11">
        <v>60</v>
      </c>
      <c r="K1236" s="11">
        <v>60</v>
      </c>
      <c r="L1236" s="12">
        <v>43399</v>
      </c>
      <c r="M1236" t="s">
        <v>36</v>
      </c>
    </row>
    <row r="1237" spans="1:13" ht="90">
      <c r="A1237" s="6" t="s">
        <v>2204</v>
      </c>
      <c r="B1237" s="7" t="s">
        <v>1490</v>
      </c>
      <c r="C1237" s="7" t="s">
        <v>2205</v>
      </c>
      <c r="D1237" s="6" t="s">
        <v>18</v>
      </c>
      <c r="E1237" s="7" t="s">
        <v>1521</v>
      </c>
      <c r="F1237" s="13"/>
      <c r="G1237" s="9">
        <f>IFERROR(VLOOKUP(D1237,Listas!$A$2:$B$20,2,FALSE()),999)</f>
        <v>1</v>
      </c>
      <c r="H1237" s="9" t="str">
        <f t="shared" ca="1" si="19"/>
        <v>Sin fecha</v>
      </c>
      <c r="J1237" s="11">
        <v>60</v>
      </c>
      <c r="K1237" s="11">
        <v>60</v>
      </c>
      <c r="L1237" s="12">
        <v>43399</v>
      </c>
      <c r="M1237" t="s">
        <v>36</v>
      </c>
    </row>
    <row r="1238" spans="1:13" ht="120">
      <c r="A1238" s="6" t="s">
        <v>2206</v>
      </c>
      <c r="B1238" s="7" t="s">
        <v>1511</v>
      </c>
      <c r="C1238" s="7" t="s">
        <v>2207</v>
      </c>
      <c r="D1238" s="6" t="s">
        <v>18</v>
      </c>
      <c r="E1238" s="7" t="s">
        <v>1603</v>
      </c>
      <c r="F1238" s="13"/>
      <c r="G1238" s="9">
        <f>IFERROR(VLOOKUP(D1238,Listas!$A$2:$B$20,2,FALSE()),999)</f>
        <v>1</v>
      </c>
      <c r="H1238" s="9" t="str">
        <f t="shared" ca="1" si="19"/>
        <v>Sin fecha</v>
      </c>
      <c r="J1238" s="11">
        <v>60</v>
      </c>
      <c r="K1238" s="11">
        <v>60</v>
      </c>
      <c r="L1238" s="12">
        <v>43407</v>
      </c>
      <c r="M1238" t="s">
        <v>36</v>
      </c>
    </row>
    <row r="1239" spans="1:13" ht="150">
      <c r="A1239" s="6" t="s">
        <v>2208</v>
      </c>
      <c r="B1239" s="7" t="s">
        <v>1412</v>
      </c>
      <c r="C1239" s="7" t="s">
        <v>2209</v>
      </c>
      <c r="D1239" s="6" t="s">
        <v>18</v>
      </c>
      <c r="E1239" s="7" t="s">
        <v>1488</v>
      </c>
      <c r="F1239" s="13"/>
      <c r="G1239" s="9">
        <f>IFERROR(VLOOKUP(D1239,Listas!$A$2:$B$20,2,FALSE()),999)</f>
        <v>1</v>
      </c>
      <c r="H1239" s="9" t="str">
        <f t="shared" ca="1" si="19"/>
        <v>Sin fecha</v>
      </c>
      <c r="J1239" s="11">
        <v>60</v>
      </c>
      <c r="K1239" s="11">
        <v>60</v>
      </c>
      <c r="L1239" s="12">
        <v>43407</v>
      </c>
      <c r="M1239" t="s">
        <v>36</v>
      </c>
    </row>
    <row r="1240" spans="1:13" ht="135">
      <c r="A1240" s="6" t="s">
        <v>2210</v>
      </c>
      <c r="B1240" s="7" t="s">
        <v>1412</v>
      </c>
      <c r="C1240" s="7" t="s">
        <v>2211</v>
      </c>
      <c r="D1240" s="6" t="s">
        <v>1467</v>
      </c>
      <c r="E1240" s="7" t="s">
        <v>1513</v>
      </c>
      <c r="F1240" s="13"/>
      <c r="G1240" s="9">
        <f>IFERROR(VLOOKUP(D1240,Listas!$A$2:$B$20,2,FALSE()),999)</f>
        <v>2</v>
      </c>
      <c r="H1240" s="9" t="str">
        <f t="shared" ca="1" si="19"/>
        <v>Sin fecha</v>
      </c>
      <c r="J1240" s="11">
        <v>60</v>
      </c>
      <c r="K1240" s="11">
        <v>60</v>
      </c>
      <c r="L1240" s="12">
        <v>43426</v>
      </c>
      <c r="M1240" t="s">
        <v>36</v>
      </c>
    </row>
    <row r="1241" spans="1:13" ht="45">
      <c r="A1241" s="6" t="s">
        <v>2212</v>
      </c>
      <c r="B1241" s="7" t="s">
        <v>1511</v>
      </c>
      <c r="C1241" s="7" t="s">
        <v>2213</v>
      </c>
      <c r="D1241" s="6" t="s">
        <v>18</v>
      </c>
      <c r="E1241" s="7" t="s">
        <v>2004</v>
      </c>
      <c r="F1241" s="13"/>
      <c r="G1241" s="9">
        <f>IFERROR(VLOOKUP(D1241,Listas!$A$2:$B$20,2,FALSE()),999)</f>
        <v>1</v>
      </c>
      <c r="H1241" s="9" t="str">
        <f t="shared" ca="1" si="19"/>
        <v>Sin fecha</v>
      </c>
      <c r="J1241" s="11">
        <v>60</v>
      </c>
      <c r="K1241" s="11">
        <v>60</v>
      </c>
      <c r="L1241" s="12">
        <v>43464</v>
      </c>
      <c r="M1241" t="s">
        <v>36</v>
      </c>
    </row>
    <row r="1242" spans="1:13" ht="45">
      <c r="A1242" s="6" t="s">
        <v>2214</v>
      </c>
      <c r="B1242" s="7" t="s">
        <v>1511</v>
      </c>
      <c r="C1242" s="7" t="s">
        <v>2215</v>
      </c>
      <c r="D1242" s="6" t="s">
        <v>1467</v>
      </c>
      <c r="E1242" s="7" t="s">
        <v>2216</v>
      </c>
      <c r="F1242" s="13"/>
      <c r="G1242" s="9">
        <f>IFERROR(VLOOKUP(D1242,Listas!$A$2:$B$20,2,FALSE()),999)</f>
        <v>2</v>
      </c>
      <c r="H1242" s="9" t="str">
        <f t="shared" ca="1" si="19"/>
        <v>Sin fecha</v>
      </c>
      <c r="J1242" s="11">
        <v>60</v>
      </c>
      <c r="K1242" s="11">
        <v>60</v>
      </c>
      <c r="L1242" s="12">
        <v>43464</v>
      </c>
      <c r="M1242" t="s">
        <v>36</v>
      </c>
    </row>
    <row r="1243" spans="1:13" ht="45">
      <c r="A1243" s="6" t="s">
        <v>2217</v>
      </c>
      <c r="B1243" s="7" t="s">
        <v>1511</v>
      </c>
      <c r="C1243" s="7" t="s">
        <v>2218</v>
      </c>
      <c r="D1243" s="6" t="s">
        <v>18</v>
      </c>
      <c r="E1243" s="7" t="s">
        <v>1920</v>
      </c>
      <c r="F1243" s="13"/>
      <c r="G1243" s="9">
        <f>IFERROR(VLOOKUP(D1243,Listas!$A$2:$B$20,2,FALSE()),999)</f>
        <v>1</v>
      </c>
      <c r="H1243" s="9" t="str">
        <f t="shared" ca="1" si="19"/>
        <v>Sin fecha</v>
      </c>
      <c r="J1243" s="11">
        <v>60</v>
      </c>
      <c r="K1243" s="11">
        <v>60</v>
      </c>
      <c r="L1243" s="12">
        <v>43464</v>
      </c>
      <c r="M1243" t="s">
        <v>36</v>
      </c>
    </row>
    <row r="1244" spans="1:13" ht="45">
      <c r="A1244" s="6" t="s">
        <v>2219</v>
      </c>
      <c r="B1244" s="7" t="s">
        <v>1511</v>
      </c>
      <c r="C1244" s="7" t="s">
        <v>2220</v>
      </c>
      <c r="D1244" s="6" t="s">
        <v>1467</v>
      </c>
      <c r="E1244" s="7" t="s">
        <v>2067</v>
      </c>
      <c r="F1244" s="13"/>
      <c r="G1244" s="9">
        <f>IFERROR(VLOOKUP(D1244,Listas!$A$2:$B$20,2,FALSE()),999)</f>
        <v>2</v>
      </c>
      <c r="H1244" s="9" t="str">
        <f t="shared" ca="1" si="19"/>
        <v>Sin fecha</v>
      </c>
      <c r="J1244" s="11">
        <v>60</v>
      </c>
      <c r="K1244" s="11">
        <v>60</v>
      </c>
      <c r="L1244" s="12">
        <v>43464</v>
      </c>
      <c r="M1244" t="s">
        <v>36</v>
      </c>
    </row>
    <row r="1245" spans="1:13" ht="45">
      <c r="A1245" s="6" t="s">
        <v>2221</v>
      </c>
      <c r="B1245" s="7" t="s">
        <v>1511</v>
      </c>
      <c r="C1245" s="7" t="s">
        <v>2222</v>
      </c>
      <c r="D1245" s="6" t="s">
        <v>18</v>
      </c>
      <c r="E1245" s="7" t="s">
        <v>2223</v>
      </c>
      <c r="F1245" s="13"/>
      <c r="G1245" s="9">
        <f>IFERROR(VLOOKUP(D1245,Listas!$A$2:$B$20,2,FALSE()),999)</f>
        <v>1</v>
      </c>
      <c r="H1245" s="9" t="str">
        <f t="shared" ca="1" si="19"/>
        <v>Sin fecha</v>
      </c>
      <c r="J1245" s="11">
        <v>60</v>
      </c>
      <c r="K1245" s="11">
        <v>60</v>
      </c>
      <c r="L1245" s="12">
        <v>43464</v>
      </c>
      <c r="M1245" t="s">
        <v>36</v>
      </c>
    </row>
    <row r="1246" spans="1:13" ht="45">
      <c r="A1246" s="6" t="s">
        <v>2224</v>
      </c>
      <c r="B1246" s="7" t="s">
        <v>1511</v>
      </c>
      <c r="C1246" s="7" t="s">
        <v>2225</v>
      </c>
      <c r="D1246" s="6" t="s">
        <v>1467</v>
      </c>
      <c r="E1246" s="7" t="s">
        <v>1513</v>
      </c>
      <c r="F1246" s="13"/>
      <c r="G1246" s="9">
        <f>IFERROR(VLOOKUP(D1246,Listas!$A$2:$B$20,2,FALSE()),999)</f>
        <v>2</v>
      </c>
      <c r="H1246" s="9" t="str">
        <f t="shared" ca="1" si="19"/>
        <v>Sin fecha</v>
      </c>
      <c r="J1246" s="11">
        <v>60</v>
      </c>
      <c r="K1246" s="11">
        <v>60</v>
      </c>
      <c r="L1246" s="12">
        <v>43464</v>
      </c>
      <c r="M1246" t="s">
        <v>36</v>
      </c>
    </row>
    <row r="1247" spans="1:13" ht="45">
      <c r="A1247" s="6" t="s">
        <v>2226</v>
      </c>
      <c r="B1247" s="7" t="s">
        <v>1511</v>
      </c>
      <c r="C1247" s="7" t="s">
        <v>2227</v>
      </c>
      <c r="D1247" s="6" t="s">
        <v>1467</v>
      </c>
      <c r="E1247" s="7" t="s">
        <v>1513</v>
      </c>
      <c r="F1247" s="13"/>
      <c r="G1247" s="9">
        <f>IFERROR(VLOOKUP(D1247,Listas!$A$2:$B$20,2,FALSE()),999)</f>
        <v>2</v>
      </c>
      <c r="H1247" s="9" t="str">
        <f t="shared" ca="1" si="19"/>
        <v>Sin fecha</v>
      </c>
      <c r="J1247" s="11">
        <v>60</v>
      </c>
      <c r="K1247" s="11">
        <v>60</v>
      </c>
      <c r="L1247" s="12">
        <v>43464</v>
      </c>
      <c r="M1247" t="s">
        <v>36</v>
      </c>
    </row>
    <row r="1248" spans="1:13" ht="45">
      <c r="A1248" s="6" t="s">
        <v>2228</v>
      </c>
      <c r="B1248" s="7" t="s">
        <v>1511</v>
      </c>
      <c r="C1248" s="7" t="s">
        <v>2229</v>
      </c>
      <c r="D1248" s="6" t="s">
        <v>1467</v>
      </c>
      <c r="E1248" s="7" t="s">
        <v>1513</v>
      </c>
      <c r="F1248" s="13"/>
      <c r="G1248" s="9">
        <f>IFERROR(VLOOKUP(D1248,Listas!$A$2:$B$20,2,FALSE()),999)</f>
        <v>2</v>
      </c>
      <c r="H1248" s="9" t="str">
        <f t="shared" ca="1" si="19"/>
        <v>Sin fecha</v>
      </c>
      <c r="J1248" s="11">
        <v>60</v>
      </c>
      <c r="K1248" s="11">
        <v>60</v>
      </c>
      <c r="L1248" s="12">
        <v>43464</v>
      </c>
      <c r="M1248" t="s">
        <v>36</v>
      </c>
    </row>
    <row r="1249" spans="1:13" ht="45">
      <c r="A1249" s="6" t="s">
        <v>2230</v>
      </c>
      <c r="B1249" s="7" t="s">
        <v>1511</v>
      </c>
      <c r="C1249" s="7" t="s">
        <v>2231</v>
      </c>
      <c r="D1249" s="6" t="s">
        <v>18</v>
      </c>
      <c r="E1249" s="7" t="s">
        <v>2223</v>
      </c>
      <c r="F1249" s="13"/>
      <c r="G1249" s="9">
        <f>IFERROR(VLOOKUP(D1249,Listas!$A$2:$B$20,2,FALSE()),999)</f>
        <v>1</v>
      </c>
      <c r="H1249" s="9" t="str">
        <f t="shared" ca="1" si="19"/>
        <v>Sin fecha</v>
      </c>
      <c r="J1249" s="11">
        <v>60</v>
      </c>
      <c r="K1249" s="11">
        <v>60</v>
      </c>
      <c r="L1249" s="12">
        <v>43464</v>
      </c>
      <c r="M1249" t="s">
        <v>36</v>
      </c>
    </row>
    <row r="1250" spans="1:13" ht="45">
      <c r="A1250" s="6" t="s">
        <v>2232</v>
      </c>
      <c r="B1250" s="7" t="s">
        <v>1511</v>
      </c>
      <c r="C1250" s="7" t="s">
        <v>2233</v>
      </c>
      <c r="D1250" s="6" t="s">
        <v>18</v>
      </c>
      <c r="E1250" s="7" t="s">
        <v>2223</v>
      </c>
      <c r="F1250" s="13"/>
      <c r="G1250" s="9">
        <f>IFERROR(VLOOKUP(D1250,Listas!$A$2:$B$20,2,FALSE()),999)</f>
        <v>1</v>
      </c>
      <c r="H1250" s="9" t="str">
        <f t="shared" ca="1" si="19"/>
        <v>Sin fecha</v>
      </c>
      <c r="J1250" s="11">
        <v>60</v>
      </c>
      <c r="K1250" s="11">
        <v>60</v>
      </c>
      <c r="L1250" s="12">
        <v>43464</v>
      </c>
      <c r="M1250" t="s">
        <v>36</v>
      </c>
    </row>
    <row r="1251" spans="1:13" ht="45">
      <c r="A1251" s="6" t="s">
        <v>2234</v>
      </c>
      <c r="B1251" s="7" t="s">
        <v>1511</v>
      </c>
      <c r="C1251" s="7" t="s">
        <v>2235</v>
      </c>
      <c r="D1251" s="6" t="s">
        <v>1467</v>
      </c>
      <c r="E1251" s="7" t="s">
        <v>1513</v>
      </c>
      <c r="F1251" s="13"/>
      <c r="G1251" s="9">
        <f>IFERROR(VLOOKUP(D1251,Listas!$A$2:$B$20,2,FALSE()),999)</f>
        <v>2</v>
      </c>
      <c r="H1251" s="9" t="str">
        <f t="shared" ca="1" si="19"/>
        <v>Sin fecha</v>
      </c>
      <c r="J1251" s="11">
        <v>60</v>
      </c>
      <c r="K1251" s="11">
        <v>60</v>
      </c>
      <c r="L1251" s="12">
        <v>43464</v>
      </c>
      <c r="M1251" t="s">
        <v>36</v>
      </c>
    </row>
    <row r="1252" spans="1:13" ht="45">
      <c r="A1252" s="6" t="s">
        <v>2236</v>
      </c>
      <c r="B1252" s="7" t="s">
        <v>1511</v>
      </c>
      <c r="C1252" s="7" t="s">
        <v>2237</v>
      </c>
      <c r="D1252" s="6" t="s">
        <v>1467</v>
      </c>
      <c r="E1252" s="7" t="s">
        <v>1513</v>
      </c>
      <c r="F1252" s="13"/>
      <c r="G1252" s="9">
        <f>IFERROR(VLOOKUP(D1252,Listas!$A$2:$B$20,2,FALSE()),999)</f>
        <v>2</v>
      </c>
      <c r="H1252" s="9" t="str">
        <f t="shared" ca="1" si="19"/>
        <v>Sin fecha</v>
      </c>
      <c r="J1252" s="11">
        <v>60</v>
      </c>
      <c r="K1252" s="11">
        <v>60</v>
      </c>
      <c r="L1252" s="12">
        <v>43464</v>
      </c>
      <c r="M1252" t="s">
        <v>36</v>
      </c>
    </row>
    <row r="1253" spans="1:13" ht="45">
      <c r="A1253" s="6" t="s">
        <v>2238</v>
      </c>
      <c r="B1253" s="7" t="s">
        <v>1511</v>
      </c>
      <c r="C1253" s="7" t="s">
        <v>2239</v>
      </c>
      <c r="D1253" s="6" t="s">
        <v>1467</v>
      </c>
      <c r="E1253" s="7" t="s">
        <v>1513</v>
      </c>
      <c r="F1253" s="13"/>
      <c r="G1253" s="9">
        <f>IFERROR(VLOOKUP(D1253,Listas!$A$2:$B$20,2,FALSE()),999)</f>
        <v>2</v>
      </c>
      <c r="H1253" s="9" t="str">
        <f t="shared" ca="1" si="19"/>
        <v>Sin fecha</v>
      </c>
      <c r="J1253" s="11">
        <v>60</v>
      </c>
      <c r="K1253" s="11">
        <v>60</v>
      </c>
      <c r="L1253" s="12">
        <v>43464</v>
      </c>
      <c r="M1253" t="s">
        <v>36</v>
      </c>
    </row>
    <row r="1254" spans="1:13" ht="45">
      <c r="A1254" s="6" t="s">
        <v>2240</v>
      </c>
      <c r="B1254" s="7" t="s">
        <v>1511</v>
      </c>
      <c r="C1254" s="7" t="s">
        <v>2241</v>
      </c>
      <c r="D1254" s="6" t="s">
        <v>1467</v>
      </c>
      <c r="E1254" s="7" t="s">
        <v>1513</v>
      </c>
      <c r="F1254" s="13"/>
      <c r="G1254" s="9">
        <f>IFERROR(VLOOKUP(D1254,Listas!$A$2:$B$20,2,FALSE()),999)</f>
        <v>2</v>
      </c>
      <c r="H1254" s="9" t="str">
        <f t="shared" ca="1" si="19"/>
        <v>Sin fecha</v>
      </c>
      <c r="J1254" s="11">
        <v>60</v>
      </c>
      <c r="K1254" s="11">
        <v>60</v>
      </c>
      <c r="L1254" s="12">
        <v>43464</v>
      </c>
      <c r="M1254" t="s">
        <v>36</v>
      </c>
    </row>
    <row r="1255" spans="1:13" ht="45">
      <c r="A1255" s="6" t="s">
        <v>2242</v>
      </c>
      <c r="B1255" s="7" t="s">
        <v>1511</v>
      </c>
      <c r="C1255" s="7" t="s">
        <v>2243</v>
      </c>
      <c r="D1255" s="6" t="s">
        <v>18</v>
      </c>
      <c r="E1255" s="7" t="s">
        <v>1556</v>
      </c>
      <c r="F1255" s="13"/>
      <c r="G1255" s="9">
        <f>IFERROR(VLOOKUP(D1255,Listas!$A$2:$B$20,2,FALSE()),999)</f>
        <v>1</v>
      </c>
      <c r="H1255" s="9" t="str">
        <f t="shared" ca="1" si="19"/>
        <v>Sin fecha</v>
      </c>
      <c r="J1255" s="11">
        <v>60</v>
      </c>
      <c r="K1255" s="11">
        <v>60</v>
      </c>
      <c r="L1255" s="12">
        <v>43464</v>
      </c>
      <c r="M1255" t="s">
        <v>36</v>
      </c>
    </row>
    <row r="1256" spans="1:13" ht="45">
      <c r="A1256" s="6" t="s">
        <v>2244</v>
      </c>
      <c r="B1256" s="7" t="s">
        <v>1511</v>
      </c>
      <c r="C1256" s="7" t="s">
        <v>2245</v>
      </c>
      <c r="D1256" s="6" t="s">
        <v>1467</v>
      </c>
      <c r="E1256" s="7" t="s">
        <v>1513</v>
      </c>
      <c r="F1256" s="13"/>
      <c r="G1256" s="9">
        <f>IFERROR(VLOOKUP(D1256,Listas!$A$2:$B$20,2,FALSE()),999)</f>
        <v>2</v>
      </c>
      <c r="H1256" s="9" t="str">
        <f t="shared" ca="1" si="19"/>
        <v>Sin fecha</v>
      </c>
      <c r="J1256" s="11">
        <v>60</v>
      </c>
      <c r="K1256" s="11">
        <v>60</v>
      </c>
      <c r="L1256" s="12">
        <v>43464</v>
      </c>
      <c r="M1256" t="s">
        <v>36</v>
      </c>
    </row>
    <row r="1257" spans="1:13" ht="45">
      <c r="A1257" s="6" t="s">
        <v>2246</v>
      </c>
      <c r="B1257" s="7" t="s">
        <v>1511</v>
      </c>
      <c r="C1257" s="7" t="s">
        <v>2247</v>
      </c>
      <c r="D1257" s="6" t="s">
        <v>1467</v>
      </c>
      <c r="E1257" s="7" t="s">
        <v>1513</v>
      </c>
      <c r="F1257" s="13"/>
      <c r="G1257" s="9">
        <f>IFERROR(VLOOKUP(D1257,Listas!$A$2:$B$20,2,FALSE()),999)</f>
        <v>2</v>
      </c>
      <c r="H1257" s="9" t="str">
        <f t="shared" ca="1" si="19"/>
        <v>Sin fecha</v>
      </c>
      <c r="J1257" s="11">
        <v>60</v>
      </c>
      <c r="K1257" s="11">
        <v>60</v>
      </c>
      <c r="L1257" s="12">
        <v>43464</v>
      </c>
      <c r="M1257" t="s">
        <v>36</v>
      </c>
    </row>
    <row r="1258" spans="1:13" ht="45">
      <c r="A1258" s="6" t="s">
        <v>2248</v>
      </c>
      <c r="B1258" s="7" t="s">
        <v>1511</v>
      </c>
      <c r="C1258" s="7" t="s">
        <v>2249</v>
      </c>
      <c r="D1258" s="6" t="s">
        <v>18</v>
      </c>
      <c r="E1258" s="7" t="s">
        <v>1474</v>
      </c>
      <c r="F1258" s="13"/>
      <c r="G1258" s="9">
        <f>IFERROR(VLOOKUP(D1258,Listas!$A$2:$B$20,2,FALSE()),999)</f>
        <v>1</v>
      </c>
      <c r="H1258" s="9" t="str">
        <f t="shared" ca="1" si="19"/>
        <v>Sin fecha</v>
      </c>
      <c r="J1258" s="11">
        <v>60</v>
      </c>
      <c r="K1258" s="11">
        <v>60</v>
      </c>
      <c r="L1258" s="12">
        <v>43464</v>
      </c>
      <c r="M1258" t="s">
        <v>36</v>
      </c>
    </row>
    <row r="1259" spans="1:13" ht="45">
      <c r="A1259" s="6" t="s">
        <v>2250</v>
      </c>
      <c r="B1259" s="7" t="s">
        <v>1511</v>
      </c>
      <c r="C1259" s="7" t="s">
        <v>2251</v>
      </c>
      <c r="D1259" s="6" t="s">
        <v>18</v>
      </c>
      <c r="E1259" s="7" t="s">
        <v>1474</v>
      </c>
      <c r="F1259" s="13"/>
      <c r="G1259" s="9">
        <f>IFERROR(VLOOKUP(D1259,Listas!$A$2:$B$20,2,FALSE()),999)</f>
        <v>1</v>
      </c>
      <c r="H1259" s="9" t="str">
        <f t="shared" ca="1" si="19"/>
        <v>Sin fecha</v>
      </c>
      <c r="J1259" s="11">
        <v>60</v>
      </c>
      <c r="K1259" s="11">
        <v>60</v>
      </c>
      <c r="L1259" s="12">
        <v>43464</v>
      </c>
      <c r="M1259" t="s">
        <v>36</v>
      </c>
    </row>
    <row r="1260" spans="1:13" ht="45">
      <c r="A1260" s="6" t="s">
        <v>2252</v>
      </c>
      <c r="B1260" s="7" t="s">
        <v>1511</v>
      </c>
      <c r="C1260" s="7" t="s">
        <v>2253</v>
      </c>
      <c r="D1260" s="6" t="s">
        <v>18</v>
      </c>
      <c r="E1260" s="7" t="s">
        <v>1474</v>
      </c>
      <c r="F1260" s="13"/>
      <c r="G1260" s="9">
        <f>IFERROR(VLOOKUP(D1260,Listas!$A$2:$B$20,2,FALSE()),999)</f>
        <v>1</v>
      </c>
      <c r="H1260" s="9" t="str">
        <f t="shared" ca="1" si="19"/>
        <v>Sin fecha</v>
      </c>
      <c r="J1260" s="11">
        <v>60</v>
      </c>
      <c r="K1260" s="11">
        <v>60</v>
      </c>
      <c r="L1260" s="12">
        <v>43464</v>
      </c>
      <c r="M1260" t="s">
        <v>36</v>
      </c>
    </row>
    <row r="1261" spans="1:13" ht="45">
      <c r="A1261" s="6" t="s">
        <v>2254</v>
      </c>
      <c r="B1261" s="7" t="s">
        <v>1511</v>
      </c>
      <c r="C1261" s="7" t="s">
        <v>2255</v>
      </c>
      <c r="D1261" s="6" t="s">
        <v>1467</v>
      </c>
      <c r="E1261" s="7" t="s">
        <v>1513</v>
      </c>
      <c r="F1261" s="13"/>
      <c r="G1261" s="9">
        <f>IFERROR(VLOOKUP(D1261,Listas!$A$2:$B$20,2,FALSE()),999)</f>
        <v>2</v>
      </c>
      <c r="H1261" s="9" t="str">
        <f t="shared" ca="1" si="19"/>
        <v>Sin fecha</v>
      </c>
      <c r="J1261" s="11">
        <v>60</v>
      </c>
      <c r="K1261" s="11">
        <v>60</v>
      </c>
      <c r="L1261" s="12">
        <v>43464</v>
      </c>
      <c r="M1261" t="s">
        <v>36</v>
      </c>
    </row>
    <row r="1262" spans="1:13" ht="45">
      <c r="A1262" s="6" t="s">
        <v>2256</v>
      </c>
      <c r="B1262" s="7" t="s">
        <v>1511</v>
      </c>
      <c r="C1262" s="7" t="s">
        <v>2257</v>
      </c>
      <c r="D1262" s="6" t="s">
        <v>1467</v>
      </c>
      <c r="E1262" s="7" t="s">
        <v>1488</v>
      </c>
      <c r="F1262" s="13"/>
      <c r="G1262" s="9">
        <f>IFERROR(VLOOKUP(D1262,Listas!$A$2:$B$20,2,FALSE()),999)</f>
        <v>2</v>
      </c>
      <c r="H1262" s="9" t="str">
        <f t="shared" ca="1" si="19"/>
        <v>Sin fecha</v>
      </c>
      <c r="J1262" s="11">
        <v>60</v>
      </c>
      <c r="K1262" s="11">
        <v>60</v>
      </c>
      <c r="L1262" s="12">
        <v>43464</v>
      </c>
      <c r="M1262" t="s">
        <v>36</v>
      </c>
    </row>
    <row r="1263" spans="1:13" ht="45">
      <c r="A1263" s="6" t="s">
        <v>2258</v>
      </c>
      <c r="B1263" s="7" t="s">
        <v>1511</v>
      </c>
      <c r="C1263" s="7" t="s">
        <v>2259</v>
      </c>
      <c r="D1263" s="6" t="s">
        <v>18</v>
      </c>
      <c r="E1263" s="7" t="s">
        <v>2260</v>
      </c>
      <c r="F1263" s="13"/>
      <c r="G1263" s="9">
        <f>IFERROR(VLOOKUP(D1263,Listas!$A$2:$B$20,2,FALSE()),999)</f>
        <v>1</v>
      </c>
      <c r="H1263" s="9" t="str">
        <f t="shared" ca="1" si="19"/>
        <v>Sin fecha</v>
      </c>
      <c r="J1263" s="11">
        <v>60</v>
      </c>
      <c r="K1263" s="11">
        <v>60</v>
      </c>
      <c r="L1263" s="12">
        <v>43464</v>
      </c>
      <c r="M1263" t="s">
        <v>36</v>
      </c>
    </row>
    <row r="1264" spans="1:13" ht="45">
      <c r="A1264" s="6" t="s">
        <v>2261</v>
      </c>
      <c r="B1264" s="7" t="s">
        <v>1511</v>
      </c>
      <c r="C1264" s="7" t="s">
        <v>2262</v>
      </c>
      <c r="D1264" s="6" t="s">
        <v>1467</v>
      </c>
      <c r="E1264" s="7" t="s">
        <v>1513</v>
      </c>
      <c r="F1264" s="13"/>
      <c r="G1264" s="9">
        <f>IFERROR(VLOOKUP(D1264,Listas!$A$2:$B$20,2,FALSE()),999)</f>
        <v>2</v>
      </c>
      <c r="H1264" s="9" t="str">
        <f t="shared" ca="1" si="19"/>
        <v>Sin fecha</v>
      </c>
      <c r="J1264" s="11">
        <v>60</v>
      </c>
      <c r="K1264" s="11">
        <v>60</v>
      </c>
      <c r="L1264" s="12">
        <v>43464</v>
      </c>
      <c r="M1264" t="s">
        <v>36</v>
      </c>
    </row>
    <row r="1265" spans="1:13" ht="45">
      <c r="A1265" s="6" t="s">
        <v>2263</v>
      </c>
      <c r="B1265" s="7" t="s">
        <v>1511</v>
      </c>
      <c r="C1265" s="7" t="s">
        <v>2264</v>
      </c>
      <c r="D1265" s="6" t="s">
        <v>18</v>
      </c>
      <c r="E1265" s="7" t="s">
        <v>1833</v>
      </c>
      <c r="F1265" s="13"/>
      <c r="G1265" s="9">
        <f>IFERROR(VLOOKUP(D1265,Listas!$A$2:$B$20,2,FALSE()),999)</f>
        <v>1</v>
      </c>
      <c r="H1265" s="9" t="str">
        <f t="shared" ca="1" si="19"/>
        <v>Sin fecha</v>
      </c>
      <c r="J1265" s="11">
        <v>60</v>
      </c>
      <c r="K1265" s="11">
        <v>60</v>
      </c>
      <c r="L1265" s="12">
        <v>43464</v>
      </c>
      <c r="M1265" t="s">
        <v>36</v>
      </c>
    </row>
    <row r="1266" spans="1:13" ht="45">
      <c r="A1266" s="6" t="s">
        <v>2265</v>
      </c>
      <c r="B1266" s="7" t="s">
        <v>1511</v>
      </c>
      <c r="C1266" s="7" t="s">
        <v>2266</v>
      </c>
      <c r="D1266" s="6" t="s">
        <v>1467</v>
      </c>
      <c r="E1266" s="7" t="s">
        <v>2117</v>
      </c>
      <c r="F1266" s="13"/>
      <c r="G1266" s="9">
        <f>IFERROR(VLOOKUP(D1266,Listas!$A$2:$B$20,2,FALSE()),999)</f>
        <v>2</v>
      </c>
      <c r="H1266" s="9" t="str">
        <f t="shared" ca="1" si="19"/>
        <v>Sin fecha</v>
      </c>
      <c r="J1266" s="11">
        <v>60</v>
      </c>
      <c r="K1266" s="11">
        <v>60</v>
      </c>
      <c r="L1266" s="12">
        <v>43464</v>
      </c>
      <c r="M1266" t="s">
        <v>36</v>
      </c>
    </row>
    <row r="1267" spans="1:13" ht="45">
      <c r="A1267" s="6" t="s">
        <v>2267</v>
      </c>
      <c r="B1267" s="7" t="s">
        <v>1511</v>
      </c>
      <c r="C1267" s="7" t="s">
        <v>2268</v>
      </c>
      <c r="D1267" s="6" t="s">
        <v>1467</v>
      </c>
      <c r="E1267" s="7" t="s">
        <v>1513</v>
      </c>
      <c r="F1267" s="13"/>
      <c r="G1267" s="9">
        <f>IFERROR(VLOOKUP(D1267,Listas!$A$2:$B$20,2,FALSE()),999)</f>
        <v>2</v>
      </c>
      <c r="H1267" s="9" t="str">
        <f t="shared" ca="1" si="19"/>
        <v>Sin fecha</v>
      </c>
      <c r="J1267" s="11">
        <v>60</v>
      </c>
      <c r="K1267" s="11">
        <v>60</v>
      </c>
      <c r="L1267" s="12">
        <v>43464</v>
      </c>
      <c r="M1267" t="s">
        <v>36</v>
      </c>
    </row>
    <row r="1268" spans="1:13" ht="45">
      <c r="A1268" s="6" t="s">
        <v>2269</v>
      </c>
      <c r="B1268" s="7" t="s">
        <v>1511</v>
      </c>
      <c r="C1268" s="7" t="s">
        <v>2270</v>
      </c>
      <c r="D1268" s="6" t="s">
        <v>1467</v>
      </c>
      <c r="E1268" s="7" t="s">
        <v>1513</v>
      </c>
      <c r="F1268" s="13"/>
      <c r="G1268" s="9">
        <f>IFERROR(VLOOKUP(D1268,Listas!$A$2:$B$20,2,FALSE()),999)</f>
        <v>2</v>
      </c>
      <c r="H1268" s="9" t="str">
        <f t="shared" ca="1" si="19"/>
        <v>Sin fecha</v>
      </c>
      <c r="J1268" s="11">
        <v>60</v>
      </c>
      <c r="K1268" s="11">
        <v>60</v>
      </c>
      <c r="L1268" s="12">
        <v>43464</v>
      </c>
      <c r="M1268" t="s">
        <v>36</v>
      </c>
    </row>
    <row r="1269" spans="1:13" ht="45">
      <c r="A1269" s="6" t="s">
        <v>2271</v>
      </c>
      <c r="B1269" s="7" t="s">
        <v>1511</v>
      </c>
      <c r="C1269" s="7" t="s">
        <v>2272</v>
      </c>
      <c r="D1269" s="6" t="s">
        <v>1467</v>
      </c>
      <c r="E1269" s="7" t="s">
        <v>1513</v>
      </c>
      <c r="F1269" s="13"/>
      <c r="G1269" s="9">
        <f>IFERROR(VLOOKUP(D1269,Listas!$A$2:$B$20,2,FALSE()),999)</f>
        <v>2</v>
      </c>
      <c r="H1269" s="9" t="str">
        <f t="shared" ca="1" si="19"/>
        <v>Sin fecha</v>
      </c>
      <c r="J1269" s="11">
        <v>60</v>
      </c>
      <c r="K1269" s="11">
        <v>60</v>
      </c>
      <c r="L1269" s="12">
        <v>43464</v>
      </c>
      <c r="M1269" t="s">
        <v>36</v>
      </c>
    </row>
    <row r="1270" spans="1:13" ht="45">
      <c r="A1270" s="6" t="s">
        <v>2273</v>
      </c>
      <c r="B1270" s="7" t="s">
        <v>1511</v>
      </c>
      <c r="C1270" s="7" t="s">
        <v>2274</v>
      </c>
      <c r="D1270" s="6" t="s">
        <v>1467</v>
      </c>
      <c r="E1270" s="7" t="s">
        <v>2275</v>
      </c>
      <c r="F1270" s="13"/>
      <c r="G1270" s="9">
        <f>IFERROR(VLOOKUP(D1270,Listas!$A$2:$B$20,2,FALSE()),999)</f>
        <v>2</v>
      </c>
      <c r="H1270" s="9" t="str">
        <f t="shared" ca="1" si="19"/>
        <v>Sin fecha</v>
      </c>
      <c r="J1270" s="11">
        <v>60</v>
      </c>
      <c r="K1270" s="11">
        <v>60</v>
      </c>
      <c r="L1270" s="12">
        <v>43464</v>
      </c>
      <c r="M1270" t="s">
        <v>36</v>
      </c>
    </row>
    <row r="1271" spans="1:13" ht="45">
      <c r="A1271" s="6" t="s">
        <v>2276</v>
      </c>
      <c r="B1271" s="7" t="s">
        <v>1511</v>
      </c>
      <c r="C1271" s="7" t="s">
        <v>2277</v>
      </c>
      <c r="D1271" s="6" t="s">
        <v>1467</v>
      </c>
      <c r="E1271" s="7" t="s">
        <v>1468</v>
      </c>
      <c r="F1271" s="13"/>
      <c r="G1271" s="9">
        <f>IFERROR(VLOOKUP(D1271,Listas!$A$2:$B$20,2,FALSE()),999)</f>
        <v>2</v>
      </c>
      <c r="H1271" s="9" t="str">
        <f t="shared" ca="1" si="19"/>
        <v>Sin fecha</v>
      </c>
      <c r="J1271" s="11">
        <v>60</v>
      </c>
      <c r="K1271" s="11">
        <v>60</v>
      </c>
      <c r="L1271" s="12">
        <v>43464</v>
      </c>
      <c r="M1271" t="s">
        <v>36</v>
      </c>
    </row>
    <row r="1272" spans="1:13" ht="45">
      <c r="A1272" s="6" t="s">
        <v>2278</v>
      </c>
      <c r="B1272" s="7" t="s">
        <v>1511</v>
      </c>
      <c r="C1272" s="7" t="s">
        <v>2279</v>
      </c>
      <c r="D1272" s="6" t="s">
        <v>1467</v>
      </c>
      <c r="E1272" s="7" t="s">
        <v>1564</v>
      </c>
      <c r="F1272" s="13"/>
      <c r="G1272" s="9">
        <f>IFERROR(VLOOKUP(D1272,Listas!$A$2:$B$20,2,FALSE()),999)</f>
        <v>2</v>
      </c>
      <c r="H1272" s="9" t="str">
        <f t="shared" ca="1" si="19"/>
        <v>Sin fecha</v>
      </c>
      <c r="J1272" s="11">
        <v>60</v>
      </c>
      <c r="K1272" s="11">
        <v>60</v>
      </c>
      <c r="L1272" s="12">
        <v>43464</v>
      </c>
      <c r="M1272" t="s">
        <v>36</v>
      </c>
    </row>
    <row r="1273" spans="1:13" ht="30">
      <c r="A1273" s="6" t="s">
        <v>2280</v>
      </c>
      <c r="B1273" s="7" t="s">
        <v>1511</v>
      </c>
      <c r="C1273" s="7" t="s">
        <v>2281</v>
      </c>
      <c r="D1273" s="6" t="s">
        <v>1467</v>
      </c>
      <c r="E1273" s="7" t="s">
        <v>1513</v>
      </c>
      <c r="F1273" s="13"/>
      <c r="G1273" s="9">
        <f>IFERROR(VLOOKUP(D1273,Listas!$A$2:$B$20,2,FALSE()),999)</f>
        <v>2</v>
      </c>
      <c r="H1273" s="9" t="str">
        <f t="shared" ca="1" si="19"/>
        <v>Sin fecha</v>
      </c>
      <c r="J1273" s="11">
        <v>60</v>
      </c>
      <c r="K1273" s="11">
        <v>60</v>
      </c>
      <c r="L1273" s="12">
        <v>42939</v>
      </c>
      <c r="M1273" t="s">
        <v>36</v>
      </c>
    </row>
    <row r="1274" spans="1:13" ht="45">
      <c r="A1274" s="6" t="s">
        <v>2282</v>
      </c>
      <c r="B1274" s="7" t="s">
        <v>1412</v>
      </c>
      <c r="C1274" s="7" t="s">
        <v>2283</v>
      </c>
      <c r="D1274" s="6" t="s">
        <v>18</v>
      </c>
      <c r="E1274" s="7" t="s">
        <v>1764</v>
      </c>
      <c r="F1274" s="13"/>
      <c r="G1274" s="9">
        <f>IFERROR(VLOOKUP(D1274,Listas!$A$2:$B$20,2,FALSE()),999)</f>
        <v>1</v>
      </c>
      <c r="H1274" s="9" t="str">
        <f t="shared" ca="1" si="19"/>
        <v>Sin fecha</v>
      </c>
      <c r="J1274" s="11">
        <v>60</v>
      </c>
      <c r="K1274" s="11">
        <v>60</v>
      </c>
      <c r="L1274" s="12">
        <v>43464</v>
      </c>
      <c r="M1274" t="s">
        <v>36</v>
      </c>
    </row>
    <row r="1275" spans="1:13" ht="45">
      <c r="A1275" s="6" t="s">
        <v>2284</v>
      </c>
      <c r="B1275" s="7" t="s">
        <v>1412</v>
      </c>
      <c r="C1275" s="7" t="s">
        <v>2285</v>
      </c>
      <c r="D1275" s="6" t="s">
        <v>18</v>
      </c>
      <c r="E1275" s="7" t="s">
        <v>2286</v>
      </c>
      <c r="F1275" s="13"/>
      <c r="G1275" s="9">
        <f>IFERROR(VLOOKUP(D1275,Listas!$A$2:$B$20,2,FALSE()),999)</f>
        <v>1</v>
      </c>
      <c r="H1275" s="9" t="str">
        <f t="shared" ca="1" si="19"/>
        <v>Sin fecha</v>
      </c>
      <c r="J1275" s="11">
        <v>60</v>
      </c>
      <c r="K1275" s="11">
        <v>60</v>
      </c>
      <c r="L1275" s="12">
        <v>43464</v>
      </c>
      <c r="M1275" t="s">
        <v>36</v>
      </c>
    </row>
    <row r="1276" spans="1:13" ht="45">
      <c r="A1276" s="6" t="s">
        <v>2287</v>
      </c>
      <c r="B1276" s="7" t="s">
        <v>1412</v>
      </c>
      <c r="C1276" s="7" t="s">
        <v>2288</v>
      </c>
      <c r="D1276" s="6" t="s">
        <v>18</v>
      </c>
      <c r="E1276" s="7" t="s">
        <v>2286</v>
      </c>
      <c r="F1276" s="13"/>
      <c r="G1276" s="9">
        <f>IFERROR(VLOOKUP(D1276,Listas!$A$2:$B$20,2,FALSE()),999)</f>
        <v>1</v>
      </c>
      <c r="H1276" s="9" t="str">
        <f t="shared" ca="1" si="19"/>
        <v>Sin fecha</v>
      </c>
      <c r="J1276" s="11">
        <v>60</v>
      </c>
      <c r="K1276" s="11">
        <v>60</v>
      </c>
      <c r="L1276" s="12">
        <v>43464</v>
      </c>
      <c r="M1276" t="s">
        <v>36</v>
      </c>
    </row>
    <row r="1277" spans="1:13" ht="45">
      <c r="A1277" s="6" t="s">
        <v>2289</v>
      </c>
      <c r="B1277" s="7" t="s">
        <v>1412</v>
      </c>
      <c r="C1277" s="7" t="s">
        <v>2290</v>
      </c>
      <c r="D1277" s="6" t="s">
        <v>18</v>
      </c>
      <c r="E1277" s="7" t="s">
        <v>1701</v>
      </c>
      <c r="F1277" s="13"/>
      <c r="G1277" s="9">
        <f>IFERROR(VLOOKUP(D1277,Listas!$A$2:$B$20,2,FALSE()),999)</f>
        <v>1</v>
      </c>
      <c r="H1277" s="9" t="str">
        <f t="shared" ca="1" si="19"/>
        <v>Sin fecha</v>
      </c>
      <c r="J1277" s="11">
        <v>60</v>
      </c>
      <c r="K1277" s="11">
        <v>60</v>
      </c>
      <c r="L1277" s="12">
        <v>43464</v>
      </c>
      <c r="M1277" t="s">
        <v>36</v>
      </c>
    </row>
    <row r="1278" spans="1:13" ht="45">
      <c r="A1278" s="6" t="s">
        <v>2291</v>
      </c>
      <c r="B1278" s="7" t="s">
        <v>1412</v>
      </c>
      <c r="C1278" s="7" t="s">
        <v>2292</v>
      </c>
      <c r="D1278" s="6" t="s">
        <v>18</v>
      </c>
      <c r="E1278" s="7" t="s">
        <v>1701</v>
      </c>
      <c r="F1278" s="13"/>
      <c r="G1278" s="9">
        <f>IFERROR(VLOOKUP(D1278,Listas!$A$2:$B$20,2,FALSE()),999)</f>
        <v>1</v>
      </c>
      <c r="H1278" s="9" t="str">
        <f t="shared" ca="1" si="19"/>
        <v>Sin fecha</v>
      </c>
      <c r="J1278" s="11">
        <v>60</v>
      </c>
      <c r="K1278" s="11">
        <v>60</v>
      </c>
      <c r="L1278" s="12">
        <v>43464</v>
      </c>
      <c r="M1278" t="s">
        <v>36</v>
      </c>
    </row>
    <row r="1279" spans="1:13" ht="45">
      <c r="A1279" s="6" t="s">
        <v>2293</v>
      </c>
      <c r="B1279" s="7" t="s">
        <v>1412</v>
      </c>
      <c r="C1279" s="7" t="s">
        <v>2294</v>
      </c>
      <c r="D1279" s="6" t="s">
        <v>18</v>
      </c>
      <c r="E1279" s="7" t="s">
        <v>1701</v>
      </c>
      <c r="F1279" s="13"/>
      <c r="G1279" s="9">
        <f>IFERROR(VLOOKUP(D1279,Listas!$A$2:$B$20,2,FALSE()),999)</f>
        <v>1</v>
      </c>
      <c r="H1279" s="9" t="str">
        <f t="shared" ca="1" si="19"/>
        <v>Sin fecha</v>
      </c>
      <c r="J1279" s="11">
        <v>60</v>
      </c>
      <c r="K1279" s="11">
        <v>60</v>
      </c>
      <c r="L1279" s="12">
        <v>43464</v>
      </c>
      <c r="M1279" t="s">
        <v>36</v>
      </c>
    </row>
    <row r="1280" spans="1:13" ht="45">
      <c r="A1280" s="6" t="s">
        <v>2295</v>
      </c>
      <c r="B1280" s="7" t="s">
        <v>1412</v>
      </c>
      <c r="C1280" s="7" t="s">
        <v>2296</v>
      </c>
      <c r="D1280" s="6" t="s">
        <v>18</v>
      </c>
      <c r="E1280" s="7" t="s">
        <v>1701</v>
      </c>
      <c r="F1280" s="13"/>
      <c r="G1280" s="9">
        <f>IFERROR(VLOOKUP(D1280,Listas!$A$2:$B$20,2,FALSE()),999)</f>
        <v>1</v>
      </c>
      <c r="H1280" s="9" t="str">
        <f t="shared" ca="1" si="19"/>
        <v>Sin fecha</v>
      </c>
      <c r="J1280" s="11">
        <v>60</v>
      </c>
      <c r="K1280" s="11">
        <v>60</v>
      </c>
      <c r="L1280" s="12">
        <v>43464</v>
      </c>
      <c r="M1280" t="s">
        <v>36</v>
      </c>
    </row>
    <row r="1281" spans="1:13" ht="45">
      <c r="A1281" s="6" t="s">
        <v>2297</v>
      </c>
      <c r="B1281" s="7" t="s">
        <v>1412</v>
      </c>
      <c r="C1281" s="7" t="s">
        <v>2298</v>
      </c>
      <c r="D1281" s="6" t="s">
        <v>18</v>
      </c>
      <c r="E1281" s="7" t="s">
        <v>1701</v>
      </c>
      <c r="F1281" s="13"/>
      <c r="G1281" s="9">
        <f>IFERROR(VLOOKUP(D1281,Listas!$A$2:$B$20,2,FALSE()),999)</f>
        <v>1</v>
      </c>
      <c r="H1281" s="9" t="str">
        <f t="shared" ca="1" si="19"/>
        <v>Sin fecha</v>
      </c>
      <c r="J1281" s="11">
        <v>60</v>
      </c>
      <c r="K1281" s="11">
        <v>60</v>
      </c>
      <c r="L1281" s="12">
        <v>43464</v>
      </c>
      <c r="M1281" t="s">
        <v>36</v>
      </c>
    </row>
    <row r="1282" spans="1:13" ht="45">
      <c r="A1282" s="6" t="s">
        <v>2299</v>
      </c>
      <c r="B1282" s="7" t="s">
        <v>1412</v>
      </c>
      <c r="C1282" s="7" t="s">
        <v>2300</v>
      </c>
      <c r="D1282" s="6" t="s">
        <v>18</v>
      </c>
      <c r="E1282" s="7" t="s">
        <v>1701</v>
      </c>
      <c r="F1282" s="13"/>
      <c r="G1282" s="9">
        <f>IFERROR(VLOOKUP(D1282,Listas!$A$2:$B$20,2,FALSE()),999)</f>
        <v>1</v>
      </c>
      <c r="H1282" s="9" t="str">
        <f t="shared" ca="1" si="19"/>
        <v>Sin fecha</v>
      </c>
      <c r="J1282" s="11">
        <v>60</v>
      </c>
      <c r="K1282" s="11">
        <v>60</v>
      </c>
      <c r="L1282" s="12">
        <v>43464</v>
      </c>
      <c r="M1282" t="s">
        <v>36</v>
      </c>
    </row>
    <row r="1283" spans="1:13" ht="45">
      <c r="A1283" s="6" t="s">
        <v>2301</v>
      </c>
      <c r="B1283" s="7" t="s">
        <v>1412</v>
      </c>
      <c r="C1283" s="7" t="s">
        <v>2302</v>
      </c>
      <c r="D1283" s="6" t="s">
        <v>18</v>
      </c>
      <c r="E1283" s="7" t="s">
        <v>1701</v>
      </c>
      <c r="F1283" s="13"/>
      <c r="G1283" s="9">
        <f>IFERROR(VLOOKUP(D1283,Listas!$A$2:$B$20,2,FALSE()),999)</f>
        <v>1</v>
      </c>
      <c r="H1283" s="9" t="str">
        <f t="shared" ca="1" si="19"/>
        <v>Sin fecha</v>
      </c>
      <c r="J1283" s="11">
        <v>60</v>
      </c>
      <c r="K1283" s="11">
        <v>60</v>
      </c>
      <c r="L1283" s="12">
        <v>43464</v>
      </c>
      <c r="M1283" t="s">
        <v>36</v>
      </c>
    </row>
    <row r="1284" spans="1:13" ht="45">
      <c r="A1284" s="6" t="s">
        <v>2303</v>
      </c>
      <c r="B1284" s="7" t="s">
        <v>1412</v>
      </c>
      <c r="C1284" s="7" t="s">
        <v>2304</v>
      </c>
      <c r="D1284" s="6" t="s">
        <v>18</v>
      </c>
      <c r="E1284" s="7" t="s">
        <v>1701</v>
      </c>
      <c r="F1284" s="13"/>
      <c r="G1284" s="9">
        <f>IFERROR(VLOOKUP(D1284,Listas!$A$2:$B$20,2,FALSE()),999)</f>
        <v>1</v>
      </c>
      <c r="H1284" s="9" t="str">
        <f t="shared" ca="1" si="19"/>
        <v>Sin fecha</v>
      </c>
      <c r="J1284" s="11">
        <v>60</v>
      </c>
      <c r="K1284" s="11">
        <v>60</v>
      </c>
      <c r="L1284" s="12">
        <v>43464</v>
      </c>
      <c r="M1284" t="s">
        <v>36</v>
      </c>
    </row>
    <row r="1285" spans="1:13" ht="45">
      <c r="A1285" s="6" t="s">
        <v>2305</v>
      </c>
      <c r="B1285" s="7" t="s">
        <v>1412</v>
      </c>
      <c r="C1285" s="7" t="s">
        <v>2306</v>
      </c>
      <c r="D1285" s="6" t="s">
        <v>18</v>
      </c>
      <c r="E1285" s="7" t="s">
        <v>1701</v>
      </c>
      <c r="F1285" s="13"/>
      <c r="G1285" s="9">
        <f>IFERROR(VLOOKUP(D1285,Listas!$A$2:$B$20,2,FALSE()),999)</f>
        <v>1</v>
      </c>
      <c r="H1285" s="9" t="str">
        <f t="shared" ref="H1285:H1348" ca="1" si="20">IF(F1285="","Sin fecha",IF(TODAY()-F1285&gt;180,"Revisar",IF(TODAY()-F1285&gt;90,"Próximo","Vigente")))</f>
        <v>Sin fecha</v>
      </c>
      <c r="J1285" s="11">
        <v>60</v>
      </c>
      <c r="K1285" s="11">
        <v>60</v>
      </c>
      <c r="L1285" s="12">
        <v>43464</v>
      </c>
      <c r="M1285" t="s">
        <v>36</v>
      </c>
    </row>
    <row r="1286" spans="1:13" ht="45">
      <c r="A1286" s="6" t="s">
        <v>2307</v>
      </c>
      <c r="B1286" s="7" t="s">
        <v>1412</v>
      </c>
      <c r="C1286" s="7" t="s">
        <v>2308</v>
      </c>
      <c r="D1286" s="6" t="s">
        <v>18</v>
      </c>
      <c r="E1286" s="7" t="s">
        <v>1701</v>
      </c>
      <c r="F1286" s="13"/>
      <c r="G1286" s="9">
        <f>IFERROR(VLOOKUP(D1286,Listas!$A$2:$B$20,2,FALSE()),999)</f>
        <v>1</v>
      </c>
      <c r="H1286" s="9" t="str">
        <f t="shared" ca="1" si="20"/>
        <v>Sin fecha</v>
      </c>
      <c r="J1286" s="11">
        <v>60</v>
      </c>
      <c r="K1286" s="11">
        <v>60</v>
      </c>
      <c r="L1286" s="12">
        <v>43464</v>
      </c>
      <c r="M1286" t="s">
        <v>36</v>
      </c>
    </row>
    <row r="1287" spans="1:13" ht="45">
      <c r="A1287" s="6" t="s">
        <v>2309</v>
      </c>
      <c r="B1287" s="7" t="s">
        <v>1412</v>
      </c>
      <c r="C1287" s="7" t="s">
        <v>2310</v>
      </c>
      <c r="D1287" s="6" t="s">
        <v>1467</v>
      </c>
      <c r="E1287" s="7" t="s">
        <v>1468</v>
      </c>
      <c r="F1287" s="13"/>
      <c r="G1287" s="9">
        <f>IFERROR(VLOOKUP(D1287,Listas!$A$2:$B$20,2,FALSE()),999)</f>
        <v>2</v>
      </c>
      <c r="H1287" s="9" t="str">
        <f t="shared" ca="1" si="20"/>
        <v>Sin fecha</v>
      </c>
      <c r="J1287" s="11">
        <v>60</v>
      </c>
      <c r="K1287" s="11">
        <v>60</v>
      </c>
      <c r="L1287" s="12">
        <v>43464</v>
      </c>
      <c r="M1287" t="s">
        <v>36</v>
      </c>
    </row>
    <row r="1288" spans="1:13" ht="45">
      <c r="A1288" s="6" t="s">
        <v>2311</v>
      </c>
      <c r="B1288" s="7" t="s">
        <v>1412</v>
      </c>
      <c r="C1288" s="7" t="s">
        <v>2312</v>
      </c>
      <c r="D1288" s="6" t="s">
        <v>18</v>
      </c>
      <c r="E1288" s="7" t="s">
        <v>1603</v>
      </c>
      <c r="F1288" s="13"/>
      <c r="G1288" s="9">
        <f>IFERROR(VLOOKUP(D1288,Listas!$A$2:$B$20,2,FALSE()),999)</f>
        <v>1</v>
      </c>
      <c r="H1288" s="9" t="str">
        <f t="shared" ca="1" si="20"/>
        <v>Sin fecha</v>
      </c>
      <c r="J1288" s="11">
        <v>60</v>
      </c>
      <c r="K1288" s="11">
        <v>60</v>
      </c>
      <c r="L1288" s="12">
        <v>43464</v>
      </c>
      <c r="M1288" t="s">
        <v>36</v>
      </c>
    </row>
    <row r="1289" spans="1:13" ht="45">
      <c r="A1289" s="6" t="s">
        <v>2313</v>
      </c>
      <c r="B1289" s="7" t="s">
        <v>1412</v>
      </c>
      <c r="C1289" s="7" t="s">
        <v>2314</v>
      </c>
      <c r="D1289" s="6" t="s">
        <v>18</v>
      </c>
      <c r="E1289" s="7" t="s">
        <v>1603</v>
      </c>
      <c r="F1289" s="13"/>
      <c r="G1289" s="9">
        <f>IFERROR(VLOOKUP(D1289,Listas!$A$2:$B$20,2,FALSE()),999)</f>
        <v>1</v>
      </c>
      <c r="H1289" s="9" t="str">
        <f t="shared" ca="1" si="20"/>
        <v>Sin fecha</v>
      </c>
      <c r="J1289" s="11">
        <v>60</v>
      </c>
      <c r="K1289" s="11">
        <v>60</v>
      </c>
      <c r="L1289" s="12">
        <v>43464</v>
      </c>
      <c r="M1289" t="s">
        <v>36</v>
      </c>
    </row>
    <row r="1290" spans="1:13" ht="45">
      <c r="A1290" s="6" t="s">
        <v>2315</v>
      </c>
      <c r="B1290" s="7" t="s">
        <v>1412</v>
      </c>
      <c r="C1290" s="7" t="s">
        <v>2316</v>
      </c>
      <c r="D1290" s="6" t="s">
        <v>18</v>
      </c>
      <c r="E1290" s="7" t="s">
        <v>1603</v>
      </c>
      <c r="F1290" s="13"/>
      <c r="G1290" s="9">
        <f>IFERROR(VLOOKUP(D1290,Listas!$A$2:$B$20,2,FALSE()),999)</f>
        <v>1</v>
      </c>
      <c r="H1290" s="9" t="str">
        <f t="shared" ca="1" si="20"/>
        <v>Sin fecha</v>
      </c>
      <c r="J1290" s="11">
        <v>60</v>
      </c>
      <c r="K1290" s="11">
        <v>60</v>
      </c>
      <c r="L1290" s="12">
        <v>43464</v>
      </c>
      <c r="M1290" t="s">
        <v>36</v>
      </c>
    </row>
    <row r="1291" spans="1:13" ht="45">
      <c r="A1291" s="6" t="s">
        <v>2317</v>
      </c>
      <c r="B1291" s="7" t="s">
        <v>1412</v>
      </c>
      <c r="C1291" s="7" t="s">
        <v>2318</v>
      </c>
      <c r="D1291" s="6" t="s">
        <v>18</v>
      </c>
      <c r="E1291" s="7" t="s">
        <v>1603</v>
      </c>
      <c r="F1291" s="13"/>
      <c r="G1291" s="9">
        <f>IFERROR(VLOOKUP(D1291,Listas!$A$2:$B$20,2,FALSE()),999)</f>
        <v>1</v>
      </c>
      <c r="H1291" s="9" t="str">
        <f t="shared" ca="1" si="20"/>
        <v>Sin fecha</v>
      </c>
      <c r="J1291" s="11">
        <v>60</v>
      </c>
      <c r="K1291" s="11">
        <v>60</v>
      </c>
      <c r="L1291" s="12">
        <v>43464</v>
      </c>
      <c r="M1291" t="s">
        <v>36</v>
      </c>
    </row>
    <row r="1292" spans="1:13" ht="45">
      <c r="A1292" s="6" t="s">
        <v>2319</v>
      </c>
      <c r="B1292" s="7" t="s">
        <v>1412</v>
      </c>
      <c r="C1292" s="7" t="s">
        <v>2320</v>
      </c>
      <c r="D1292" s="6" t="s">
        <v>18</v>
      </c>
      <c r="E1292" s="7" t="s">
        <v>1603</v>
      </c>
      <c r="F1292" s="13"/>
      <c r="G1292" s="9">
        <f>IFERROR(VLOOKUP(D1292,Listas!$A$2:$B$20,2,FALSE()),999)</f>
        <v>1</v>
      </c>
      <c r="H1292" s="9" t="str">
        <f t="shared" ca="1" si="20"/>
        <v>Sin fecha</v>
      </c>
      <c r="J1292" s="11">
        <v>60</v>
      </c>
      <c r="K1292" s="11">
        <v>60</v>
      </c>
      <c r="L1292" s="12">
        <v>43464</v>
      </c>
      <c r="M1292" t="s">
        <v>36</v>
      </c>
    </row>
    <row r="1293" spans="1:13" ht="45">
      <c r="A1293" s="6" t="s">
        <v>2321</v>
      </c>
      <c r="B1293" s="7" t="s">
        <v>1412</v>
      </c>
      <c r="C1293" s="7" t="s">
        <v>2322</v>
      </c>
      <c r="D1293" s="6" t="s">
        <v>18</v>
      </c>
      <c r="E1293" s="7" t="s">
        <v>1603</v>
      </c>
      <c r="F1293" s="13"/>
      <c r="G1293" s="9">
        <f>IFERROR(VLOOKUP(D1293,Listas!$A$2:$B$20,2,FALSE()),999)</f>
        <v>1</v>
      </c>
      <c r="H1293" s="9" t="str">
        <f t="shared" ca="1" si="20"/>
        <v>Sin fecha</v>
      </c>
      <c r="J1293" s="11">
        <v>60</v>
      </c>
      <c r="K1293" s="11">
        <v>60</v>
      </c>
      <c r="L1293" s="12">
        <v>43464</v>
      </c>
      <c r="M1293" t="s">
        <v>36</v>
      </c>
    </row>
    <row r="1294" spans="1:13" ht="45">
      <c r="A1294" s="6" t="s">
        <v>2323</v>
      </c>
      <c r="B1294" s="7" t="s">
        <v>1412</v>
      </c>
      <c r="C1294" s="7" t="s">
        <v>2324</v>
      </c>
      <c r="D1294" s="6" t="s">
        <v>18</v>
      </c>
      <c r="E1294" s="7" t="s">
        <v>1603</v>
      </c>
      <c r="F1294" s="13"/>
      <c r="G1294" s="9">
        <f>IFERROR(VLOOKUP(D1294,Listas!$A$2:$B$20,2,FALSE()),999)</f>
        <v>1</v>
      </c>
      <c r="H1294" s="9" t="str">
        <f t="shared" ca="1" si="20"/>
        <v>Sin fecha</v>
      </c>
      <c r="J1294" s="11">
        <v>60</v>
      </c>
      <c r="K1294" s="11">
        <v>60</v>
      </c>
      <c r="L1294" s="12">
        <v>43464</v>
      </c>
      <c r="M1294" t="s">
        <v>36</v>
      </c>
    </row>
    <row r="1295" spans="1:13" ht="45">
      <c r="A1295" s="6" t="s">
        <v>2325</v>
      </c>
      <c r="B1295" s="7" t="s">
        <v>1412</v>
      </c>
      <c r="C1295" s="7" t="s">
        <v>2326</v>
      </c>
      <c r="D1295" s="6" t="s">
        <v>18</v>
      </c>
      <c r="E1295" s="7" t="s">
        <v>1521</v>
      </c>
      <c r="F1295" s="13"/>
      <c r="G1295" s="9">
        <f>IFERROR(VLOOKUP(D1295,Listas!$A$2:$B$20,2,FALSE()),999)</f>
        <v>1</v>
      </c>
      <c r="H1295" s="9" t="str">
        <f t="shared" ca="1" si="20"/>
        <v>Sin fecha</v>
      </c>
      <c r="J1295" s="11">
        <v>60</v>
      </c>
      <c r="K1295" s="11">
        <v>60</v>
      </c>
      <c r="L1295" s="12">
        <v>43464</v>
      </c>
      <c r="M1295" t="s">
        <v>36</v>
      </c>
    </row>
    <row r="1296" spans="1:13" ht="45">
      <c r="A1296" s="6" t="s">
        <v>2327</v>
      </c>
      <c r="B1296" s="7" t="s">
        <v>1412</v>
      </c>
      <c r="C1296" s="7" t="s">
        <v>2328</v>
      </c>
      <c r="D1296" s="6" t="s">
        <v>18</v>
      </c>
      <c r="E1296" s="7" t="s">
        <v>1603</v>
      </c>
      <c r="F1296" s="13"/>
      <c r="G1296" s="9">
        <f>IFERROR(VLOOKUP(D1296,Listas!$A$2:$B$20,2,FALSE()),999)</f>
        <v>1</v>
      </c>
      <c r="H1296" s="9" t="str">
        <f t="shared" ca="1" si="20"/>
        <v>Sin fecha</v>
      </c>
      <c r="J1296" s="11">
        <v>60</v>
      </c>
      <c r="K1296" s="11">
        <v>60</v>
      </c>
      <c r="L1296" s="12">
        <v>43464</v>
      </c>
      <c r="M1296" t="s">
        <v>36</v>
      </c>
    </row>
    <row r="1297" spans="1:13" ht="45">
      <c r="A1297" s="6" t="s">
        <v>2329</v>
      </c>
      <c r="B1297" s="7" t="s">
        <v>1412</v>
      </c>
      <c r="C1297" s="7" t="s">
        <v>2330</v>
      </c>
      <c r="D1297" s="6" t="s">
        <v>18</v>
      </c>
      <c r="E1297" s="7" t="s">
        <v>1603</v>
      </c>
      <c r="F1297" s="13"/>
      <c r="G1297" s="9">
        <f>IFERROR(VLOOKUP(D1297,Listas!$A$2:$B$20,2,FALSE()),999)</f>
        <v>1</v>
      </c>
      <c r="H1297" s="9" t="str">
        <f t="shared" ca="1" si="20"/>
        <v>Sin fecha</v>
      </c>
      <c r="J1297" s="11">
        <v>60</v>
      </c>
      <c r="K1297" s="11">
        <v>60</v>
      </c>
      <c r="L1297" s="12">
        <v>43464</v>
      </c>
      <c r="M1297" t="s">
        <v>36</v>
      </c>
    </row>
    <row r="1298" spans="1:13" ht="45">
      <c r="A1298" s="6" t="s">
        <v>2331</v>
      </c>
      <c r="B1298" s="7" t="s">
        <v>1412</v>
      </c>
      <c r="C1298" s="7" t="s">
        <v>2332</v>
      </c>
      <c r="D1298" s="6" t="s">
        <v>18</v>
      </c>
      <c r="E1298" s="7" t="s">
        <v>1603</v>
      </c>
      <c r="F1298" s="13"/>
      <c r="G1298" s="9">
        <f>IFERROR(VLOOKUP(D1298,Listas!$A$2:$B$20,2,FALSE()),999)</f>
        <v>1</v>
      </c>
      <c r="H1298" s="9" t="str">
        <f t="shared" ca="1" si="20"/>
        <v>Sin fecha</v>
      </c>
      <c r="J1298" s="11">
        <v>60</v>
      </c>
      <c r="K1298" s="11">
        <v>60</v>
      </c>
      <c r="L1298" s="12">
        <v>43464</v>
      </c>
      <c r="M1298" t="s">
        <v>36</v>
      </c>
    </row>
    <row r="1299" spans="1:13" ht="45">
      <c r="A1299" s="6" t="s">
        <v>2333</v>
      </c>
      <c r="B1299" s="7" t="s">
        <v>1412</v>
      </c>
      <c r="C1299" s="7" t="s">
        <v>2334</v>
      </c>
      <c r="D1299" s="6" t="s">
        <v>18</v>
      </c>
      <c r="E1299" s="7" t="s">
        <v>1603</v>
      </c>
      <c r="F1299" s="13"/>
      <c r="G1299" s="9">
        <f>IFERROR(VLOOKUP(D1299,Listas!$A$2:$B$20,2,FALSE()),999)</f>
        <v>1</v>
      </c>
      <c r="H1299" s="9" t="str">
        <f t="shared" ca="1" si="20"/>
        <v>Sin fecha</v>
      </c>
      <c r="J1299" s="11">
        <v>60</v>
      </c>
      <c r="K1299" s="11">
        <v>60</v>
      </c>
      <c r="L1299" s="12">
        <v>43464</v>
      </c>
      <c r="M1299" t="s">
        <v>36</v>
      </c>
    </row>
    <row r="1300" spans="1:13" ht="45">
      <c r="A1300" s="6" t="s">
        <v>2335</v>
      </c>
      <c r="B1300" s="7" t="s">
        <v>1412</v>
      </c>
      <c r="C1300" s="7" t="s">
        <v>2336</v>
      </c>
      <c r="D1300" s="6" t="s">
        <v>18</v>
      </c>
      <c r="E1300" s="7" t="s">
        <v>2337</v>
      </c>
      <c r="F1300" s="13"/>
      <c r="G1300" s="9">
        <f>IFERROR(VLOOKUP(D1300,Listas!$A$2:$B$20,2,FALSE()),999)</f>
        <v>1</v>
      </c>
      <c r="H1300" s="9" t="str">
        <f t="shared" ca="1" si="20"/>
        <v>Sin fecha</v>
      </c>
      <c r="J1300" s="11">
        <v>60</v>
      </c>
      <c r="K1300" s="11">
        <v>60</v>
      </c>
      <c r="L1300" s="12">
        <v>43464</v>
      </c>
      <c r="M1300" t="s">
        <v>36</v>
      </c>
    </row>
    <row r="1301" spans="1:13" ht="45">
      <c r="A1301" s="6" t="s">
        <v>2338</v>
      </c>
      <c r="B1301" s="7" t="s">
        <v>1412</v>
      </c>
      <c r="C1301" s="7" t="s">
        <v>2339</v>
      </c>
      <c r="D1301" s="6" t="s">
        <v>1467</v>
      </c>
      <c r="E1301" s="7" t="s">
        <v>1567</v>
      </c>
      <c r="F1301" s="13"/>
      <c r="G1301" s="9">
        <f>IFERROR(VLOOKUP(D1301,Listas!$A$2:$B$20,2,FALSE()),999)</f>
        <v>2</v>
      </c>
      <c r="H1301" s="9" t="str">
        <f t="shared" ca="1" si="20"/>
        <v>Sin fecha</v>
      </c>
      <c r="J1301" s="11">
        <v>60</v>
      </c>
      <c r="K1301" s="11">
        <v>60</v>
      </c>
      <c r="L1301" s="12">
        <v>43464</v>
      </c>
      <c r="M1301" t="s">
        <v>36</v>
      </c>
    </row>
    <row r="1302" spans="1:13" ht="45">
      <c r="A1302" s="6" t="s">
        <v>2340</v>
      </c>
      <c r="B1302" s="7" t="s">
        <v>1412</v>
      </c>
      <c r="C1302" s="7" t="s">
        <v>2341</v>
      </c>
      <c r="D1302" s="6" t="s">
        <v>18</v>
      </c>
      <c r="E1302" s="7" t="s">
        <v>1859</v>
      </c>
      <c r="F1302" s="13"/>
      <c r="G1302" s="9">
        <f>IFERROR(VLOOKUP(D1302,Listas!$A$2:$B$20,2,FALSE()),999)</f>
        <v>1</v>
      </c>
      <c r="H1302" s="9" t="str">
        <f t="shared" ca="1" si="20"/>
        <v>Sin fecha</v>
      </c>
      <c r="J1302" s="11">
        <v>60</v>
      </c>
      <c r="K1302" s="11">
        <v>60</v>
      </c>
      <c r="L1302" s="12">
        <v>43464</v>
      </c>
      <c r="M1302" t="s">
        <v>36</v>
      </c>
    </row>
    <row r="1303" spans="1:13" ht="45">
      <c r="A1303" s="6" t="s">
        <v>2342</v>
      </c>
      <c r="B1303" s="7" t="s">
        <v>1412</v>
      </c>
      <c r="C1303" s="7" t="s">
        <v>2343</v>
      </c>
      <c r="D1303" s="6" t="s">
        <v>1467</v>
      </c>
      <c r="E1303" s="7" t="s">
        <v>2344</v>
      </c>
      <c r="F1303" s="13"/>
      <c r="G1303" s="9">
        <f>IFERROR(VLOOKUP(D1303,Listas!$A$2:$B$20,2,FALSE()),999)</f>
        <v>2</v>
      </c>
      <c r="H1303" s="9" t="str">
        <f t="shared" ca="1" si="20"/>
        <v>Sin fecha</v>
      </c>
      <c r="J1303" s="11">
        <v>60</v>
      </c>
      <c r="K1303" s="11">
        <v>60</v>
      </c>
      <c r="L1303" s="12">
        <v>43464</v>
      </c>
      <c r="M1303" t="s">
        <v>36</v>
      </c>
    </row>
    <row r="1304" spans="1:13" ht="45">
      <c r="A1304" s="6" t="s">
        <v>2345</v>
      </c>
      <c r="B1304" s="7" t="s">
        <v>1412</v>
      </c>
      <c r="C1304" s="7" t="s">
        <v>2346</v>
      </c>
      <c r="D1304" s="6" t="s">
        <v>18</v>
      </c>
      <c r="E1304" s="7" t="s">
        <v>1485</v>
      </c>
      <c r="F1304" s="13"/>
      <c r="G1304" s="9">
        <f>IFERROR(VLOOKUP(D1304,Listas!$A$2:$B$20,2,FALSE()),999)</f>
        <v>1</v>
      </c>
      <c r="H1304" s="9" t="str">
        <f t="shared" ca="1" si="20"/>
        <v>Sin fecha</v>
      </c>
      <c r="J1304" s="11">
        <v>60</v>
      </c>
      <c r="K1304" s="11">
        <v>60</v>
      </c>
      <c r="L1304" s="12">
        <v>43464</v>
      </c>
      <c r="M1304" t="s">
        <v>36</v>
      </c>
    </row>
    <row r="1305" spans="1:13" ht="45">
      <c r="A1305" s="6" t="s">
        <v>2347</v>
      </c>
      <c r="B1305" s="7" t="s">
        <v>1412</v>
      </c>
      <c r="C1305" s="7" t="s">
        <v>2348</v>
      </c>
      <c r="D1305" s="6" t="s">
        <v>18</v>
      </c>
      <c r="E1305" s="7" t="s">
        <v>1485</v>
      </c>
      <c r="F1305" s="13"/>
      <c r="G1305" s="9">
        <f>IFERROR(VLOOKUP(D1305,Listas!$A$2:$B$20,2,FALSE()),999)</f>
        <v>1</v>
      </c>
      <c r="H1305" s="9" t="str">
        <f t="shared" ca="1" si="20"/>
        <v>Sin fecha</v>
      </c>
      <c r="J1305" s="11">
        <v>60</v>
      </c>
      <c r="K1305" s="11">
        <v>60</v>
      </c>
      <c r="L1305" s="12">
        <v>43464</v>
      </c>
      <c r="M1305" t="s">
        <v>36</v>
      </c>
    </row>
    <row r="1306" spans="1:13" ht="45">
      <c r="A1306" s="6" t="s">
        <v>2349</v>
      </c>
      <c r="B1306" s="7" t="s">
        <v>1412</v>
      </c>
      <c r="C1306" s="7" t="s">
        <v>2350</v>
      </c>
      <c r="D1306" s="6" t="s">
        <v>18</v>
      </c>
      <c r="E1306" s="7" t="s">
        <v>1485</v>
      </c>
      <c r="F1306" s="13"/>
      <c r="G1306" s="9">
        <f>IFERROR(VLOOKUP(D1306,Listas!$A$2:$B$20,2,FALSE()),999)</f>
        <v>1</v>
      </c>
      <c r="H1306" s="9" t="str">
        <f t="shared" ca="1" si="20"/>
        <v>Sin fecha</v>
      </c>
      <c r="J1306" s="11">
        <v>60</v>
      </c>
      <c r="K1306" s="11">
        <v>60</v>
      </c>
      <c r="L1306" s="12">
        <v>43464</v>
      </c>
      <c r="M1306" t="s">
        <v>36</v>
      </c>
    </row>
    <row r="1307" spans="1:13" ht="45">
      <c r="A1307" s="6" t="s">
        <v>2351</v>
      </c>
      <c r="B1307" s="7" t="s">
        <v>1412</v>
      </c>
      <c r="C1307" s="7" t="s">
        <v>2352</v>
      </c>
      <c r="D1307" s="6" t="s">
        <v>18</v>
      </c>
      <c r="E1307" s="7" t="s">
        <v>1485</v>
      </c>
      <c r="F1307" s="13"/>
      <c r="G1307" s="9">
        <f>IFERROR(VLOOKUP(D1307,Listas!$A$2:$B$20,2,FALSE()),999)</f>
        <v>1</v>
      </c>
      <c r="H1307" s="9" t="str">
        <f t="shared" ca="1" si="20"/>
        <v>Sin fecha</v>
      </c>
      <c r="J1307" s="11">
        <v>60</v>
      </c>
      <c r="K1307" s="11">
        <v>60</v>
      </c>
      <c r="L1307" s="12">
        <v>43464</v>
      </c>
      <c r="M1307" t="s">
        <v>36</v>
      </c>
    </row>
    <row r="1308" spans="1:13" ht="45">
      <c r="A1308" s="6" t="s">
        <v>2353</v>
      </c>
      <c r="B1308" s="7" t="s">
        <v>1412</v>
      </c>
      <c r="C1308" s="7" t="s">
        <v>2354</v>
      </c>
      <c r="D1308" s="6" t="s">
        <v>18</v>
      </c>
      <c r="E1308" s="7" t="s">
        <v>1997</v>
      </c>
      <c r="F1308" s="13"/>
      <c r="G1308" s="9">
        <f>IFERROR(VLOOKUP(D1308,Listas!$A$2:$B$20,2,FALSE()),999)</f>
        <v>1</v>
      </c>
      <c r="H1308" s="9" t="str">
        <f t="shared" ca="1" si="20"/>
        <v>Sin fecha</v>
      </c>
      <c r="J1308" s="11">
        <v>60</v>
      </c>
      <c r="K1308" s="11">
        <v>60</v>
      </c>
      <c r="L1308" s="12">
        <v>43464</v>
      </c>
      <c r="M1308" t="s">
        <v>36</v>
      </c>
    </row>
    <row r="1309" spans="1:13" ht="45">
      <c r="A1309" s="6" t="s">
        <v>2355</v>
      </c>
      <c r="B1309" s="7" t="s">
        <v>1412</v>
      </c>
      <c r="C1309" s="7" t="s">
        <v>2356</v>
      </c>
      <c r="D1309" s="6" t="s">
        <v>18</v>
      </c>
      <c r="E1309" s="7" t="s">
        <v>1474</v>
      </c>
      <c r="F1309" s="13"/>
      <c r="G1309" s="9">
        <f>IFERROR(VLOOKUP(D1309,Listas!$A$2:$B$20,2,FALSE()),999)</f>
        <v>1</v>
      </c>
      <c r="H1309" s="9" t="str">
        <f t="shared" ca="1" si="20"/>
        <v>Sin fecha</v>
      </c>
      <c r="J1309" s="11">
        <v>60</v>
      </c>
      <c r="K1309" s="11">
        <v>60</v>
      </c>
      <c r="L1309" s="12">
        <v>43464</v>
      </c>
      <c r="M1309" t="s">
        <v>36</v>
      </c>
    </row>
    <row r="1310" spans="1:13" ht="45">
      <c r="A1310" s="6" t="s">
        <v>2357</v>
      </c>
      <c r="B1310" s="7" t="s">
        <v>1412</v>
      </c>
      <c r="C1310" s="7" t="s">
        <v>2358</v>
      </c>
      <c r="D1310" s="6" t="s">
        <v>18</v>
      </c>
      <c r="E1310" s="7" t="s">
        <v>1485</v>
      </c>
      <c r="F1310" s="13"/>
      <c r="G1310" s="9">
        <f>IFERROR(VLOOKUP(D1310,Listas!$A$2:$B$20,2,FALSE()),999)</f>
        <v>1</v>
      </c>
      <c r="H1310" s="9" t="str">
        <f t="shared" ca="1" si="20"/>
        <v>Sin fecha</v>
      </c>
      <c r="J1310" s="11">
        <v>60</v>
      </c>
      <c r="K1310" s="11">
        <v>60</v>
      </c>
      <c r="L1310" s="12">
        <v>43464</v>
      </c>
      <c r="M1310" t="s">
        <v>36</v>
      </c>
    </row>
    <row r="1311" spans="1:13" ht="45">
      <c r="A1311" s="6" t="s">
        <v>2359</v>
      </c>
      <c r="B1311" s="7" t="s">
        <v>1412</v>
      </c>
      <c r="C1311" s="7" t="s">
        <v>2360</v>
      </c>
      <c r="D1311" s="6" t="s">
        <v>18</v>
      </c>
      <c r="E1311" s="7" t="s">
        <v>1543</v>
      </c>
      <c r="F1311" s="13"/>
      <c r="G1311" s="9">
        <f>IFERROR(VLOOKUP(D1311,Listas!$A$2:$B$20,2,FALSE()),999)</f>
        <v>1</v>
      </c>
      <c r="H1311" s="9" t="str">
        <f t="shared" ca="1" si="20"/>
        <v>Sin fecha</v>
      </c>
      <c r="J1311" s="11">
        <v>60</v>
      </c>
      <c r="K1311" s="11">
        <v>60</v>
      </c>
      <c r="L1311" s="12">
        <v>43464</v>
      </c>
      <c r="M1311" t="s">
        <v>36</v>
      </c>
    </row>
    <row r="1312" spans="1:13">
      <c r="A1312" s="6" t="s">
        <v>2361</v>
      </c>
      <c r="B1312" s="7" t="s">
        <v>1511</v>
      </c>
      <c r="C1312" s="7" t="s">
        <v>2362</v>
      </c>
      <c r="D1312" s="6" t="s">
        <v>18</v>
      </c>
      <c r="E1312" s="7" t="s">
        <v>2363</v>
      </c>
      <c r="F1312" s="13"/>
      <c r="G1312" s="9">
        <f>IFERROR(VLOOKUP(D1312,Listas!$A$2:$B$20,2,FALSE()),999)</f>
        <v>1</v>
      </c>
      <c r="H1312" s="9" t="str">
        <f t="shared" ca="1" si="20"/>
        <v>Sin fecha</v>
      </c>
      <c r="J1312" s="11">
        <v>1</v>
      </c>
      <c r="K1312" s="11">
        <v>1</v>
      </c>
      <c r="L1312" s="12">
        <v>43435</v>
      </c>
      <c r="M1312" t="s">
        <v>36</v>
      </c>
    </row>
    <row r="1313" spans="1:13">
      <c r="A1313" s="6" t="s">
        <v>2364</v>
      </c>
      <c r="B1313" s="7" t="s">
        <v>1412</v>
      </c>
      <c r="C1313" s="7" t="s">
        <v>2365</v>
      </c>
      <c r="D1313" s="6" t="s">
        <v>18</v>
      </c>
      <c r="E1313" s="7" t="s">
        <v>1603</v>
      </c>
      <c r="F1313" s="13"/>
      <c r="G1313" s="9">
        <f>IFERROR(VLOOKUP(D1313,Listas!$A$2:$B$20,2,FALSE()),999)</f>
        <v>1</v>
      </c>
      <c r="H1313" s="9" t="str">
        <f t="shared" ca="1" si="20"/>
        <v>Sin fecha</v>
      </c>
      <c r="J1313" s="11">
        <v>1</v>
      </c>
      <c r="K1313" s="11">
        <v>1</v>
      </c>
      <c r="L1313" s="12">
        <v>43435</v>
      </c>
      <c r="M1313" t="s">
        <v>36</v>
      </c>
    </row>
    <row r="1314" spans="1:13">
      <c r="A1314" s="6" t="s">
        <v>2366</v>
      </c>
      <c r="B1314" s="7" t="s">
        <v>1412</v>
      </c>
      <c r="C1314" s="7" t="s">
        <v>2365</v>
      </c>
      <c r="D1314" s="6" t="s">
        <v>18</v>
      </c>
      <c r="E1314" s="7" t="s">
        <v>2286</v>
      </c>
      <c r="F1314" s="13"/>
      <c r="G1314" s="9">
        <f>IFERROR(VLOOKUP(D1314,Listas!$A$2:$B$20,2,FALSE()),999)</f>
        <v>1</v>
      </c>
      <c r="H1314" s="9" t="str">
        <f t="shared" ca="1" si="20"/>
        <v>Sin fecha</v>
      </c>
      <c r="J1314" s="11">
        <v>1</v>
      </c>
      <c r="K1314" s="11">
        <v>1</v>
      </c>
      <c r="L1314" s="12">
        <v>43435</v>
      </c>
      <c r="M1314" t="s">
        <v>36</v>
      </c>
    </row>
    <row r="1315" spans="1:13">
      <c r="A1315" s="6" t="s">
        <v>2367</v>
      </c>
      <c r="B1315" s="7" t="s">
        <v>1412</v>
      </c>
      <c r="C1315" s="7" t="s">
        <v>2368</v>
      </c>
      <c r="D1315" s="6" t="s">
        <v>18</v>
      </c>
      <c r="E1315" s="7" t="s">
        <v>2145</v>
      </c>
      <c r="F1315" s="13"/>
      <c r="G1315" s="9">
        <f>IFERROR(VLOOKUP(D1315,Listas!$A$2:$B$20,2,FALSE()),999)</f>
        <v>1</v>
      </c>
      <c r="H1315" s="9" t="str">
        <f t="shared" ca="1" si="20"/>
        <v>Sin fecha</v>
      </c>
      <c r="J1315" s="11">
        <v>1</v>
      </c>
      <c r="K1315" s="11">
        <v>1</v>
      </c>
      <c r="L1315" s="12">
        <v>43451</v>
      </c>
      <c r="M1315" t="s">
        <v>36</v>
      </c>
    </row>
    <row r="1316" spans="1:13" ht="45">
      <c r="A1316" s="6" t="s">
        <v>2369</v>
      </c>
      <c r="B1316" s="7" t="s">
        <v>1511</v>
      </c>
      <c r="C1316" s="7" t="s">
        <v>2370</v>
      </c>
      <c r="D1316" s="6" t="s">
        <v>1467</v>
      </c>
      <c r="E1316" s="7" t="s">
        <v>1513</v>
      </c>
      <c r="F1316" s="13"/>
      <c r="G1316" s="9">
        <f>IFERROR(VLOOKUP(D1316,Listas!$A$2:$B$20,2,FALSE()),999)</f>
        <v>2</v>
      </c>
      <c r="H1316" s="9" t="str">
        <f t="shared" ca="1" si="20"/>
        <v>Sin fecha</v>
      </c>
      <c r="J1316" s="11">
        <v>60</v>
      </c>
      <c r="K1316" s="11">
        <v>60</v>
      </c>
      <c r="L1316" s="12">
        <v>42704</v>
      </c>
      <c r="M1316" t="s">
        <v>36</v>
      </c>
    </row>
    <row r="1317" spans="1:13">
      <c r="A1317" s="6" t="s">
        <v>2371</v>
      </c>
      <c r="B1317" s="7" t="s">
        <v>1511</v>
      </c>
      <c r="C1317" s="7" t="s">
        <v>2362</v>
      </c>
      <c r="D1317" s="6" t="s">
        <v>1467</v>
      </c>
      <c r="E1317" s="7" t="s">
        <v>1513</v>
      </c>
      <c r="F1317" s="13"/>
      <c r="G1317" s="9">
        <f>IFERROR(VLOOKUP(D1317,Listas!$A$2:$B$20,2,FALSE()),999)</f>
        <v>2</v>
      </c>
      <c r="H1317" s="9" t="str">
        <f t="shared" ca="1" si="20"/>
        <v>Sin fecha</v>
      </c>
      <c r="J1317" s="11">
        <v>1</v>
      </c>
      <c r="K1317" s="11">
        <v>1</v>
      </c>
      <c r="L1317" s="12">
        <v>43451</v>
      </c>
      <c r="M1317" t="s">
        <v>36</v>
      </c>
    </row>
    <row r="1318" spans="1:13" ht="30">
      <c r="A1318" s="6" t="s">
        <v>2372</v>
      </c>
      <c r="B1318" s="7" t="s">
        <v>1490</v>
      </c>
      <c r="C1318" s="7" t="s">
        <v>2373</v>
      </c>
      <c r="D1318" s="6" t="s">
        <v>1467</v>
      </c>
      <c r="E1318" s="7" t="s">
        <v>1513</v>
      </c>
      <c r="F1318" s="13"/>
      <c r="G1318" s="9">
        <f>IFERROR(VLOOKUP(D1318,Listas!$A$2:$B$20,2,FALSE()),999)</f>
        <v>2</v>
      </c>
      <c r="H1318" s="9" t="str">
        <f t="shared" ca="1" si="20"/>
        <v>Sin fecha</v>
      </c>
      <c r="J1318" s="11">
        <v>60</v>
      </c>
      <c r="K1318" s="11">
        <v>60</v>
      </c>
      <c r="L1318" s="12">
        <v>42004</v>
      </c>
      <c r="M1318" t="s">
        <v>36</v>
      </c>
    </row>
    <row r="1319" spans="1:13" ht="30">
      <c r="A1319" s="6" t="s">
        <v>2374</v>
      </c>
      <c r="B1319" s="7" t="s">
        <v>1490</v>
      </c>
      <c r="C1319" s="7" t="s">
        <v>2373</v>
      </c>
      <c r="D1319" s="6" t="s">
        <v>1467</v>
      </c>
      <c r="E1319" s="7" t="s">
        <v>1513</v>
      </c>
      <c r="F1319" s="13"/>
      <c r="G1319" s="9">
        <f>IFERROR(VLOOKUP(D1319,Listas!$A$2:$B$20,2,FALSE()),999)</f>
        <v>2</v>
      </c>
      <c r="H1319" s="9" t="str">
        <f t="shared" ca="1" si="20"/>
        <v>Sin fecha</v>
      </c>
      <c r="J1319" s="11">
        <v>60</v>
      </c>
      <c r="K1319" s="11">
        <v>60</v>
      </c>
      <c r="L1319" s="12">
        <v>42004</v>
      </c>
      <c r="M1319" t="s">
        <v>36</v>
      </c>
    </row>
    <row r="1320" spans="1:13" ht="30">
      <c r="A1320" s="6" t="s">
        <v>2375</v>
      </c>
      <c r="B1320" s="7" t="s">
        <v>1412</v>
      </c>
      <c r="C1320" s="7" t="s">
        <v>1487</v>
      </c>
      <c r="D1320" s="6" t="s">
        <v>1467</v>
      </c>
      <c r="E1320" s="7" t="s">
        <v>1513</v>
      </c>
      <c r="F1320" s="13"/>
      <c r="G1320" s="9">
        <f>IFERROR(VLOOKUP(D1320,Listas!$A$2:$B$20,2,FALSE()),999)</f>
        <v>2</v>
      </c>
      <c r="H1320" s="9" t="str">
        <f t="shared" ca="1" si="20"/>
        <v>Sin fecha</v>
      </c>
      <c r="J1320" s="11">
        <v>60</v>
      </c>
      <c r="K1320" s="11">
        <v>60</v>
      </c>
      <c r="L1320" s="12">
        <v>42094</v>
      </c>
      <c r="M1320" t="s">
        <v>36</v>
      </c>
    </row>
    <row r="1321" spans="1:13">
      <c r="A1321" s="6" t="s">
        <v>2376</v>
      </c>
      <c r="B1321" s="7" t="s">
        <v>1412</v>
      </c>
      <c r="C1321" s="7" t="s">
        <v>2377</v>
      </c>
      <c r="D1321" s="6" t="s">
        <v>1467</v>
      </c>
      <c r="E1321" s="7" t="s">
        <v>1468</v>
      </c>
      <c r="F1321" s="13"/>
      <c r="G1321" s="9">
        <f>IFERROR(VLOOKUP(D1321,Listas!$A$2:$B$20,2,FALSE()),999)</f>
        <v>2</v>
      </c>
      <c r="H1321" s="9" t="str">
        <f t="shared" ca="1" si="20"/>
        <v>Sin fecha</v>
      </c>
      <c r="J1321" s="11">
        <v>1</v>
      </c>
      <c r="K1321" s="11">
        <v>1</v>
      </c>
      <c r="L1321" s="12">
        <v>43451</v>
      </c>
      <c r="M1321" t="s">
        <v>36</v>
      </c>
    </row>
    <row r="1322" spans="1:13" ht="30">
      <c r="A1322" s="6" t="s">
        <v>2378</v>
      </c>
      <c r="B1322" s="7" t="s">
        <v>1511</v>
      </c>
      <c r="C1322" s="7" t="s">
        <v>1575</v>
      </c>
      <c r="D1322" s="6" t="s">
        <v>1467</v>
      </c>
      <c r="E1322" s="7" t="s">
        <v>1513</v>
      </c>
      <c r="F1322" s="13"/>
      <c r="G1322" s="9">
        <f>IFERROR(VLOOKUP(D1322,Listas!$A$2:$B$20,2,FALSE()),999)</f>
        <v>2</v>
      </c>
      <c r="H1322" s="9" t="str">
        <f t="shared" ca="1" si="20"/>
        <v>Sin fecha</v>
      </c>
      <c r="J1322" s="11">
        <v>60</v>
      </c>
      <c r="K1322" s="11">
        <v>60</v>
      </c>
      <c r="L1322" s="12">
        <v>41455</v>
      </c>
      <c r="M1322" t="s">
        <v>36</v>
      </c>
    </row>
    <row r="1323" spans="1:13" ht="45">
      <c r="A1323" s="6" t="s">
        <v>2379</v>
      </c>
      <c r="B1323" s="7" t="s">
        <v>1511</v>
      </c>
      <c r="C1323" s="7" t="s">
        <v>2380</v>
      </c>
      <c r="D1323" s="6" t="s">
        <v>1467</v>
      </c>
      <c r="E1323" s="7" t="s">
        <v>1513</v>
      </c>
      <c r="F1323" s="13"/>
      <c r="G1323" s="9">
        <f>IFERROR(VLOOKUP(D1323,Listas!$A$2:$B$20,2,FALSE()),999)</f>
        <v>2</v>
      </c>
      <c r="H1323" s="9" t="str">
        <f t="shared" ca="1" si="20"/>
        <v>Sin fecha</v>
      </c>
      <c r="J1323" s="11">
        <v>60</v>
      </c>
      <c r="K1323" s="11">
        <v>60</v>
      </c>
      <c r="L1323" s="12">
        <v>42247</v>
      </c>
      <c r="M1323" t="s">
        <v>36</v>
      </c>
    </row>
    <row r="1324" spans="1:13" ht="45">
      <c r="A1324" s="6" t="s">
        <v>2381</v>
      </c>
      <c r="B1324" s="7" t="s">
        <v>1511</v>
      </c>
      <c r="C1324" s="7" t="s">
        <v>2382</v>
      </c>
      <c r="D1324" s="6" t="s">
        <v>1467</v>
      </c>
      <c r="E1324" s="7" t="s">
        <v>1513</v>
      </c>
      <c r="F1324" s="13"/>
      <c r="G1324" s="9">
        <f>IFERROR(VLOOKUP(D1324,Listas!$A$2:$B$20,2,FALSE()),999)</f>
        <v>2</v>
      </c>
      <c r="H1324" s="9" t="str">
        <f t="shared" ca="1" si="20"/>
        <v>Sin fecha</v>
      </c>
      <c r="J1324" s="11">
        <v>60</v>
      </c>
      <c r="K1324" s="11">
        <v>60</v>
      </c>
      <c r="L1324" s="12">
        <v>42247</v>
      </c>
      <c r="M1324" t="s">
        <v>36</v>
      </c>
    </row>
    <row r="1325" spans="1:13" ht="45">
      <c r="A1325" s="6" t="s">
        <v>2383</v>
      </c>
      <c r="B1325" s="7" t="s">
        <v>1511</v>
      </c>
      <c r="C1325" s="7" t="s">
        <v>2384</v>
      </c>
      <c r="D1325" s="6" t="s">
        <v>1467</v>
      </c>
      <c r="E1325" s="7" t="s">
        <v>1513</v>
      </c>
      <c r="F1325" s="13"/>
      <c r="G1325" s="9">
        <f>IFERROR(VLOOKUP(D1325,Listas!$A$2:$B$20,2,FALSE()),999)</f>
        <v>2</v>
      </c>
      <c r="H1325" s="9" t="str">
        <f t="shared" ca="1" si="20"/>
        <v>Sin fecha</v>
      </c>
      <c r="J1325" s="11">
        <v>60</v>
      </c>
      <c r="K1325" s="11">
        <v>60</v>
      </c>
      <c r="L1325" s="12">
        <v>41455</v>
      </c>
      <c r="M1325" t="s">
        <v>36</v>
      </c>
    </row>
    <row r="1326" spans="1:13">
      <c r="A1326" s="6" t="s">
        <v>2385</v>
      </c>
      <c r="B1326" s="7" t="s">
        <v>1511</v>
      </c>
      <c r="C1326" s="7" t="s">
        <v>1339</v>
      </c>
      <c r="D1326" s="6" t="s">
        <v>18</v>
      </c>
      <c r="E1326" s="7" t="s">
        <v>1485</v>
      </c>
      <c r="F1326" s="13"/>
      <c r="G1326" s="9">
        <f>IFERROR(VLOOKUP(D1326,Listas!$A$2:$B$20,2,FALSE()),999)</f>
        <v>1</v>
      </c>
      <c r="H1326" s="9" t="str">
        <f t="shared" ca="1" si="20"/>
        <v>Sin fecha</v>
      </c>
      <c r="J1326" s="11">
        <v>1</v>
      </c>
      <c r="K1326" s="11">
        <v>1</v>
      </c>
      <c r="L1326" s="12">
        <v>43451</v>
      </c>
      <c r="M1326" t="s">
        <v>36</v>
      </c>
    </row>
    <row r="1327" spans="1:13">
      <c r="A1327" s="6" t="s">
        <v>2386</v>
      </c>
      <c r="B1327" s="7" t="s">
        <v>1412</v>
      </c>
      <c r="C1327" s="7" t="s">
        <v>2365</v>
      </c>
      <c r="D1327" s="6" t="s">
        <v>18</v>
      </c>
      <c r="E1327" s="7" t="s">
        <v>1504</v>
      </c>
      <c r="F1327" s="13"/>
      <c r="G1327" s="9">
        <f>IFERROR(VLOOKUP(D1327,Listas!$A$2:$B$20,2,FALSE()),999)</f>
        <v>1</v>
      </c>
      <c r="H1327" s="9" t="str">
        <f t="shared" ca="1" si="20"/>
        <v>Sin fecha</v>
      </c>
      <c r="J1327" s="11">
        <v>1</v>
      </c>
      <c r="K1327" s="11">
        <v>1</v>
      </c>
      <c r="L1327" s="12">
        <v>43451</v>
      </c>
      <c r="M1327" t="s">
        <v>36</v>
      </c>
    </row>
    <row r="1328" spans="1:13" ht="150">
      <c r="A1328" s="6" t="s">
        <v>2387</v>
      </c>
      <c r="B1328" s="7" t="s">
        <v>1511</v>
      </c>
      <c r="C1328" s="7" t="s">
        <v>2388</v>
      </c>
      <c r="D1328" s="6" t="s">
        <v>1467</v>
      </c>
      <c r="E1328" s="7" t="s">
        <v>2389</v>
      </c>
      <c r="F1328" s="13"/>
      <c r="G1328" s="9">
        <f>IFERROR(VLOOKUP(D1328,Listas!$A$2:$B$20,2,FALSE()),999)</f>
        <v>2</v>
      </c>
      <c r="H1328" s="9" t="str">
        <f t="shared" ca="1" si="20"/>
        <v>Sin fecha</v>
      </c>
      <c r="J1328" s="11">
        <v>60</v>
      </c>
      <c r="K1328" s="11">
        <v>60</v>
      </c>
      <c r="L1328" s="12">
        <v>43481</v>
      </c>
      <c r="M1328" t="s">
        <v>36</v>
      </c>
    </row>
    <row r="1329" spans="1:13" ht="60">
      <c r="A1329" s="6" t="s">
        <v>2390</v>
      </c>
      <c r="B1329" s="7" t="s">
        <v>1412</v>
      </c>
      <c r="C1329" s="7" t="s">
        <v>2391</v>
      </c>
      <c r="D1329" s="6" t="s">
        <v>1467</v>
      </c>
      <c r="E1329" s="7" t="s">
        <v>2067</v>
      </c>
      <c r="F1329" s="13"/>
      <c r="G1329" s="9">
        <f>IFERROR(VLOOKUP(D1329,Listas!$A$2:$B$20,2,FALSE()),999)</f>
        <v>2</v>
      </c>
      <c r="H1329" s="9" t="str">
        <f t="shared" ca="1" si="20"/>
        <v>Sin fecha</v>
      </c>
      <c r="J1329" s="11">
        <v>60</v>
      </c>
      <c r="K1329" s="11">
        <v>60</v>
      </c>
      <c r="L1329" s="12">
        <v>43484</v>
      </c>
      <c r="M1329" t="s">
        <v>36</v>
      </c>
    </row>
    <row r="1330" spans="1:13" ht="60">
      <c r="A1330" s="6" t="s">
        <v>2392</v>
      </c>
      <c r="B1330" s="7" t="s">
        <v>1511</v>
      </c>
      <c r="C1330" s="7" t="s">
        <v>2393</v>
      </c>
      <c r="D1330" s="6" t="s">
        <v>1467</v>
      </c>
      <c r="E1330" s="7" t="s">
        <v>1513</v>
      </c>
      <c r="F1330" s="13"/>
      <c r="G1330" s="9">
        <f>IFERROR(VLOOKUP(D1330,Listas!$A$2:$B$20,2,FALSE()),999)</f>
        <v>2</v>
      </c>
      <c r="H1330" s="9" t="str">
        <f t="shared" ca="1" si="20"/>
        <v>Sin fecha</v>
      </c>
      <c r="J1330" s="11">
        <v>60</v>
      </c>
      <c r="K1330" s="11">
        <v>60</v>
      </c>
      <c r="L1330" s="12">
        <v>43484</v>
      </c>
      <c r="M1330" t="s">
        <v>36</v>
      </c>
    </row>
    <row r="1331" spans="1:13">
      <c r="A1331" s="6" t="s">
        <v>2394</v>
      </c>
      <c r="B1331" s="7" t="s">
        <v>141</v>
      </c>
      <c r="C1331" s="7" t="s">
        <v>2395</v>
      </c>
      <c r="D1331" s="6" t="s">
        <v>18</v>
      </c>
      <c r="E1331" s="7" t="s">
        <v>1492</v>
      </c>
      <c r="F1331" s="13"/>
      <c r="G1331" s="9">
        <f>IFERROR(VLOOKUP(D1331,Listas!$A$2:$B$20,2,FALSE()),999)</f>
        <v>1</v>
      </c>
      <c r="H1331" s="9" t="str">
        <f t="shared" ca="1" si="20"/>
        <v>Sin fecha</v>
      </c>
      <c r="J1331" s="11">
        <v>1</v>
      </c>
      <c r="K1331" s="11">
        <v>1</v>
      </c>
      <c r="L1331" s="12">
        <v>43461</v>
      </c>
      <c r="M1331" t="s">
        <v>36</v>
      </c>
    </row>
    <row r="1332" spans="1:13">
      <c r="A1332" s="6" t="s">
        <v>2396</v>
      </c>
      <c r="B1332" s="7" t="s">
        <v>2397</v>
      </c>
      <c r="C1332" s="7" t="s">
        <v>2395</v>
      </c>
      <c r="D1332" s="6" t="s">
        <v>1467</v>
      </c>
      <c r="E1332" s="7" t="s">
        <v>1468</v>
      </c>
      <c r="F1332" s="13"/>
      <c r="G1332" s="9">
        <f>IFERROR(VLOOKUP(D1332,Listas!$A$2:$B$20,2,FALSE()),999)</f>
        <v>2</v>
      </c>
      <c r="H1332" s="9" t="str">
        <f t="shared" ca="1" si="20"/>
        <v>Sin fecha</v>
      </c>
      <c r="J1332" s="11">
        <v>60</v>
      </c>
      <c r="K1332" s="11">
        <v>0</v>
      </c>
      <c r="L1332" s="12">
        <v>43566</v>
      </c>
      <c r="M1332" t="s">
        <v>20</v>
      </c>
    </row>
    <row r="1333" spans="1:13" ht="165">
      <c r="A1333" s="6" t="s">
        <v>2398</v>
      </c>
      <c r="B1333" s="7" t="s">
        <v>141</v>
      </c>
      <c r="C1333" s="7" t="s">
        <v>2399</v>
      </c>
      <c r="D1333" s="6" t="s">
        <v>18</v>
      </c>
      <c r="E1333" s="7" t="s">
        <v>1479</v>
      </c>
      <c r="F1333" s="13"/>
      <c r="G1333" s="9">
        <f>IFERROR(VLOOKUP(D1333,Listas!$A$2:$B$20,2,FALSE()),999)</f>
        <v>1</v>
      </c>
      <c r="H1333" s="9" t="str">
        <f t="shared" ca="1" si="20"/>
        <v>Sin fecha</v>
      </c>
      <c r="J1333" s="11">
        <v>60</v>
      </c>
      <c r="K1333" s="11">
        <v>60</v>
      </c>
      <c r="L1333" s="12">
        <v>43609</v>
      </c>
      <c r="M1333" t="s">
        <v>36</v>
      </c>
    </row>
    <row r="1334" spans="1:13" ht="165">
      <c r="A1334" s="6" t="s">
        <v>2400</v>
      </c>
      <c r="B1334" s="7" t="s">
        <v>1412</v>
      </c>
      <c r="C1334" s="7" t="s">
        <v>2401</v>
      </c>
      <c r="D1334" s="6" t="s">
        <v>18</v>
      </c>
      <c r="E1334" s="7" t="s">
        <v>1556</v>
      </c>
      <c r="F1334" s="13"/>
      <c r="G1334" s="9">
        <f>IFERROR(VLOOKUP(D1334,Listas!$A$2:$B$20,2,FALSE()),999)</f>
        <v>1</v>
      </c>
      <c r="H1334" s="9" t="str">
        <f t="shared" ca="1" si="20"/>
        <v>Sin fecha</v>
      </c>
      <c r="J1334" s="11">
        <v>60</v>
      </c>
      <c r="K1334" s="11">
        <v>60</v>
      </c>
      <c r="L1334" s="12">
        <v>43609</v>
      </c>
      <c r="M1334" t="s">
        <v>36</v>
      </c>
    </row>
    <row r="1335" spans="1:13" ht="75">
      <c r="A1335" s="6" t="s">
        <v>2402</v>
      </c>
      <c r="B1335" s="7" t="s">
        <v>1511</v>
      </c>
      <c r="C1335" s="7" t="s">
        <v>2403</v>
      </c>
      <c r="D1335" s="6" t="s">
        <v>18</v>
      </c>
      <c r="E1335" s="7" t="s">
        <v>2404</v>
      </c>
      <c r="F1335" s="13"/>
      <c r="G1335" s="9">
        <f>IFERROR(VLOOKUP(D1335,Listas!$A$2:$B$20,2,FALSE()),999)</f>
        <v>1</v>
      </c>
      <c r="H1335" s="9" t="str">
        <f t="shared" ca="1" si="20"/>
        <v>Sin fecha</v>
      </c>
      <c r="J1335" s="11">
        <v>60</v>
      </c>
      <c r="K1335" s="11">
        <v>60</v>
      </c>
      <c r="L1335" s="12">
        <v>43609</v>
      </c>
      <c r="M1335" t="s">
        <v>36</v>
      </c>
    </row>
    <row r="1336" spans="1:13" ht="75">
      <c r="A1336" s="6" t="s">
        <v>2405</v>
      </c>
      <c r="B1336" s="7" t="s">
        <v>1412</v>
      </c>
      <c r="C1336" s="7" t="s">
        <v>2403</v>
      </c>
      <c r="D1336" s="6" t="s">
        <v>18</v>
      </c>
      <c r="E1336" s="7" t="s">
        <v>1556</v>
      </c>
      <c r="F1336" s="13"/>
      <c r="G1336" s="9">
        <f>IFERROR(VLOOKUP(D1336,Listas!$A$2:$B$20,2,FALSE()),999)</f>
        <v>1</v>
      </c>
      <c r="H1336" s="9" t="str">
        <f t="shared" ca="1" si="20"/>
        <v>Sin fecha</v>
      </c>
      <c r="J1336" s="11">
        <v>60</v>
      </c>
      <c r="K1336" s="11">
        <v>60</v>
      </c>
      <c r="L1336" s="12">
        <v>43609</v>
      </c>
      <c r="M1336" t="s">
        <v>36</v>
      </c>
    </row>
    <row r="1337" spans="1:13" ht="75">
      <c r="A1337" s="6" t="s">
        <v>2406</v>
      </c>
      <c r="B1337" s="7" t="s">
        <v>1412</v>
      </c>
      <c r="C1337" s="7" t="s">
        <v>2403</v>
      </c>
      <c r="D1337" s="6" t="s">
        <v>18</v>
      </c>
      <c r="E1337" s="7" t="s">
        <v>1556</v>
      </c>
      <c r="F1337" s="13"/>
      <c r="G1337" s="9">
        <f>IFERROR(VLOOKUP(D1337,Listas!$A$2:$B$20,2,FALSE()),999)</f>
        <v>1</v>
      </c>
      <c r="H1337" s="9" t="str">
        <f t="shared" ca="1" si="20"/>
        <v>Sin fecha</v>
      </c>
      <c r="J1337" s="11">
        <v>60</v>
      </c>
      <c r="K1337" s="11">
        <v>60</v>
      </c>
      <c r="L1337" s="12">
        <v>43609</v>
      </c>
      <c r="M1337" t="s">
        <v>36</v>
      </c>
    </row>
    <row r="1338" spans="1:13" ht="75">
      <c r="A1338" s="6" t="s">
        <v>2407</v>
      </c>
      <c r="B1338" s="7" t="s">
        <v>1412</v>
      </c>
      <c r="C1338" s="7" t="s">
        <v>2403</v>
      </c>
      <c r="D1338" s="6" t="s">
        <v>18</v>
      </c>
      <c r="E1338" s="7" t="s">
        <v>1556</v>
      </c>
      <c r="F1338" s="13"/>
      <c r="G1338" s="9">
        <f>IFERROR(VLOOKUP(D1338,Listas!$A$2:$B$20,2,FALSE()),999)</f>
        <v>1</v>
      </c>
      <c r="H1338" s="9" t="str">
        <f t="shared" ca="1" si="20"/>
        <v>Sin fecha</v>
      </c>
      <c r="J1338" s="11">
        <v>60</v>
      </c>
      <c r="K1338" s="11">
        <v>60</v>
      </c>
      <c r="L1338" s="12">
        <v>43609</v>
      </c>
      <c r="M1338" t="s">
        <v>36</v>
      </c>
    </row>
    <row r="1339" spans="1:13" ht="180">
      <c r="A1339" s="6" t="s">
        <v>2408</v>
      </c>
      <c r="B1339" s="7" t="s">
        <v>141</v>
      </c>
      <c r="C1339" s="7" t="s">
        <v>2409</v>
      </c>
      <c r="D1339" s="6" t="s">
        <v>18</v>
      </c>
      <c r="E1339" s="7" t="s">
        <v>1795</v>
      </c>
      <c r="F1339" s="13"/>
      <c r="G1339" s="9">
        <f>IFERROR(VLOOKUP(D1339,Listas!$A$2:$B$20,2,FALSE()),999)</f>
        <v>1</v>
      </c>
      <c r="H1339" s="9" t="str">
        <f t="shared" ca="1" si="20"/>
        <v>Sin fecha</v>
      </c>
      <c r="J1339" s="11">
        <v>60</v>
      </c>
      <c r="K1339" s="11">
        <v>60</v>
      </c>
      <c r="L1339" s="12">
        <v>43610</v>
      </c>
      <c r="M1339" t="s">
        <v>36</v>
      </c>
    </row>
    <row r="1340" spans="1:13" ht="60">
      <c r="A1340" s="6" t="s">
        <v>2410</v>
      </c>
      <c r="B1340" s="7" t="s">
        <v>1511</v>
      </c>
      <c r="C1340" s="7" t="s">
        <v>2411</v>
      </c>
      <c r="D1340" s="6" t="s">
        <v>18</v>
      </c>
      <c r="E1340" s="7" t="s">
        <v>1901</v>
      </c>
      <c r="F1340" s="13"/>
      <c r="G1340" s="9">
        <f>IFERROR(VLOOKUP(D1340,Listas!$A$2:$B$20,2,FALSE()),999)</f>
        <v>1</v>
      </c>
      <c r="H1340" s="9" t="str">
        <f t="shared" ca="1" si="20"/>
        <v>Sin fecha</v>
      </c>
      <c r="J1340" s="11">
        <v>60</v>
      </c>
      <c r="K1340" s="11">
        <v>60</v>
      </c>
      <c r="L1340" s="12">
        <v>43622</v>
      </c>
      <c r="M1340" t="s">
        <v>36</v>
      </c>
    </row>
    <row r="1341" spans="1:13" ht="195">
      <c r="A1341" s="6" t="s">
        <v>2412</v>
      </c>
      <c r="B1341" s="7" t="s">
        <v>1511</v>
      </c>
      <c r="C1341" s="7" t="s">
        <v>2413</v>
      </c>
      <c r="D1341" s="6" t="s">
        <v>1467</v>
      </c>
      <c r="E1341" s="7" t="s">
        <v>2216</v>
      </c>
      <c r="F1341" s="13"/>
      <c r="G1341" s="9">
        <f>IFERROR(VLOOKUP(D1341,Listas!$A$2:$B$20,2,FALSE()),999)</f>
        <v>2</v>
      </c>
      <c r="H1341" s="9" t="str">
        <f t="shared" ca="1" si="20"/>
        <v>Sin fecha</v>
      </c>
      <c r="J1341" s="11">
        <v>60</v>
      </c>
      <c r="K1341" s="11">
        <v>60</v>
      </c>
      <c r="L1341" s="12">
        <v>43637</v>
      </c>
      <c r="M1341" t="s">
        <v>36</v>
      </c>
    </row>
    <row r="1342" spans="1:13" ht="210">
      <c r="A1342" s="6" t="s">
        <v>2414</v>
      </c>
      <c r="B1342" s="7" t="s">
        <v>141</v>
      </c>
      <c r="C1342" s="7" t="s">
        <v>2415</v>
      </c>
      <c r="D1342" s="6" t="s">
        <v>18</v>
      </c>
      <c r="E1342" s="7" t="s">
        <v>1482</v>
      </c>
      <c r="F1342" s="13"/>
      <c r="G1342" s="9">
        <f>IFERROR(VLOOKUP(D1342,Listas!$A$2:$B$20,2,FALSE()),999)</f>
        <v>1</v>
      </c>
      <c r="H1342" s="9" t="str">
        <f t="shared" ca="1" si="20"/>
        <v>Sin fecha</v>
      </c>
      <c r="J1342" s="11">
        <v>60</v>
      </c>
      <c r="K1342" s="11">
        <v>60</v>
      </c>
      <c r="L1342" s="12">
        <v>43667</v>
      </c>
      <c r="M1342" t="s">
        <v>36</v>
      </c>
    </row>
    <row r="1343" spans="1:13" ht="75">
      <c r="A1343" s="6" t="s">
        <v>2416</v>
      </c>
      <c r="B1343" s="7" t="s">
        <v>1511</v>
      </c>
      <c r="C1343" s="7" t="s">
        <v>2417</v>
      </c>
      <c r="D1343" s="6" t="s">
        <v>18</v>
      </c>
      <c r="E1343" s="7" t="s">
        <v>1950</v>
      </c>
      <c r="F1343" s="13"/>
      <c r="G1343" s="9">
        <f>IFERROR(VLOOKUP(D1343,Listas!$A$2:$B$20,2,FALSE()),999)</f>
        <v>1</v>
      </c>
      <c r="H1343" s="9" t="str">
        <f t="shared" ca="1" si="20"/>
        <v>Sin fecha</v>
      </c>
      <c r="J1343" s="11">
        <v>60</v>
      </c>
      <c r="K1343" s="11">
        <v>60</v>
      </c>
      <c r="L1343" s="12">
        <v>43691</v>
      </c>
      <c r="M1343" t="s">
        <v>36</v>
      </c>
    </row>
    <row r="1344" spans="1:13" ht="75">
      <c r="A1344" s="6" t="s">
        <v>2418</v>
      </c>
      <c r="B1344" s="7" t="s">
        <v>1511</v>
      </c>
      <c r="C1344" s="7" t="s">
        <v>2417</v>
      </c>
      <c r="D1344" s="6" t="s">
        <v>18</v>
      </c>
      <c r="E1344" s="7" t="s">
        <v>2419</v>
      </c>
      <c r="F1344" s="13"/>
      <c r="G1344" s="9">
        <f>IFERROR(VLOOKUP(D1344,Listas!$A$2:$B$20,2,FALSE()),999)</f>
        <v>1</v>
      </c>
      <c r="H1344" s="9" t="str">
        <f t="shared" ca="1" si="20"/>
        <v>Sin fecha</v>
      </c>
      <c r="J1344" s="11">
        <v>60</v>
      </c>
      <c r="K1344" s="11">
        <v>60</v>
      </c>
      <c r="L1344" s="12">
        <v>43691</v>
      </c>
      <c r="M1344" t="s">
        <v>36</v>
      </c>
    </row>
    <row r="1345" spans="1:13" ht="150">
      <c r="A1345" s="6" t="s">
        <v>2420</v>
      </c>
      <c r="B1345" s="7" t="s">
        <v>1511</v>
      </c>
      <c r="C1345" s="7" t="s">
        <v>2421</v>
      </c>
      <c r="D1345" s="6" t="s">
        <v>18</v>
      </c>
      <c r="E1345" s="7" t="s">
        <v>1513</v>
      </c>
      <c r="F1345" s="13"/>
      <c r="G1345" s="9">
        <f>IFERROR(VLOOKUP(D1345,Listas!$A$2:$B$20,2,FALSE()),999)</f>
        <v>1</v>
      </c>
      <c r="H1345" s="9" t="str">
        <f t="shared" ca="1" si="20"/>
        <v>Sin fecha</v>
      </c>
      <c r="J1345" s="11">
        <v>60</v>
      </c>
      <c r="K1345" s="11">
        <v>60</v>
      </c>
      <c r="L1345" s="12">
        <v>43698</v>
      </c>
      <c r="M1345" t="s">
        <v>36</v>
      </c>
    </row>
    <row r="1346" spans="1:13" ht="195">
      <c r="A1346" s="6" t="s">
        <v>2422</v>
      </c>
      <c r="B1346" s="7" t="s">
        <v>1412</v>
      </c>
      <c r="C1346" s="7" t="s">
        <v>2423</v>
      </c>
      <c r="D1346" s="6" t="s">
        <v>18</v>
      </c>
      <c r="E1346" s="7" t="s">
        <v>1556</v>
      </c>
      <c r="F1346" s="13"/>
      <c r="G1346" s="9">
        <f>IFERROR(VLOOKUP(D1346,Listas!$A$2:$B$20,2,FALSE()),999)</f>
        <v>1</v>
      </c>
      <c r="H1346" s="9" t="str">
        <f t="shared" ca="1" si="20"/>
        <v>Sin fecha</v>
      </c>
      <c r="J1346" s="11">
        <v>60</v>
      </c>
      <c r="K1346" s="11">
        <v>60</v>
      </c>
      <c r="L1346" s="12">
        <v>43698</v>
      </c>
      <c r="M1346" t="s">
        <v>36</v>
      </c>
    </row>
    <row r="1347" spans="1:13" ht="165">
      <c r="A1347" s="6" t="s">
        <v>2424</v>
      </c>
      <c r="B1347" s="7" t="s">
        <v>1412</v>
      </c>
      <c r="C1347" s="7" t="s">
        <v>2425</v>
      </c>
      <c r="D1347" s="6" t="s">
        <v>1467</v>
      </c>
      <c r="E1347" s="7" t="s">
        <v>1820</v>
      </c>
      <c r="F1347" s="13"/>
      <c r="G1347" s="9">
        <f>IFERROR(VLOOKUP(D1347,Listas!$A$2:$B$20,2,FALSE()),999)</f>
        <v>2</v>
      </c>
      <c r="H1347" s="9" t="str">
        <f t="shared" ca="1" si="20"/>
        <v>Sin fecha</v>
      </c>
      <c r="J1347" s="11">
        <v>60</v>
      </c>
      <c r="K1347" s="11">
        <v>60</v>
      </c>
      <c r="L1347" s="12">
        <v>43698</v>
      </c>
      <c r="M1347" t="s">
        <v>36</v>
      </c>
    </row>
    <row r="1348" spans="1:13" ht="45">
      <c r="A1348" s="6" t="s">
        <v>2426</v>
      </c>
      <c r="B1348" s="7" t="s">
        <v>1412</v>
      </c>
      <c r="C1348" s="7" t="s">
        <v>2427</v>
      </c>
      <c r="D1348" s="6" t="s">
        <v>18</v>
      </c>
      <c r="E1348" s="7" t="s">
        <v>1476</v>
      </c>
      <c r="F1348" s="13"/>
      <c r="G1348" s="9">
        <f>IFERROR(VLOOKUP(D1348,Listas!$A$2:$B$20,2,FALSE()),999)</f>
        <v>1</v>
      </c>
      <c r="H1348" s="9" t="str">
        <f t="shared" ca="1" si="20"/>
        <v>Sin fecha</v>
      </c>
      <c r="J1348" s="11">
        <v>60</v>
      </c>
      <c r="K1348" s="11">
        <v>60</v>
      </c>
      <c r="L1348" s="12">
        <v>43698</v>
      </c>
      <c r="M1348" t="s">
        <v>36</v>
      </c>
    </row>
    <row r="1349" spans="1:13" ht="195">
      <c r="A1349" s="6" t="s">
        <v>2428</v>
      </c>
      <c r="B1349" s="7" t="s">
        <v>1511</v>
      </c>
      <c r="C1349" s="7" t="s">
        <v>2429</v>
      </c>
      <c r="D1349" s="6" t="s">
        <v>18</v>
      </c>
      <c r="E1349" s="7" t="s">
        <v>2430</v>
      </c>
      <c r="F1349" s="13"/>
      <c r="G1349" s="9">
        <f>IFERROR(VLOOKUP(D1349,Listas!$A$2:$B$20,2,FALSE()),999)</f>
        <v>1</v>
      </c>
      <c r="H1349" s="9" t="str">
        <f t="shared" ref="H1349:H1412" ca="1" si="21">IF(F1349="","Sin fecha",IF(TODAY()-F1349&gt;180,"Revisar",IF(TODAY()-F1349&gt;90,"Próximo","Vigente")))</f>
        <v>Sin fecha</v>
      </c>
      <c r="J1349" s="11">
        <v>60</v>
      </c>
      <c r="K1349" s="11">
        <v>60</v>
      </c>
      <c r="L1349" s="12">
        <v>43730</v>
      </c>
      <c r="M1349" t="s">
        <v>36</v>
      </c>
    </row>
    <row r="1350" spans="1:13" ht="195">
      <c r="A1350" s="6" t="s">
        <v>2431</v>
      </c>
      <c r="B1350" s="7" t="s">
        <v>1412</v>
      </c>
      <c r="C1350" s="7" t="s">
        <v>2432</v>
      </c>
      <c r="D1350" s="6" t="s">
        <v>1467</v>
      </c>
      <c r="E1350" s="7" t="s">
        <v>1820</v>
      </c>
      <c r="F1350" s="13"/>
      <c r="G1350" s="9">
        <f>IFERROR(VLOOKUP(D1350,Listas!$A$2:$B$20,2,FALSE()),999)</f>
        <v>2</v>
      </c>
      <c r="H1350" s="9" t="str">
        <f t="shared" ca="1" si="21"/>
        <v>Sin fecha</v>
      </c>
      <c r="J1350" s="11">
        <v>60</v>
      </c>
      <c r="K1350" s="11">
        <v>60</v>
      </c>
      <c r="L1350" s="12">
        <v>43800</v>
      </c>
      <c r="M1350" t="s">
        <v>36</v>
      </c>
    </row>
    <row r="1351" spans="1:13" ht="105">
      <c r="A1351" s="6" t="s">
        <v>2433</v>
      </c>
      <c r="B1351" s="7" t="s">
        <v>1511</v>
      </c>
      <c r="C1351" s="7" t="s">
        <v>2434</v>
      </c>
      <c r="D1351" s="6" t="s">
        <v>18</v>
      </c>
      <c r="E1351" s="7" t="s">
        <v>1492</v>
      </c>
      <c r="F1351" s="13"/>
      <c r="G1351" s="9">
        <f>IFERROR(VLOOKUP(D1351,Listas!$A$2:$B$20,2,FALSE()),999)</f>
        <v>1</v>
      </c>
      <c r="H1351" s="9" t="str">
        <f t="shared" ca="1" si="21"/>
        <v>Sin fecha</v>
      </c>
      <c r="J1351" s="11">
        <v>60</v>
      </c>
      <c r="K1351" s="11">
        <v>60</v>
      </c>
      <c r="L1351" s="12">
        <v>43831</v>
      </c>
      <c r="M1351" t="s">
        <v>36</v>
      </c>
    </row>
    <row r="1352" spans="1:13" ht="165">
      <c r="A1352" s="6" t="s">
        <v>2435</v>
      </c>
      <c r="B1352" s="7" t="s">
        <v>1412</v>
      </c>
      <c r="C1352" s="7" t="s">
        <v>2436</v>
      </c>
      <c r="D1352" s="6" t="s">
        <v>1467</v>
      </c>
      <c r="E1352" s="7" t="s">
        <v>1567</v>
      </c>
      <c r="F1352" s="13"/>
      <c r="G1352" s="9">
        <f>IFERROR(VLOOKUP(D1352,Listas!$A$2:$B$20,2,FALSE()),999)</f>
        <v>2</v>
      </c>
      <c r="H1352" s="9" t="str">
        <f t="shared" ca="1" si="21"/>
        <v>Sin fecha</v>
      </c>
      <c r="J1352" s="11">
        <v>60</v>
      </c>
      <c r="K1352" s="11">
        <v>60</v>
      </c>
      <c r="L1352" s="12">
        <v>43831</v>
      </c>
      <c r="M1352" t="s">
        <v>36</v>
      </c>
    </row>
    <row r="1353" spans="1:13" ht="75">
      <c r="A1353" s="6" t="s">
        <v>2437</v>
      </c>
      <c r="B1353" s="7" t="s">
        <v>1412</v>
      </c>
      <c r="C1353" s="7" t="s">
        <v>2438</v>
      </c>
      <c r="D1353" s="6" t="s">
        <v>18</v>
      </c>
      <c r="E1353" s="7" t="s">
        <v>1492</v>
      </c>
      <c r="F1353" s="13"/>
      <c r="G1353" s="9">
        <f>IFERROR(VLOOKUP(D1353,Listas!$A$2:$B$20,2,FALSE()),999)</f>
        <v>1</v>
      </c>
      <c r="H1353" s="9" t="str">
        <f t="shared" ca="1" si="21"/>
        <v>Sin fecha</v>
      </c>
      <c r="J1353" s="11">
        <v>60</v>
      </c>
      <c r="K1353" s="11">
        <v>60</v>
      </c>
      <c r="L1353" s="12">
        <v>43831</v>
      </c>
      <c r="M1353" t="s">
        <v>36</v>
      </c>
    </row>
    <row r="1354" spans="1:13">
      <c r="A1354" s="6" t="s">
        <v>2439</v>
      </c>
      <c r="B1354" s="7" t="s">
        <v>1511</v>
      </c>
      <c r="C1354" s="7" t="s">
        <v>2440</v>
      </c>
      <c r="D1354" s="6" t="s">
        <v>18</v>
      </c>
      <c r="E1354" s="7" t="s">
        <v>1603</v>
      </c>
      <c r="F1354" s="13"/>
      <c r="G1354" s="9">
        <f>IFERROR(VLOOKUP(D1354,Listas!$A$2:$B$20,2,FALSE()),999)</f>
        <v>1</v>
      </c>
      <c r="H1354" s="9" t="str">
        <f t="shared" ca="1" si="21"/>
        <v>Sin fecha</v>
      </c>
      <c r="J1354" s="11">
        <v>60</v>
      </c>
      <c r="K1354" s="11">
        <v>60</v>
      </c>
      <c r="L1354" s="12">
        <v>43952</v>
      </c>
      <c r="M1354" t="s">
        <v>36</v>
      </c>
    </row>
    <row r="1355" spans="1:13">
      <c r="A1355" s="6" t="s">
        <v>2441</v>
      </c>
      <c r="B1355" s="7" t="s">
        <v>1511</v>
      </c>
      <c r="C1355" s="7" t="s">
        <v>2440</v>
      </c>
      <c r="D1355" s="6" t="s">
        <v>18</v>
      </c>
      <c r="E1355" s="7" t="s">
        <v>1603</v>
      </c>
      <c r="F1355" s="13"/>
      <c r="G1355" s="9">
        <f>IFERROR(VLOOKUP(D1355,Listas!$A$2:$B$20,2,FALSE()),999)</f>
        <v>1</v>
      </c>
      <c r="H1355" s="9" t="str">
        <f t="shared" ca="1" si="21"/>
        <v>Sin fecha</v>
      </c>
      <c r="J1355" s="11">
        <v>60</v>
      </c>
      <c r="K1355" s="11">
        <v>60</v>
      </c>
      <c r="L1355" s="12">
        <v>43952</v>
      </c>
      <c r="M1355" t="s">
        <v>36</v>
      </c>
    </row>
    <row r="1356" spans="1:13">
      <c r="A1356" s="6" t="s">
        <v>2442</v>
      </c>
      <c r="B1356" s="7" t="s">
        <v>1511</v>
      </c>
      <c r="C1356" s="7" t="s">
        <v>2440</v>
      </c>
      <c r="D1356" s="6" t="s">
        <v>18</v>
      </c>
      <c r="E1356" s="7" t="s">
        <v>1603</v>
      </c>
      <c r="F1356" s="13"/>
      <c r="G1356" s="9">
        <f>IFERROR(VLOOKUP(D1356,Listas!$A$2:$B$20,2,FALSE()),999)</f>
        <v>1</v>
      </c>
      <c r="H1356" s="9" t="str">
        <f t="shared" ca="1" si="21"/>
        <v>Sin fecha</v>
      </c>
      <c r="J1356" s="11">
        <v>60</v>
      </c>
      <c r="K1356" s="11">
        <v>60</v>
      </c>
      <c r="L1356" s="12">
        <v>43952</v>
      </c>
      <c r="M1356" t="s">
        <v>36</v>
      </c>
    </row>
    <row r="1357" spans="1:13" ht="60">
      <c r="A1357" s="6" t="s">
        <v>2443</v>
      </c>
      <c r="B1357" s="7" t="s">
        <v>1511</v>
      </c>
      <c r="C1357" s="7" t="s">
        <v>2444</v>
      </c>
      <c r="D1357" s="6" t="s">
        <v>18</v>
      </c>
      <c r="E1357" s="7" t="s">
        <v>1603</v>
      </c>
      <c r="F1357" s="13"/>
      <c r="G1357" s="9">
        <f>IFERROR(VLOOKUP(D1357,Listas!$A$2:$B$20,2,FALSE()),999)</f>
        <v>1</v>
      </c>
      <c r="H1357" s="9" t="str">
        <f t="shared" ca="1" si="21"/>
        <v>Sin fecha</v>
      </c>
      <c r="J1357" s="11">
        <v>60</v>
      </c>
      <c r="K1357" s="11">
        <v>60</v>
      </c>
      <c r="L1357" s="12">
        <v>43952</v>
      </c>
      <c r="M1357" t="s">
        <v>36</v>
      </c>
    </row>
    <row r="1358" spans="1:13">
      <c r="A1358" s="6" t="s">
        <v>2445</v>
      </c>
      <c r="B1358" s="7" t="s">
        <v>1511</v>
      </c>
      <c r="C1358" s="7" t="s">
        <v>2440</v>
      </c>
      <c r="D1358" s="6" t="s">
        <v>18</v>
      </c>
      <c r="E1358" s="7" t="s">
        <v>1519</v>
      </c>
      <c r="F1358" s="13"/>
      <c r="G1358" s="9">
        <f>IFERROR(VLOOKUP(D1358,Listas!$A$2:$B$20,2,FALSE()),999)</f>
        <v>1</v>
      </c>
      <c r="H1358" s="9" t="str">
        <f t="shared" ca="1" si="21"/>
        <v>Sin fecha</v>
      </c>
      <c r="J1358" s="11">
        <v>60</v>
      </c>
      <c r="K1358" s="11">
        <v>60</v>
      </c>
      <c r="L1358" s="12">
        <v>43952</v>
      </c>
      <c r="M1358" t="s">
        <v>36</v>
      </c>
    </row>
    <row r="1359" spans="1:13">
      <c r="A1359" s="6" t="s">
        <v>2446</v>
      </c>
      <c r="B1359" s="7" t="s">
        <v>1511</v>
      </c>
      <c r="C1359" s="7" t="s">
        <v>2440</v>
      </c>
      <c r="D1359" s="6" t="s">
        <v>18</v>
      </c>
      <c r="E1359" s="7" t="s">
        <v>1603</v>
      </c>
      <c r="F1359" s="13"/>
      <c r="G1359" s="9">
        <f>IFERROR(VLOOKUP(D1359,Listas!$A$2:$B$20,2,FALSE()),999)</f>
        <v>1</v>
      </c>
      <c r="H1359" s="9" t="str">
        <f t="shared" ca="1" si="21"/>
        <v>Sin fecha</v>
      </c>
      <c r="J1359" s="11">
        <v>60</v>
      </c>
      <c r="K1359" s="11">
        <v>60</v>
      </c>
      <c r="L1359" s="12">
        <v>43952</v>
      </c>
      <c r="M1359" t="s">
        <v>36</v>
      </c>
    </row>
    <row r="1360" spans="1:13">
      <c r="A1360" s="6" t="s">
        <v>2447</v>
      </c>
      <c r="B1360" s="7" t="s">
        <v>1511</v>
      </c>
      <c r="C1360" s="7" t="s">
        <v>2440</v>
      </c>
      <c r="D1360" s="6" t="s">
        <v>1467</v>
      </c>
      <c r="E1360" s="7" t="s">
        <v>1513</v>
      </c>
      <c r="F1360" s="13"/>
      <c r="G1360" s="9">
        <f>IFERROR(VLOOKUP(D1360,Listas!$A$2:$B$20,2,FALSE()),999)</f>
        <v>2</v>
      </c>
      <c r="H1360" s="9" t="str">
        <f t="shared" ca="1" si="21"/>
        <v>Sin fecha</v>
      </c>
      <c r="J1360" s="11">
        <v>60</v>
      </c>
      <c r="K1360" s="11">
        <v>60</v>
      </c>
      <c r="L1360" s="12">
        <v>43952</v>
      </c>
      <c r="M1360" t="s">
        <v>36</v>
      </c>
    </row>
    <row r="1361" spans="1:13">
      <c r="A1361" s="6" t="s">
        <v>2448</v>
      </c>
      <c r="B1361" s="7" t="s">
        <v>1511</v>
      </c>
      <c r="C1361" s="7" t="s">
        <v>2440</v>
      </c>
      <c r="D1361" s="6" t="s">
        <v>18</v>
      </c>
      <c r="E1361" s="7" t="s">
        <v>1603</v>
      </c>
      <c r="F1361" s="13"/>
      <c r="G1361" s="9">
        <f>IFERROR(VLOOKUP(D1361,Listas!$A$2:$B$20,2,FALSE()),999)</f>
        <v>1</v>
      </c>
      <c r="H1361" s="9" t="str">
        <f t="shared" ca="1" si="21"/>
        <v>Sin fecha</v>
      </c>
      <c r="J1361" s="11">
        <v>60</v>
      </c>
      <c r="K1361" s="11">
        <v>60</v>
      </c>
      <c r="L1361" s="12">
        <v>43952</v>
      </c>
      <c r="M1361" t="s">
        <v>36</v>
      </c>
    </row>
    <row r="1362" spans="1:13">
      <c r="A1362" s="6" t="s">
        <v>2449</v>
      </c>
      <c r="B1362" s="7" t="s">
        <v>1511</v>
      </c>
      <c r="C1362" s="7" t="s">
        <v>2440</v>
      </c>
      <c r="D1362" s="6" t="s">
        <v>18</v>
      </c>
      <c r="E1362" s="7" t="s">
        <v>1603</v>
      </c>
      <c r="F1362" s="13"/>
      <c r="G1362" s="9">
        <f>IFERROR(VLOOKUP(D1362,Listas!$A$2:$B$20,2,FALSE()),999)</f>
        <v>1</v>
      </c>
      <c r="H1362" s="9" t="str">
        <f t="shared" ca="1" si="21"/>
        <v>Sin fecha</v>
      </c>
      <c r="J1362" s="11">
        <v>60</v>
      </c>
      <c r="K1362" s="11">
        <v>60</v>
      </c>
      <c r="L1362" s="12">
        <v>43952</v>
      </c>
      <c r="M1362" t="s">
        <v>36</v>
      </c>
    </row>
    <row r="1363" spans="1:13" ht="45">
      <c r="A1363" s="6" t="s">
        <v>2450</v>
      </c>
      <c r="B1363" s="7" t="s">
        <v>1511</v>
      </c>
      <c r="C1363" s="7" t="s">
        <v>2451</v>
      </c>
      <c r="D1363" s="6" t="s">
        <v>18</v>
      </c>
      <c r="E1363" s="7" t="s">
        <v>1603</v>
      </c>
      <c r="F1363" s="13"/>
      <c r="G1363" s="9">
        <f>IFERROR(VLOOKUP(D1363,Listas!$A$2:$B$20,2,FALSE()),999)</f>
        <v>1</v>
      </c>
      <c r="H1363" s="9" t="str">
        <f t="shared" ca="1" si="21"/>
        <v>Sin fecha</v>
      </c>
      <c r="J1363" s="11">
        <v>60</v>
      </c>
      <c r="K1363" s="11">
        <v>60</v>
      </c>
      <c r="L1363" s="12">
        <v>43952</v>
      </c>
      <c r="M1363" t="s">
        <v>36</v>
      </c>
    </row>
    <row r="1364" spans="1:13">
      <c r="A1364" s="6" t="s">
        <v>2452</v>
      </c>
      <c r="B1364" s="7" t="s">
        <v>1511</v>
      </c>
      <c r="C1364" s="7" t="s">
        <v>2440</v>
      </c>
      <c r="D1364" s="6" t="s">
        <v>18</v>
      </c>
      <c r="E1364" s="7" t="s">
        <v>1603</v>
      </c>
      <c r="F1364" s="13"/>
      <c r="G1364" s="9">
        <f>IFERROR(VLOOKUP(D1364,Listas!$A$2:$B$20,2,FALSE()),999)</f>
        <v>1</v>
      </c>
      <c r="H1364" s="9" t="str">
        <f t="shared" ca="1" si="21"/>
        <v>Sin fecha</v>
      </c>
      <c r="J1364" s="11">
        <v>60</v>
      </c>
      <c r="K1364" s="11">
        <v>60</v>
      </c>
      <c r="L1364" s="12">
        <v>43952</v>
      </c>
      <c r="M1364" t="s">
        <v>36</v>
      </c>
    </row>
    <row r="1365" spans="1:13">
      <c r="A1365" s="6" t="s">
        <v>2453</v>
      </c>
      <c r="B1365" s="7" t="s">
        <v>1511</v>
      </c>
      <c r="C1365" s="7" t="s">
        <v>2440</v>
      </c>
      <c r="D1365" s="6" t="s">
        <v>18</v>
      </c>
      <c r="E1365" s="7" t="s">
        <v>1603</v>
      </c>
      <c r="F1365" s="13"/>
      <c r="G1365" s="9">
        <f>IFERROR(VLOOKUP(D1365,Listas!$A$2:$B$20,2,FALSE()),999)</f>
        <v>1</v>
      </c>
      <c r="H1365" s="9" t="str">
        <f t="shared" ca="1" si="21"/>
        <v>Sin fecha</v>
      </c>
      <c r="J1365" s="11">
        <v>60</v>
      </c>
      <c r="K1365" s="11">
        <v>60</v>
      </c>
      <c r="L1365" s="12">
        <v>43952</v>
      </c>
      <c r="M1365" t="s">
        <v>36</v>
      </c>
    </row>
    <row r="1366" spans="1:13">
      <c r="A1366" s="6" t="s">
        <v>2454</v>
      </c>
      <c r="B1366" s="7" t="s">
        <v>1511</v>
      </c>
      <c r="C1366" s="7" t="s">
        <v>2440</v>
      </c>
      <c r="D1366" s="6" t="s">
        <v>18</v>
      </c>
      <c r="E1366" s="7" t="s">
        <v>1603</v>
      </c>
      <c r="F1366" s="13"/>
      <c r="G1366" s="9">
        <f>IFERROR(VLOOKUP(D1366,Listas!$A$2:$B$20,2,FALSE()),999)</f>
        <v>1</v>
      </c>
      <c r="H1366" s="9" t="str">
        <f t="shared" ca="1" si="21"/>
        <v>Sin fecha</v>
      </c>
      <c r="J1366" s="11">
        <v>60</v>
      </c>
      <c r="K1366" s="11">
        <v>60</v>
      </c>
      <c r="L1366" s="12">
        <v>43952</v>
      </c>
      <c r="M1366" t="s">
        <v>36</v>
      </c>
    </row>
    <row r="1367" spans="1:13">
      <c r="A1367" s="6" t="s">
        <v>2455</v>
      </c>
      <c r="B1367" s="7" t="s">
        <v>1511</v>
      </c>
      <c r="C1367" s="7" t="s">
        <v>2440</v>
      </c>
      <c r="D1367" s="6" t="s">
        <v>1467</v>
      </c>
      <c r="E1367" s="7" t="s">
        <v>1513</v>
      </c>
      <c r="F1367" s="13"/>
      <c r="G1367" s="9">
        <f>IFERROR(VLOOKUP(D1367,Listas!$A$2:$B$20,2,FALSE()),999)</f>
        <v>2</v>
      </c>
      <c r="H1367" s="9" t="str">
        <f t="shared" ca="1" si="21"/>
        <v>Sin fecha</v>
      </c>
      <c r="J1367" s="11">
        <v>60</v>
      </c>
      <c r="K1367" s="11">
        <v>60</v>
      </c>
      <c r="L1367" s="12">
        <v>43952</v>
      </c>
      <c r="M1367" t="s">
        <v>36</v>
      </c>
    </row>
    <row r="1368" spans="1:13">
      <c r="A1368" s="6" t="s">
        <v>2456</v>
      </c>
      <c r="B1368" s="7" t="s">
        <v>1511</v>
      </c>
      <c r="C1368" s="7" t="s">
        <v>2440</v>
      </c>
      <c r="D1368" s="6" t="s">
        <v>18</v>
      </c>
      <c r="E1368" s="7" t="s">
        <v>1603</v>
      </c>
      <c r="F1368" s="13"/>
      <c r="G1368" s="9">
        <f>IFERROR(VLOOKUP(D1368,Listas!$A$2:$B$20,2,FALSE()),999)</f>
        <v>1</v>
      </c>
      <c r="H1368" s="9" t="str">
        <f t="shared" ca="1" si="21"/>
        <v>Sin fecha</v>
      </c>
      <c r="J1368" s="11">
        <v>60</v>
      </c>
      <c r="K1368" s="11">
        <v>60</v>
      </c>
      <c r="L1368" s="12">
        <v>43952</v>
      </c>
      <c r="M1368" t="s">
        <v>36</v>
      </c>
    </row>
    <row r="1369" spans="1:13">
      <c r="A1369" s="6" t="s">
        <v>2457</v>
      </c>
      <c r="B1369" s="7" t="s">
        <v>1511</v>
      </c>
      <c r="C1369" s="7" t="s">
        <v>2440</v>
      </c>
      <c r="D1369" s="6" t="s">
        <v>18</v>
      </c>
      <c r="E1369" s="7" t="s">
        <v>1603</v>
      </c>
      <c r="F1369" s="13"/>
      <c r="G1369" s="9">
        <f>IFERROR(VLOOKUP(D1369,Listas!$A$2:$B$20,2,FALSE()),999)</f>
        <v>1</v>
      </c>
      <c r="H1369" s="9" t="str">
        <f t="shared" ca="1" si="21"/>
        <v>Sin fecha</v>
      </c>
      <c r="J1369" s="11">
        <v>60</v>
      </c>
      <c r="K1369" s="11">
        <v>60</v>
      </c>
      <c r="L1369" s="12">
        <v>43952</v>
      </c>
      <c r="M1369" t="s">
        <v>36</v>
      </c>
    </row>
    <row r="1370" spans="1:13">
      <c r="A1370" s="6" t="s">
        <v>2458</v>
      </c>
      <c r="B1370" s="7" t="s">
        <v>1511</v>
      </c>
      <c r="C1370" s="7" t="s">
        <v>2440</v>
      </c>
      <c r="D1370" s="6" t="s">
        <v>18</v>
      </c>
      <c r="E1370" s="7" t="s">
        <v>1603</v>
      </c>
      <c r="F1370" s="13"/>
      <c r="G1370" s="9">
        <f>IFERROR(VLOOKUP(D1370,Listas!$A$2:$B$20,2,FALSE()),999)</f>
        <v>1</v>
      </c>
      <c r="H1370" s="9" t="str">
        <f t="shared" ca="1" si="21"/>
        <v>Sin fecha</v>
      </c>
      <c r="J1370" s="11">
        <v>60</v>
      </c>
      <c r="K1370" s="11">
        <v>60</v>
      </c>
      <c r="L1370" s="12">
        <v>43952</v>
      </c>
      <c r="M1370" t="s">
        <v>36</v>
      </c>
    </row>
    <row r="1371" spans="1:13">
      <c r="A1371" s="6" t="s">
        <v>2459</v>
      </c>
      <c r="B1371" s="7" t="s">
        <v>1511</v>
      </c>
      <c r="C1371" s="7" t="s">
        <v>2440</v>
      </c>
      <c r="D1371" s="6" t="s">
        <v>18</v>
      </c>
      <c r="E1371" s="7" t="s">
        <v>1603</v>
      </c>
      <c r="F1371" s="13"/>
      <c r="G1371" s="9">
        <f>IFERROR(VLOOKUP(D1371,Listas!$A$2:$B$20,2,FALSE()),999)</f>
        <v>1</v>
      </c>
      <c r="H1371" s="9" t="str">
        <f t="shared" ca="1" si="21"/>
        <v>Sin fecha</v>
      </c>
      <c r="J1371" s="11">
        <v>60</v>
      </c>
      <c r="K1371" s="11">
        <v>60</v>
      </c>
      <c r="L1371" s="12">
        <v>43952</v>
      </c>
      <c r="M1371" t="s">
        <v>36</v>
      </c>
    </row>
    <row r="1372" spans="1:13">
      <c r="A1372" s="6" t="s">
        <v>2460</v>
      </c>
      <c r="B1372" s="7" t="s">
        <v>1511</v>
      </c>
      <c r="C1372" s="7" t="s">
        <v>2440</v>
      </c>
      <c r="D1372" s="6" t="s">
        <v>1467</v>
      </c>
      <c r="E1372" s="7" t="s">
        <v>1513</v>
      </c>
      <c r="F1372" s="13"/>
      <c r="G1372" s="9">
        <f>IFERROR(VLOOKUP(D1372,Listas!$A$2:$B$20,2,FALSE()),999)</f>
        <v>2</v>
      </c>
      <c r="H1372" s="9" t="str">
        <f t="shared" ca="1" si="21"/>
        <v>Sin fecha</v>
      </c>
      <c r="J1372" s="11">
        <v>60</v>
      </c>
      <c r="K1372" s="11">
        <v>60</v>
      </c>
      <c r="L1372" s="12">
        <v>43952</v>
      </c>
      <c r="M1372" t="s">
        <v>36</v>
      </c>
    </row>
    <row r="1373" spans="1:13">
      <c r="A1373" s="6" t="s">
        <v>2461</v>
      </c>
      <c r="B1373" s="7" t="s">
        <v>1511</v>
      </c>
      <c r="C1373" s="7" t="s">
        <v>2440</v>
      </c>
      <c r="D1373" s="6" t="s">
        <v>18</v>
      </c>
      <c r="E1373" s="7" t="s">
        <v>1603</v>
      </c>
      <c r="F1373" s="13"/>
      <c r="G1373" s="9">
        <f>IFERROR(VLOOKUP(D1373,Listas!$A$2:$B$20,2,FALSE()),999)</f>
        <v>1</v>
      </c>
      <c r="H1373" s="9" t="str">
        <f t="shared" ca="1" si="21"/>
        <v>Sin fecha</v>
      </c>
      <c r="J1373" s="11">
        <v>60</v>
      </c>
      <c r="K1373" s="11">
        <v>60</v>
      </c>
      <c r="L1373" s="12">
        <v>43952</v>
      </c>
      <c r="M1373" t="s">
        <v>36</v>
      </c>
    </row>
    <row r="1374" spans="1:13">
      <c r="A1374" s="6" t="s">
        <v>2462</v>
      </c>
      <c r="B1374" s="7" t="s">
        <v>1511</v>
      </c>
      <c r="C1374" s="7" t="s">
        <v>2440</v>
      </c>
      <c r="D1374" s="6" t="s">
        <v>18</v>
      </c>
      <c r="E1374" s="7" t="s">
        <v>1603</v>
      </c>
      <c r="F1374" s="13"/>
      <c r="G1374" s="9">
        <f>IFERROR(VLOOKUP(D1374,Listas!$A$2:$B$20,2,FALSE()),999)</f>
        <v>1</v>
      </c>
      <c r="H1374" s="9" t="str">
        <f t="shared" ca="1" si="21"/>
        <v>Sin fecha</v>
      </c>
      <c r="J1374" s="11">
        <v>60</v>
      </c>
      <c r="K1374" s="11">
        <v>60</v>
      </c>
      <c r="L1374" s="12">
        <v>43952</v>
      </c>
      <c r="M1374" t="s">
        <v>36</v>
      </c>
    </row>
    <row r="1375" spans="1:13">
      <c r="A1375" s="6" t="s">
        <v>2463</v>
      </c>
      <c r="B1375" s="7" t="s">
        <v>1511</v>
      </c>
      <c r="C1375" s="7" t="s">
        <v>2440</v>
      </c>
      <c r="D1375" s="6" t="s">
        <v>18</v>
      </c>
      <c r="E1375" s="7" t="s">
        <v>1603</v>
      </c>
      <c r="F1375" s="13"/>
      <c r="G1375" s="9">
        <f>IFERROR(VLOOKUP(D1375,Listas!$A$2:$B$20,2,FALSE()),999)</f>
        <v>1</v>
      </c>
      <c r="H1375" s="9" t="str">
        <f t="shared" ca="1" si="21"/>
        <v>Sin fecha</v>
      </c>
      <c r="J1375" s="11">
        <v>60</v>
      </c>
      <c r="K1375" s="11">
        <v>60</v>
      </c>
      <c r="L1375" s="12">
        <v>43952</v>
      </c>
      <c r="M1375" t="s">
        <v>36</v>
      </c>
    </row>
    <row r="1376" spans="1:13">
      <c r="A1376" s="6" t="s">
        <v>2464</v>
      </c>
      <c r="B1376" s="7" t="s">
        <v>1511</v>
      </c>
      <c r="C1376" s="7" t="s">
        <v>2440</v>
      </c>
      <c r="D1376" s="6" t="s">
        <v>18</v>
      </c>
      <c r="E1376" s="7" t="s">
        <v>1603</v>
      </c>
      <c r="F1376" s="13"/>
      <c r="G1376" s="9">
        <f>IFERROR(VLOOKUP(D1376,Listas!$A$2:$B$20,2,FALSE()),999)</f>
        <v>1</v>
      </c>
      <c r="H1376" s="9" t="str">
        <f t="shared" ca="1" si="21"/>
        <v>Sin fecha</v>
      </c>
      <c r="J1376" s="11">
        <v>60</v>
      </c>
      <c r="K1376" s="11">
        <v>60</v>
      </c>
      <c r="L1376" s="12">
        <v>43952</v>
      </c>
      <c r="M1376" t="s">
        <v>36</v>
      </c>
    </row>
    <row r="1377" spans="1:13">
      <c r="A1377" s="6" t="s">
        <v>2465</v>
      </c>
      <c r="B1377" s="7" t="s">
        <v>1511</v>
      </c>
      <c r="C1377" s="7" t="s">
        <v>2440</v>
      </c>
      <c r="D1377" s="6" t="s">
        <v>18</v>
      </c>
      <c r="E1377" s="7" t="s">
        <v>1603</v>
      </c>
      <c r="F1377" s="13"/>
      <c r="G1377" s="9">
        <f>IFERROR(VLOOKUP(D1377,Listas!$A$2:$B$20,2,FALSE()),999)</f>
        <v>1</v>
      </c>
      <c r="H1377" s="9" t="str">
        <f t="shared" ca="1" si="21"/>
        <v>Sin fecha</v>
      </c>
      <c r="J1377" s="11">
        <v>60</v>
      </c>
      <c r="K1377" s="11">
        <v>60</v>
      </c>
      <c r="L1377" s="12">
        <v>43952</v>
      </c>
      <c r="M1377" t="s">
        <v>36</v>
      </c>
    </row>
    <row r="1378" spans="1:13">
      <c r="A1378" s="6" t="s">
        <v>2466</v>
      </c>
      <c r="B1378" s="7" t="s">
        <v>1511</v>
      </c>
      <c r="C1378" s="7" t="s">
        <v>2440</v>
      </c>
      <c r="D1378" s="6" t="s">
        <v>18</v>
      </c>
      <c r="E1378" s="7" t="s">
        <v>1603</v>
      </c>
      <c r="F1378" s="13"/>
      <c r="G1378" s="9">
        <f>IFERROR(VLOOKUP(D1378,Listas!$A$2:$B$20,2,FALSE()),999)</f>
        <v>1</v>
      </c>
      <c r="H1378" s="9" t="str">
        <f t="shared" ca="1" si="21"/>
        <v>Sin fecha</v>
      </c>
      <c r="J1378" s="11">
        <v>60</v>
      </c>
      <c r="K1378" s="11">
        <v>60</v>
      </c>
      <c r="L1378" s="12">
        <v>43952</v>
      </c>
      <c r="M1378" t="s">
        <v>36</v>
      </c>
    </row>
    <row r="1379" spans="1:13" ht="180">
      <c r="A1379" s="6" t="s">
        <v>2467</v>
      </c>
      <c r="B1379" s="7" t="s">
        <v>1511</v>
      </c>
      <c r="C1379" s="7" t="s">
        <v>2468</v>
      </c>
      <c r="D1379" s="6" t="s">
        <v>18</v>
      </c>
      <c r="E1379" s="7" t="s">
        <v>1488</v>
      </c>
      <c r="F1379" s="13"/>
      <c r="G1379" s="9">
        <f>IFERROR(VLOOKUP(D1379,Listas!$A$2:$B$20,2,FALSE()),999)</f>
        <v>1</v>
      </c>
      <c r="H1379" s="9" t="str">
        <f t="shared" ca="1" si="21"/>
        <v>Sin fecha</v>
      </c>
      <c r="J1379" s="11">
        <v>60</v>
      </c>
      <c r="K1379" s="11">
        <v>60</v>
      </c>
      <c r="L1379" s="12">
        <v>43983</v>
      </c>
      <c r="M1379" t="s">
        <v>36</v>
      </c>
    </row>
    <row r="1380" spans="1:13" ht="180">
      <c r="A1380" s="6" t="s">
        <v>2469</v>
      </c>
      <c r="B1380" s="7" t="s">
        <v>1511</v>
      </c>
      <c r="C1380" s="7" t="s">
        <v>2468</v>
      </c>
      <c r="D1380" s="6" t="s">
        <v>18</v>
      </c>
      <c r="E1380" s="7" t="s">
        <v>2470</v>
      </c>
      <c r="F1380" s="13"/>
      <c r="G1380" s="9">
        <f>IFERROR(VLOOKUP(D1380,Listas!$A$2:$B$20,2,FALSE()),999)</f>
        <v>1</v>
      </c>
      <c r="H1380" s="9" t="str">
        <f t="shared" ca="1" si="21"/>
        <v>Sin fecha</v>
      </c>
      <c r="J1380" s="11">
        <v>60</v>
      </c>
      <c r="K1380" s="11">
        <v>60</v>
      </c>
      <c r="L1380" s="12">
        <v>43983</v>
      </c>
      <c r="M1380" t="s">
        <v>36</v>
      </c>
    </row>
    <row r="1381" spans="1:13" ht="180">
      <c r="A1381" s="6" t="s">
        <v>2471</v>
      </c>
      <c r="B1381" s="7" t="s">
        <v>1511</v>
      </c>
      <c r="C1381" s="7" t="s">
        <v>2468</v>
      </c>
      <c r="D1381" s="6" t="s">
        <v>1467</v>
      </c>
      <c r="E1381" s="7" t="s">
        <v>2187</v>
      </c>
      <c r="F1381" s="13"/>
      <c r="G1381" s="9">
        <f>IFERROR(VLOOKUP(D1381,Listas!$A$2:$B$20,2,FALSE()),999)</f>
        <v>2</v>
      </c>
      <c r="H1381" s="9" t="str">
        <f t="shared" ca="1" si="21"/>
        <v>Sin fecha</v>
      </c>
      <c r="J1381" s="11">
        <v>60</v>
      </c>
      <c r="K1381" s="11">
        <v>60</v>
      </c>
      <c r="L1381" s="12">
        <v>43983</v>
      </c>
      <c r="M1381" t="s">
        <v>36</v>
      </c>
    </row>
    <row r="1382" spans="1:13" ht="180">
      <c r="A1382" s="6" t="s">
        <v>2472</v>
      </c>
      <c r="B1382" s="7" t="s">
        <v>1511</v>
      </c>
      <c r="C1382" s="7" t="s">
        <v>2468</v>
      </c>
      <c r="D1382" s="6" t="s">
        <v>18</v>
      </c>
      <c r="E1382" s="7" t="s">
        <v>1476</v>
      </c>
      <c r="F1382" s="13"/>
      <c r="G1382" s="9">
        <f>IFERROR(VLOOKUP(D1382,Listas!$A$2:$B$20,2,FALSE()),999)</f>
        <v>1</v>
      </c>
      <c r="H1382" s="9" t="str">
        <f t="shared" ca="1" si="21"/>
        <v>Sin fecha</v>
      </c>
      <c r="J1382" s="11">
        <v>60</v>
      </c>
      <c r="K1382" s="11">
        <v>60</v>
      </c>
      <c r="L1382" s="12">
        <v>43983</v>
      </c>
      <c r="M1382" t="s">
        <v>36</v>
      </c>
    </row>
    <row r="1383" spans="1:13" ht="180">
      <c r="A1383" s="6" t="s">
        <v>2473</v>
      </c>
      <c r="B1383" s="7" t="s">
        <v>1511</v>
      </c>
      <c r="C1383" s="7" t="s">
        <v>2468</v>
      </c>
      <c r="D1383" s="6" t="s">
        <v>18</v>
      </c>
      <c r="E1383" s="7" t="s">
        <v>1556</v>
      </c>
      <c r="F1383" s="13"/>
      <c r="G1383" s="9">
        <f>IFERROR(VLOOKUP(D1383,Listas!$A$2:$B$20,2,FALSE()),999)</f>
        <v>1</v>
      </c>
      <c r="H1383" s="9" t="str">
        <f t="shared" ca="1" si="21"/>
        <v>Sin fecha</v>
      </c>
      <c r="J1383" s="11">
        <v>60</v>
      </c>
      <c r="K1383" s="11">
        <v>60</v>
      </c>
      <c r="L1383" s="12">
        <v>43983</v>
      </c>
      <c r="M1383" t="s">
        <v>36</v>
      </c>
    </row>
    <row r="1384" spans="1:13" ht="180">
      <c r="A1384" s="6" t="s">
        <v>2474</v>
      </c>
      <c r="B1384" s="7" t="s">
        <v>1511</v>
      </c>
      <c r="C1384" s="7" t="s">
        <v>2468</v>
      </c>
      <c r="D1384" s="6" t="s">
        <v>18</v>
      </c>
      <c r="E1384" s="7" t="s">
        <v>1464</v>
      </c>
      <c r="F1384" s="13"/>
      <c r="G1384" s="9">
        <f>IFERROR(VLOOKUP(D1384,Listas!$A$2:$B$20,2,FALSE()),999)</f>
        <v>1</v>
      </c>
      <c r="H1384" s="9" t="str">
        <f t="shared" ca="1" si="21"/>
        <v>Sin fecha</v>
      </c>
      <c r="J1384" s="11">
        <v>60</v>
      </c>
      <c r="K1384" s="11">
        <v>60</v>
      </c>
      <c r="L1384" s="12">
        <v>43983</v>
      </c>
      <c r="M1384" t="s">
        <v>36</v>
      </c>
    </row>
    <row r="1385" spans="1:13" ht="180">
      <c r="A1385" s="6" t="s">
        <v>2475</v>
      </c>
      <c r="B1385" s="7" t="s">
        <v>1511</v>
      </c>
      <c r="C1385" s="7" t="s">
        <v>2468</v>
      </c>
      <c r="D1385" s="6" t="s">
        <v>18</v>
      </c>
      <c r="E1385" s="7" t="s">
        <v>1525</v>
      </c>
      <c r="F1385" s="13"/>
      <c r="G1385" s="9">
        <f>IFERROR(VLOOKUP(D1385,Listas!$A$2:$B$20,2,FALSE()),999)</f>
        <v>1</v>
      </c>
      <c r="H1385" s="9" t="str">
        <f t="shared" ca="1" si="21"/>
        <v>Sin fecha</v>
      </c>
      <c r="J1385" s="11">
        <v>60</v>
      </c>
      <c r="K1385" s="11">
        <v>60</v>
      </c>
      <c r="L1385" s="12">
        <v>43983</v>
      </c>
      <c r="M1385" t="s">
        <v>36</v>
      </c>
    </row>
    <row r="1386" spans="1:13" ht="180">
      <c r="A1386" s="6" t="s">
        <v>2476</v>
      </c>
      <c r="B1386" s="7" t="s">
        <v>1511</v>
      </c>
      <c r="C1386" s="7" t="s">
        <v>2477</v>
      </c>
      <c r="D1386" s="6" t="s">
        <v>18</v>
      </c>
      <c r="E1386" s="7" t="s">
        <v>1795</v>
      </c>
      <c r="F1386" s="13"/>
      <c r="G1386" s="9">
        <f>IFERROR(VLOOKUP(D1386,Listas!$A$2:$B$20,2,FALSE()),999)</f>
        <v>1</v>
      </c>
      <c r="H1386" s="9" t="str">
        <f t="shared" ca="1" si="21"/>
        <v>Sin fecha</v>
      </c>
      <c r="J1386" s="11">
        <v>60</v>
      </c>
      <c r="K1386" s="11">
        <v>60</v>
      </c>
      <c r="L1386" s="12">
        <v>43983</v>
      </c>
      <c r="M1386" t="s">
        <v>36</v>
      </c>
    </row>
    <row r="1387" spans="1:13" ht="180">
      <c r="A1387" s="6" t="s">
        <v>2478</v>
      </c>
      <c r="B1387" s="7" t="s">
        <v>1511</v>
      </c>
      <c r="C1387" s="7" t="s">
        <v>2468</v>
      </c>
      <c r="D1387" s="6" t="s">
        <v>18</v>
      </c>
      <c r="E1387" s="7" t="s">
        <v>1476</v>
      </c>
      <c r="F1387" s="13"/>
      <c r="G1387" s="9">
        <f>IFERROR(VLOOKUP(D1387,Listas!$A$2:$B$20,2,FALSE()),999)</f>
        <v>1</v>
      </c>
      <c r="H1387" s="9" t="str">
        <f t="shared" ca="1" si="21"/>
        <v>Sin fecha</v>
      </c>
      <c r="J1387" s="11">
        <v>60</v>
      </c>
      <c r="K1387" s="11">
        <v>60</v>
      </c>
      <c r="L1387" s="12">
        <v>43983</v>
      </c>
      <c r="M1387" t="s">
        <v>36</v>
      </c>
    </row>
    <row r="1388" spans="1:13" ht="180">
      <c r="A1388" s="6" t="s">
        <v>2479</v>
      </c>
      <c r="B1388" s="7" t="s">
        <v>1511</v>
      </c>
      <c r="C1388" s="7" t="s">
        <v>2468</v>
      </c>
      <c r="D1388" s="6" t="s">
        <v>18</v>
      </c>
      <c r="E1388" s="7" t="s">
        <v>1519</v>
      </c>
      <c r="F1388" s="13"/>
      <c r="G1388" s="9">
        <f>IFERROR(VLOOKUP(D1388,Listas!$A$2:$B$20,2,FALSE()),999)</f>
        <v>1</v>
      </c>
      <c r="H1388" s="9" t="str">
        <f t="shared" ca="1" si="21"/>
        <v>Sin fecha</v>
      </c>
      <c r="J1388" s="11">
        <v>60</v>
      </c>
      <c r="K1388" s="11">
        <v>60</v>
      </c>
      <c r="L1388" s="12">
        <v>43983</v>
      </c>
      <c r="M1388" t="s">
        <v>36</v>
      </c>
    </row>
    <row r="1389" spans="1:13" ht="180">
      <c r="A1389" s="6" t="s">
        <v>2480</v>
      </c>
      <c r="B1389" s="7" t="s">
        <v>1511</v>
      </c>
      <c r="C1389" s="7" t="s">
        <v>2468</v>
      </c>
      <c r="D1389" s="6" t="s">
        <v>18</v>
      </c>
      <c r="E1389" s="7" t="s">
        <v>1833</v>
      </c>
      <c r="F1389" s="13"/>
      <c r="G1389" s="9">
        <f>IFERROR(VLOOKUP(D1389,Listas!$A$2:$B$20,2,FALSE()),999)</f>
        <v>1</v>
      </c>
      <c r="H1389" s="9" t="str">
        <f t="shared" ca="1" si="21"/>
        <v>Sin fecha</v>
      </c>
      <c r="J1389" s="11">
        <v>60</v>
      </c>
      <c r="K1389" s="11">
        <v>60</v>
      </c>
      <c r="L1389" s="12">
        <v>43983</v>
      </c>
      <c r="M1389" t="s">
        <v>36</v>
      </c>
    </row>
    <row r="1390" spans="1:13" ht="180">
      <c r="A1390" s="6" t="s">
        <v>2481</v>
      </c>
      <c r="B1390" s="7" t="s">
        <v>1511</v>
      </c>
      <c r="C1390" s="7" t="s">
        <v>2468</v>
      </c>
      <c r="D1390" s="6" t="s">
        <v>1467</v>
      </c>
      <c r="E1390" s="7" t="s">
        <v>1564</v>
      </c>
      <c r="F1390" s="13"/>
      <c r="G1390" s="9">
        <f>IFERROR(VLOOKUP(D1390,Listas!$A$2:$B$20,2,FALSE()),999)</f>
        <v>2</v>
      </c>
      <c r="H1390" s="9" t="str">
        <f t="shared" ca="1" si="21"/>
        <v>Sin fecha</v>
      </c>
      <c r="J1390" s="11">
        <v>60</v>
      </c>
      <c r="K1390" s="11">
        <v>60</v>
      </c>
      <c r="L1390" s="12">
        <v>43983</v>
      </c>
      <c r="M1390" t="s">
        <v>36</v>
      </c>
    </row>
    <row r="1391" spans="1:13" ht="180">
      <c r="A1391" s="6" t="s">
        <v>2482</v>
      </c>
      <c r="B1391" s="7" t="s">
        <v>1511</v>
      </c>
      <c r="C1391" s="7" t="s">
        <v>2468</v>
      </c>
      <c r="D1391" s="6" t="s">
        <v>18</v>
      </c>
      <c r="E1391" s="7" t="s">
        <v>1561</v>
      </c>
      <c r="F1391" s="13"/>
      <c r="G1391" s="9">
        <f>IFERROR(VLOOKUP(D1391,Listas!$A$2:$B$20,2,FALSE()),999)</f>
        <v>1</v>
      </c>
      <c r="H1391" s="9" t="str">
        <f t="shared" ca="1" si="21"/>
        <v>Sin fecha</v>
      </c>
      <c r="J1391" s="11">
        <v>60</v>
      </c>
      <c r="K1391" s="11">
        <v>60</v>
      </c>
      <c r="L1391" s="12">
        <v>43983</v>
      </c>
      <c r="M1391" t="s">
        <v>36</v>
      </c>
    </row>
    <row r="1392" spans="1:13" ht="180">
      <c r="A1392" s="6" t="s">
        <v>2483</v>
      </c>
      <c r="B1392" s="7" t="s">
        <v>1511</v>
      </c>
      <c r="C1392" s="7" t="s">
        <v>2468</v>
      </c>
      <c r="D1392" s="6" t="s">
        <v>18</v>
      </c>
      <c r="E1392" s="7" t="s">
        <v>1543</v>
      </c>
      <c r="F1392" s="13"/>
      <c r="G1392" s="9">
        <f>IFERROR(VLOOKUP(D1392,Listas!$A$2:$B$20,2,FALSE()),999)</f>
        <v>1</v>
      </c>
      <c r="H1392" s="9" t="str">
        <f t="shared" ca="1" si="21"/>
        <v>Sin fecha</v>
      </c>
      <c r="J1392" s="11">
        <v>60</v>
      </c>
      <c r="K1392" s="11">
        <v>60</v>
      </c>
      <c r="L1392" s="12">
        <v>43983</v>
      </c>
      <c r="M1392" t="s">
        <v>36</v>
      </c>
    </row>
    <row r="1393" spans="1:13" ht="180">
      <c r="A1393" s="6" t="s">
        <v>2484</v>
      </c>
      <c r="B1393" s="7" t="s">
        <v>1511</v>
      </c>
      <c r="C1393" s="7" t="s">
        <v>2468</v>
      </c>
      <c r="D1393" s="6" t="s">
        <v>18</v>
      </c>
      <c r="E1393" s="7" t="s">
        <v>2485</v>
      </c>
      <c r="F1393" s="13"/>
      <c r="G1393" s="9">
        <f>IFERROR(VLOOKUP(D1393,Listas!$A$2:$B$20,2,FALSE()),999)</f>
        <v>1</v>
      </c>
      <c r="H1393" s="9" t="str">
        <f t="shared" ca="1" si="21"/>
        <v>Sin fecha</v>
      </c>
      <c r="J1393" s="11">
        <v>60</v>
      </c>
      <c r="K1393" s="11">
        <v>60</v>
      </c>
      <c r="L1393" s="12">
        <v>43983</v>
      </c>
      <c r="M1393" t="s">
        <v>36</v>
      </c>
    </row>
    <row r="1394" spans="1:13" ht="180">
      <c r="A1394" s="6" t="s">
        <v>2486</v>
      </c>
      <c r="B1394" s="7" t="s">
        <v>1511</v>
      </c>
      <c r="C1394" s="7" t="s">
        <v>2468</v>
      </c>
      <c r="D1394" s="6" t="s">
        <v>18</v>
      </c>
      <c r="E1394" s="7" t="s">
        <v>1521</v>
      </c>
      <c r="F1394" s="13"/>
      <c r="G1394" s="9">
        <f>IFERROR(VLOOKUP(D1394,Listas!$A$2:$B$20,2,FALSE()),999)</f>
        <v>1</v>
      </c>
      <c r="H1394" s="9" t="str">
        <f t="shared" ca="1" si="21"/>
        <v>Sin fecha</v>
      </c>
      <c r="J1394" s="11">
        <v>60</v>
      </c>
      <c r="K1394" s="11">
        <v>60</v>
      </c>
      <c r="L1394" s="12">
        <v>43983</v>
      </c>
      <c r="M1394" t="s">
        <v>36</v>
      </c>
    </row>
    <row r="1395" spans="1:13" ht="180">
      <c r="A1395" s="6" t="s">
        <v>2487</v>
      </c>
      <c r="B1395" s="7" t="s">
        <v>1511</v>
      </c>
      <c r="C1395" s="7" t="s">
        <v>2468</v>
      </c>
      <c r="D1395" s="6" t="s">
        <v>18</v>
      </c>
      <c r="E1395" s="7" t="s">
        <v>2363</v>
      </c>
      <c r="F1395" s="13"/>
      <c r="G1395" s="9">
        <f>IFERROR(VLOOKUP(D1395,Listas!$A$2:$B$20,2,FALSE()),999)</f>
        <v>1</v>
      </c>
      <c r="H1395" s="9" t="str">
        <f t="shared" ca="1" si="21"/>
        <v>Sin fecha</v>
      </c>
      <c r="J1395" s="11">
        <v>60</v>
      </c>
      <c r="K1395" s="11">
        <v>60</v>
      </c>
      <c r="L1395" s="12">
        <v>43983</v>
      </c>
      <c r="M1395" t="s">
        <v>36</v>
      </c>
    </row>
    <row r="1396" spans="1:13" ht="240">
      <c r="A1396" s="6" t="s">
        <v>2488</v>
      </c>
      <c r="B1396" s="7" t="s">
        <v>1412</v>
      </c>
      <c r="C1396" s="7" t="s">
        <v>2489</v>
      </c>
      <c r="D1396" s="6" t="s">
        <v>1467</v>
      </c>
      <c r="E1396" s="7" t="s">
        <v>2389</v>
      </c>
      <c r="F1396" s="13"/>
      <c r="G1396" s="9">
        <f>IFERROR(VLOOKUP(D1396,Listas!$A$2:$B$20,2,FALSE()),999)</f>
        <v>2</v>
      </c>
      <c r="H1396" s="9" t="str">
        <f t="shared" ca="1" si="21"/>
        <v>Sin fecha</v>
      </c>
      <c r="J1396" s="11">
        <v>60</v>
      </c>
      <c r="K1396" s="11">
        <v>60</v>
      </c>
      <c r="L1396" s="12">
        <v>44197</v>
      </c>
      <c r="M1396" t="s">
        <v>36</v>
      </c>
    </row>
    <row r="1397" spans="1:13" ht="45">
      <c r="A1397" s="6" t="s">
        <v>2490</v>
      </c>
      <c r="B1397" s="7" t="s">
        <v>1511</v>
      </c>
      <c r="C1397" s="7" t="s">
        <v>2491</v>
      </c>
      <c r="D1397" s="6" t="s">
        <v>1467</v>
      </c>
      <c r="E1397" s="7" t="s">
        <v>1513</v>
      </c>
      <c r="F1397" s="13"/>
      <c r="G1397" s="9">
        <f>IFERROR(VLOOKUP(D1397,Listas!$A$2:$B$20,2,FALSE()),999)</f>
        <v>2</v>
      </c>
      <c r="H1397" s="9" t="str">
        <f t="shared" ca="1" si="21"/>
        <v>Sin fecha</v>
      </c>
      <c r="J1397" s="11">
        <v>1</v>
      </c>
      <c r="K1397" s="11">
        <v>1</v>
      </c>
      <c r="L1397" s="12">
        <v>44287</v>
      </c>
      <c r="M1397" t="s">
        <v>36</v>
      </c>
    </row>
    <row r="1398" spans="1:13" ht="150">
      <c r="A1398" s="6" t="s">
        <v>2492</v>
      </c>
      <c r="B1398" s="7" t="s">
        <v>1511</v>
      </c>
      <c r="C1398" s="7" t="s">
        <v>2493</v>
      </c>
      <c r="D1398" s="6" t="s">
        <v>1467</v>
      </c>
      <c r="E1398" s="7" t="s">
        <v>1820</v>
      </c>
      <c r="F1398" s="13"/>
      <c r="G1398" s="9">
        <f>IFERROR(VLOOKUP(D1398,Listas!$A$2:$B$20,2,FALSE()),999)</f>
        <v>2</v>
      </c>
      <c r="H1398" s="9" t="str">
        <f t="shared" ca="1" si="21"/>
        <v>Sin fecha</v>
      </c>
      <c r="J1398" s="11">
        <v>60</v>
      </c>
      <c r="K1398" s="11">
        <v>60</v>
      </c>
      <c r="L1398" s="12">
        <v>44317</v>
      </c>
      <c r="M1398" t="s">
        <v>36</v>
      </c>
    </row>
    <row r="1399" spans="1:13" ht="30">
      <c r="A1399" s="6" t="s">
        <v>2494</v>
      </c>
      <c r="B1399" s="7" t="s">
        <v>1511</v>
      </c>
      <c r="C1399" s="7" t="s">
        <v>2495</v>
      </c>
      <c r="D1399" s="6" t="s">
        <v>18</v>
      </c>
      <c r="E1399" s="7" t="s">
        <v>1603</v>
      </c>
      <c r="F1399" s="13"/>
      <c r="G1399" s="9">
        <f>IFERROR(VLOOKUP(D1399,Listas!$A$2:$B$20,2,FALSE()),999)</f>
        <v>1</v>
      </c>
      <c r="H1399" s="9" t="str">
        <f t="shared" ca="1" si="21"/>
        <v>Sin fecha</v>
      </c>
      <c r="J1399" s="11">
        <v>1</v>
      </c>
      <c r="K1399" s="11">
        <v>1</v>
      </c>
      <c r="L1399" s="12">
        <v>44317</v>
      </c>
      <c r="M1399" t="s">
        <v>36</v>
      </c>
    </row>
    <row r="1400" spans="1:13" ht="45">
      <c r="A1400" s="6" t="s">
        <v>2496</v>
      </c>
      <c r="B1400" s="7" t="s">
        <v>1511</v>
      </c>
      <c r="C1400" s="7" t="s">
        <v>2497</v>
      </c>
      <c r="D1400" s="6" t="s">
        <v>18</v>
      </c>
      <c r="E1400" s="7" t="s">
        <v>1833</v>
      </c>
      <c r="F1400" s="13"/>
      <c r="G1400" s="9">
        <f>IFERROR(VLOOKUP(D1400,Listas!$A$2:$B$20,2,FALSE()),999)</f>
        <v>1</v>
      </c>
      <c r="H1400" s="9" t="str">
        <f t="shared" ca="1" si="21"/>
        <v>Sin fecha</v>
      </c>
      <c r="J1400" s="11">
        <v>60</v>
      </c>
      <c r="K1400" s="11">
        <v>60</v>
      </c>
      <c r="L1400" s="12">
        <v>44378</v>
      </c>
      <c r="M1400" t="s">
        <v>36</v>
      </c>
    </row>
    <row r="1401" spans="1:13" ht="45">
      <c r="A1401" s="6" t="s">
        <v>2498</v>
      </c>
      <c r="B1401" s="7" t="s">
        <v>1511</v>
      </c>
      <c r="C1401" s="7" t="s">
        <v>2497</v>
      </c>
      <c r="D1401" s="6" t="s">
        <v>18</v>
      </c>
      <c r="E1401" s="7" t="s">
        <v>1795</v>
      </c>
      <c r="F1401" s="13"/>
      <c r="G1401" s="9">
        <f>IFERROR(VLOOKUP(D1401,Listas!$A$2:$B$20,2,FALSE()),999)</f>
        <v>1</v>
      </c>
      <c r="H1401" s="9" t="str">
        <f t="shared" ca="1" si="21"/>
        <v>Sin fecha</v>
      </c>
      <c r="J1401" s="11">
        <v>60</v>
      </c>
      <c r="K1401" s="11">
        <v>60</v>
      </c>
      <c r="L1401" s="12">
        <v>44378</v>
      </c>
      <c r="M1401" t="s">
        <v>36</v>
      </c>
    </row>
    <row r="1402" spans="1:13" ht="45">
      <c r="A1402" s="6" t="s">
        <v>2499</v>
      </c>
      <c r="B1402" s="7" t="s">
        <v>1511</v>
      </c>
      <c r="C1402" s="7" t="s">
        <v>2497</v>
      </c>
      <c r="D1402" s="6" t="s">
        <v>18</v>
      </c>
      <c r="E1402" s="7" t="s">
        <v>1701</v>
      </c>
      <c r="F1402" s="13"/>
      <c r="G1402" s="9">
        <f>IFERROR(VLOOKUP(D1402,Listas!$A$2:$B$20,2,FALSE()),999)</f>
        <v>1</v>
      </c>
      <c r="H1402" s="9" t="str">
        <f t="shared" ca="1" si="21"/>
        <v>Sin fecha</v>
      </c>
      <c r="J1402" s="11">
        <v>60</v>
      </c>
      <c r="K1402" s="11">
        <v>60</v>
      </c>
      <c r="L1402" s="12">
        <v>44378</v>
      </c>
      <c r="M1402" t="s">
        <v>36</v>
      </c>
    </row>
    <row r="1403" spans="1:13" ht="45">
      <c r="A1403" s="6" t="s">
        <v>2500</v>
      </c>
      <c r="B1403" s="7" t="s">
        <v>1511</v>
      </c>
      <c r="C1403" s="7" t="s">
        <v>2497</v>
      </c>
      <c r="D1403" s="6" t="s">
        <v>18</v>
      </c>
      <c r="E1403" s="7" t="s">
        <v>2501</v>
      </c>
      <c r="F1403" s="13"/>
      <c r="G1403" s="9">
        <f>IFERROR(VLOOKUP(D1403,Listas!$A$2:$B$20,2,FALSE()),999)</f>
        <v>1</v>
      </c>
      <c r="H1403" s="9" t="str">
        <f t="shared" ca="1" si="21"/>
        <v>Sin fecha</v>
      </c>
      <c r="J1403" s="11">
        <v>60</v>
      </c>
      <c r="K1403" s="11">
        <v>60</v>
      </c>
      <c r="L1403" s="12">
        <v>44378</v>
      </c>
      <c r="M1403" t="s">
        <v>36</v>
      </c>
    </row>
    <row r="1404" spans="1:13" ht="45">
      <c r="A1404" s="6" t="s">
        <v>2502</v>
      </c>
      <c r="B1404" s="7" t="s">
        <v>1511</v>
      </c>
      <c r="C1404" s="7" t="s">
        <v>2497</v>
      </c>
      <c r="D1404" s="6" t="s">
        <v>18</v>
      </c>
      <c r="E1404" s="7" t="s">
        <v>1795</v>
      </c>
      <c r="F1404" s="13"/>
      <c r="G1404" s="9">
        <f>IFERROR(VLOOKUP(D1404,Listas!$A$2:$B$20,2,FALSE()),999)</f>
        <v>1</v>
      </c>
      <c r="H1404" s="9" t="str">
        <f t="shared" ca="1" si="21"/>
        <v>Sin fecha</v>
      </c>
      <c r="J1404" s="11">
        <v>60</v>
      </c>
      <c r="K1404" s="11">
        <v>60</v>
      </c>
      <c r="L1404" s="12">
        <v>44378</v>
      </c>
      <c r="M1404" t="s">
        <v>36</v>
      </c>
    </row>
    <row r="1405" spans="1:13" ht="45">
      <c r="A1405" s="6" t="s">
        <v>2503</v>
      </c>
      <c r="B1405" s="7" t="s">
        <v>1511</v>
      </c>
      <c r="C1405" s="7" t="s">
        <v>2497</v>
      </c>
      <c r="D1405" s="6" t="s">
        <v>18</v>
      </c>
      <c r="E1405" s="7" t="s">
        <v>2504</v>
      </c>
      <c r="F1405" s="13"/>
      <c r="G1405" s="9">
        <f>IFERROR(VLOOKUP(D1405,Listas!$A$2:$B$20,2,FALSE()),999)</f>
        <v>1</v>
      </c>
      <c r="H1405" s="9" t="str">
        <f t="shared" ca="1" si="21"/>
        <v>Sin fecha</v>
      </c>
      <c r="J1405" s="11">
        <v>60</v>
      </c>
      <c r="K1405" s="11">
        <v>60</v>
      </c>
      <c r="L1405" s="12">
        <v>44378</v>
      </c>
      <c r="M1405" t="s">
        <v>36</v>
      </c>
    </row>
    <row r="1406" spans="1:13" ht="45">
      <c r="A1406" s="6" t="s">
        <v>2505</v>
      </c>
      <c r="B1406" s="7" t="s">
        <v>1511</v>
      </c>
      <c r="C1406" s="7" t="s">
        <v>2497</v>
      </c>
      <c r="D1406" s="6" t="s">
        <v>18</v>
      </c>
      <c r="E1406" s="7" t="s">
        <v>1543</v>
      </c>
      <c r="F1406" s="13"/>
      <c r="G1406" s="9">
        <f>IFERROR(VLOOKUP(D1406,Listas!$A$2:$B$20,2,FALSE()),999)</f>
        <v>1</v>
      </c>
      <c r="H1406" s="9" t="str">
        <f t="shared" ca="1" si="21"/>
        <v>Sin fecha</v>
      </c>
      <c r="J1406" s="11">
        <v>60</v>
      </c>
      <c r="K1406" s="11">
        <v>60</v>
      </c>
      <c r="L1406" s="12">
        <v>44378</v>
      </c>
      <c r="M1406" t="s">
        <v>36</v>
      </c>
    </row>
    <row r="1407" spans="1:13" ht="45">
      <c r="A1407" s="6" t="s">
        <v>2506</v>
      </c>
      <c r="B1407" s="7" t="s">
        <v>1511</v>
      </c>
      <c r="C1407" s="7" t="s">
        <v>2497</v>
      </c>
      <c r="D1407" s="6" t="s">
        <v>18</v>
      </c>
      <c r="E1407" s="7" t="s">
        <v>2507</v>
      </c>
      <c r="F1407" s="13"/>
      <c r="G1407" s="9">
        <f>IFERROR(VLOOKUP(D1407,Listas!$A$2:$B$20,2,FALSE()),999)</f>
        <v>1</v>
      </c>
      <c r="H1407" s="9" t="str">
        <f t="shared" ca="1" si="21"/>
        <v>Sin fecha</v>
      </c>
      <c r="J1407" s="11">
        <v>60</v>
      </c>
      <c r="K1407" s="11">
        <v>60</v>
      </c>
      <c r="L1407" s="12">
        <v>44378</v>
      </c>
      <c r="M1407" t="s">
        <v>36</v>
      </c>
    </row>
    <row r="1408" spans="1:13" ht="45">
      <c r="A1408" s="6" t="s">
        <v>2508</v>
      </c>
      <c r="B1408" s="7" t="s">
        <v>1511</v>
      </c>
      <c r="C1408" s="7" t="s">
        <v>2497</v>
      </c>
      <c r="D1408" s="6" t="s">
        <v>1467</v>
      </c>
      <c r="E1408" s="7" t="s">
        <v>1564</v>
      </c>
      <c r="F1408" s="13"/>
      <c r="G1408" s="9">
        <f>IFERROR(VLOOKUP(D1408,Listas!$A$2:$B$20,2,FALSE()),999)</f>
        <v>2</v>
      </c>
      <c r="H1408" s="9" t="str">
        <f t="shared" ca="1" si="21"/>
        <v>Sin fecha</v>
      </c>
      <c r="J1408" s="11">
        <v>60</v>
      </c>
      <c r="K1408" s="11">
        <v>60</v>
      </c>
      <c r="L1408" s="12">
        <v>44378</v>
      </c>
      <c r="M1408" t="s">
        <v>36</v>
      </c>
    </row>
    <row r="1409" spans="1:13" ht="45">
      <c r="A1409" s="6" t="s">
        <v>2509</v>
      </c>
      <c r="B1409" s="7" t="s">
        <v>1511</v>
      </c>
      <c r="C1409" s="7" t="s">
        <v>2497</v>
      </c>
      <c r="D1409" s="6" t="s">
        <v>18</v>
      </c>
      <c r="E1409" s="7" t="s">
        <v>2470</v>
      </c>
      <c r="F1409" s="13"/>
      <c r="G1409" s="9">
        <f>IFERROR(VLOOKUP(D1409,Listas!$A$2:$B$20,2,FALSE()),999)</f>
        <v>1</v>
      </c>
      <c r="H1409" s="9" t="str">
        <f t="shared" ca="1" si="21"/>
        <v>Sin fecha</v>
      </c>
      <c r="J1409" s="11">
        <v>60</v>
      </c>
      <c r="K1409" s="11">
        <v>60</v>
      </c>
      <c r="L1409" s="12">
        <v>44378</v>
      </c>
      <c r="M1409" t="s">
        <v>36</v>
      </c>
    </row>
    <row r="1410" spans="1:13" ht="45">
      <c r="A1410" s="6" t="s">
        <v>2510</v>
      </c>
      <c r="B1410" s="7" t="s">
        <v>1511</v>
      </c>
      <c r="C1410" s="7" t="s">
        <v>2497</v>
      </c>
      <c r="D1410" s="6" t="s">
        <v>18</v>
      </c>
      <c r="E1410" s="7" t="s">
        <v>1525</v>
      </c>
      <c r="F1410" s="13"/>
      <c r="G1410" s="9">
        <f>IFERROR(VLOOKUP(D1410,Listas!$A$2:$B$20,2,FALSE()),999)</f>
        <v>1</v>
      </c>
      <c r="H1410" s="9" t="str">
        <f t="shared" ca="1" si="21"/>
        <v>Sin fecha</v>
      </c>
      <c r="J1410" s="11">
        <v>60</v>
      </c>
      <c r="K1410" s="11">
        <v>60</v>
      </c>
      <c r="L1410" s="12">
        <v>44378</v>
      </c>
      <c r="M1410" t="s">
        <v>36</v>
      </c>
    </row>
    <row r="1411" spans="1:13" ht="45">
      <c r="A1411" s="6" t="s">
        <v>2511</v>
      </c>
      <c r="B1411" s="7" t="s">
        <v>1511</v>
      </c>
      <c r="C1411" s="7" t="s">
        <v>2497</v>
      </c>
      <c r="D1411" s="6" t="s">
        <v>18</v>
      </c>
      <c r="E1411" s="7" t="s">
        <v>1833</v>
      </c>
      <c r="F1411" s="13"/>
      <c r="G1411" s="9">
        <f>IFERROR(VLOOKUP(D1411,Listas!$A$2:$B$20,2,FALSE()),999)</f>
        <v>1</v>
      </c>
      <c r="H1411" s="9" t="str">
        <f t="shared" ca="1" si="21"/>
        <v>Sin fecha</v>
      </c>
      <c r="J1411" s="11">
        <v>60</v>
      </c>
      <c r="K1411" s="11">
        <v>60</v>
      </c>
      <c r="L1411" s="12">
        <v>44378</v>
      </c>
      <c r="M1411" t="s">
        <v>36</v>
      </c>
    </row>
    <row r="1412" spans="1:13" ht="45">
      <c r="A1412" s="6" t="s">
        <v>2512</v>
      </c>
      <c r="B1412" s="7" t="s">
        <v>1511</v>
      </c>
      <c r="C1412" s="7" t="s">
        <v>2497</v>
      </c>
      <c r="D1412" s="6" t="s">
        <v>18</v>
      </c>
      <c r="E1412" s="7" t="s">
        <v>1795</v>
      </c>
      <c r="F1412" s="13"/>
      <c r="G1412" s="9">
        <f>IFERROR(VLOOKUP(D1412,Listas!$A$2:$B$20,2,FALSE()),999)</f>
        <v>1</v>
      </c>
      <c r="H1412" s="9" t="str">
        <f t="shared" ca="1" si="21"/>
        <v>Sin fecha</v>
      </c>
      <c r="J1412" s="11">
        <v>60</v>
      </c>
      <c r="K1412" s="11">
        <v>60</v>
      </c>
      <c r="L1412" s="12">
        <v>44378</v>
      </c>
      <c r="M1412" t="s">
        <v>36</v>
      </c>
    </row>
    <row r="1413" spans="1:13" ht="45">
      <c r="A1413" s="6" t="s">
        <v>2513</v>
      </c>
      <c r="B1413" s="7" t="s">
        <v>1511</v>
      </c>
      <c r="C1413" s="7" t="s">
        <v>2497</v>
      </c>
      <c r="D1413" s="6" t="s">
        <v>18</v>
      </c>
      <c r="E1413" s="7" t="s">
        <v>1580</v>
      </c>
      <c r="F1413" s="13"/>
      <c r="G1413" s="9">
        <f>IFERROR(VLOOKUP(D1413,Listas!$A$2:$B$20,2,FALSE()),999)</f>
        <v>1</v>
      </c>
      <c r="H1413" s="9" t="str">
        <f t="shared" ref="H1413:H1476" ca="1" si="22">IF(F1413="","Sin fecha",IF(TODAY()-F1413&gt;180,"Revisar",IF(TODAY()-F1413&gt;90,"Próximo","Vigente")))</f>
        <v>Sin fecha</v>
      </c>
      <c r="J1413" s="11">
        <v>60</v>
      </c>
      <c r="K1413" s="11">
        <v>60</v>
      </c>
      <c r="L1413" s="12">
        <v>44378</v>
      </c>
      <c r="M1413" t="s">
        <v>36</v>
      </c>
    </row>
    <row r="1414" spans="1:13" ht="45">
      <c r="A1414" s="6" t="s">
        <v>2514</v>
      </c>
      <c r="B1414" s="7" t="s">
        <v>1511</v>
      </c>
      <c r="C1414" s="7" t="s">
        <v>2497</v>
      </c>
      <c r="D1414" s="6" t="s">
        <v>1467</v>
      </c>
      <c r="E1414" s="7" t="s">
        <v>1513</v>
      </c>
      <c r="F1414" s="13"/>
      <c r="G1414" s="9">
        <f>IFERROR(VLOOKUP(D1414,Listas!$A$2:$B$20,2,FALSE()),999)</f>
        <v>2</v>
      </c>
      <c r="H1414" s="9" t="str">
        <f t="shared" ca="1" si="22"/>
        <v>Sin fecha</v>
      </c>
      <c r="J1414" s="11">
        <v>60</v>
      </c>
      <c r="K1414" s="11">
        <v>60</v>
      </c>
      <c r="L1414" s="12">
        <v>44378</v>
      </c>
      <c r="M1414" t="s">
        <v>36</v>
      </c>
    </row>
    <row r="1415" spans="1:13" ht="45">
      <c r="A1415" s="6" t="s">
        <v>2515</v>
      </c>
      <c r="B1415" s="7" t="s">
        <v>1511</v>
      </c>
      <c r="C1415" s="7" t="s">
        <v>2497</v>
      </c>
      <c r="D1415" s="6" t="s">
        <v>18</v>
      </c>
      <c r="E1415" s="7" t="s">
        <v>2004</v>
      </c>
      <c r="F1415" s="13"/>
      <c r="G1415" s="9">
        <f>IFERROR(VLOOKUP(D1415,Listas!$A$2:$B$20,2,FALSE()),999)</f>
        <v>1</v>
      </c>
      <c r="H1415" s="9" t="str">
        <f t="shared" ca="1" si="22"/>
        <v>Sin fecha</v>
      </c>
      <c r="J1415" s="11">
        <v>60</v>
      </c>
      <c r="K1415" s="11">
        <v>60</v>
      </c>
      <c r="L1415" s="12">
        <v>44378</v>
      </c>
      <c r="M1415" t="s">
        <v>36</v>
      </c>
    </row>
    <row r="1416" spans="1:13" ht="45">
      <c r="A1416" s="6" t="s">
        <v>2516</v>
      </c>
      <c r="B1416" s="7" t="s">
        <v>1511</v>
      </c>
      <c r="C1416" s="7" t="s">
        <v>2497</v>
      </c>
      <c r="D1416" s="6" t="s">
        <v>18</v>
      </c>
      <c r="E1416" s="7" t="s">
        <v>1701</v>
      </c>
      <c r="F1416" s="13"/>
      <c r="G1416" s="9">
        <f>IFERROR(VLOOKUP(D1416,Listas!$A$2:$B$20,2,FALSE()),999)</f>
        <v>1</v>
      </c>
      <c r="H1416" s="9" t="str">
        <f t="shared" ca="1" si="22"/>
        <v>Sin fecha</v>
      </c>
      <c r="J1416" s="11">
        <v>60</v>
      </c>
      <c r="K1416" s="11">
        <v>60</v>
      </c>
      <c r="L1416" s="12">
        <v>44378</v>
      </c>
      <c r="M1416" t="s">
        <v>36</v>
      </c>
    </row>
    <row r="1417" spans="1:13" ht="45">
      <c r="A1417" s="6" t="s">
        <v>2517</v>
      </c>
      <c r="B1417" s="7" t="s">
        <v>1511</v>
      </c>
      <c r="C1417" s="7" t="s">
        <v>2497</v>
      </c>
      <c r="D1417" s="6" t="s">
        <v>18</v>
      </c>
      <c r="E1417" s="7" t="s">
        <v>1950</v>
      </c>
      <c r="F1417" s="13"/>
      <c r="G1417" s="9">
        <f>IFERROR(VLOOKUP(D1417,Listas!$A$2:$B$20,2,FALSE()),999)</f>
        <v>1</v>
      </c>
      <c r="H1417" s="9" t="str">
        <f t="shared" ca="1" si="22"/>
        <v>Sin fecha</v>
      </c>
      <c r="J1417" s="11">
        <v>60</v>
      </c>
      <c r="K1417" s="11">
        <v>60</v>
      </c>
      <c r="L1417" s="12">
        <v>44378</v>
      </c>
      <c r="M1417" t="s">
        <v>36</v>
      </c>
    </row>
    <row r="1418" spans="1:13" ht="225">
      <c r="A1418" s="6" t="s">
        <v>2518</v>
      </c>
      <c r="B1418" s="7" t="s">
        <v>1511</v>
      </c>
      <c r="C1418" s="7" t="s">
        <v>2519</v>
      </c>
      <c r="D1418" s="6" t="s">
        <v>18</v>
      </c>
      <c r="E1418" s="7" t="s">
        <v>2286</v>
      </c>
      <c r="F1418" s="13"/>
      <c r="G1418" s="9">
        <f>IFERROR(VLOOKUP(D1418,Listas!$A$2:$B$20,2,FALSE()),999)</f>
        <v>1</v>
      </c>
      <c r="H1418" s="9" t="str">
        <f t="shared" ca="1" si="22"/>
        <v>Sin fecha</v>
      </c>
      <c r="J1418" s="11">
        <v>60</v>
      </c>
      <c r="K1418" s="11">
        <v>60</v>
      </c>
      <c r="L1418" s="12">
        <v>44378</v>
      </c>
      <c r="M1418" t="s">
        <v>36</v>
      </c>
    </row>
    <row r="1419" spans="1:13" ht="225">
      <c r="A1419" s="6" t="s">
        <v>2520</v>
      </c>
      <c r="B1419" s="7" t="s">
        <v>1511</v>
      </c>
      <c r="C1419" s="7" t="s">
        <v>2519</v>
      </c>
      <c r="D1419" s="6" t="s">
        <v>18</v>
      </c>
      <c r="E1419" s="7" t="s">
        <v>1824</v>
      </c>
      <c r="F1419" s="13"/>
      <c r="G1419" s="9">
        <f>IFERROR(VLOOKUP(D1419,Listas!$A$2:$B$20,2,FALSE()),999)</f>
        <v>1</v>
      </c>
      <c r="H1419" s="9" t="str">
        <f t="shared" ca="1" si="22"/>
        <v>Sin fecha</v>
      </c>
      <c r="J1419" s="11">
        <v>60</v>
      </c>
      <c r="K1419" s="11">
        <v>60</v>
      </c>
      <c r="L1419" s="12">
        <v>44378</v>
      </c>
      <c r="M1419" t="s">
        <v>36</v>
      </c>
    </row>
    <row r="1420" spans="1:13" ht="225">
      <c r="A1420" s="6" t="s">
        <v>2521</v>
      </c>
      <c r="B1420" s="7" t="s">
        <v>1511</v>
      </c>
      <c r="C1420" s="7" t="s">
        <v>2519</v>
      </c>
      <c r="D1420" s="6" t="s">
        <v>18</v>
      </c>
      <c r="E1420" s="7" t="s">
        <v>2286</v>
      </c>
      <c r="F1420" s="13"/>
      <c r="G1420" s="9">
        <f>IFERROR(VLOOKUP(D1420,Listas!$A$2:$B$20,2,FALSE()),999)</f>
        <v>1</v>
      </c>
      <c r="H1420" s="9" t="str">
        <f t="shared" ca="1" si="22"/>
        <v>Sin fecha</v>
      </c>
      <c r="J1420" s="11">
        <v>60</v>
      </c>
      <c r="K1420" s="11">
        <v>60</v>
      </c>
      <c r="L1420" s="12">
        <v>44378</v>
      </c>
      <c r="M1420" t="s">
        <v>36</v>
      </c>
    </row>
    <row r="1421" spans="1:13" ht="225">
      <c r="A1421" s="6" t="s">
        <v>2522</v>
      </c>
      <c r="B1421" s="7" t="s">
        <v>1511</v>
      </c>
      <c r="C1421" s="7" t="s">
        <v>2519</v>
      </c>
      <c r="D1421" s="6" t="s">
        <v>18</v>
      </c>
      <c r="E1421" s="7" t="s">
        <v>2286</v>
      </c>
      <c r="F1421" s="13"/>
      <c r="G1421" s="9">
        <f>IFERROR(VLOOKUP(D1421,Listas!$A$2:$B$20,2,FALSE()),999)</f>
        <v>1</v>
      </c>
      <c r="H1421" s="9" t="str">
        <f t="shared" ca="1" si="22"/>
        <v>Sin fecha</v>
      </c>
      <c r="J1421" s="11">
        <v>60</v>
      </c>
      <c r="K1421" s="11">
        <v>60</v>
      </c>
      <c r="L1421" s="12">
        <v>44378</v>
      </c>
      <c r="M1421" t="s">
        <v>36</v>
      </c>
    </row>
    <row r="1422" spans="1:13" ht="225">
      <c r="A1422" s="6" t="s">
        <v>2523</v>
      </c>
      <c r="B1422" s="7" t="s">
        <v>1511</v>
      </c>
      <c r="C1422" s="7" t="s">
        <v>2519</v>
      </c>
      <c r="D1422" s="6" t="s">
        <v>18</v>
      </c>
      <c r="E1422" s="7" t="s">
        <v>2286</v>
      </c>
      <c r="F1422" s="13"/>
      <c r="G1422" s="9">
        <f>IFERROR(VLOOKUP(D1422,Listas!$A$2:$B$20,2,FALSE()),999)</f>
        <v>1</v>
      </c>
      <c r="H1422" s="9" t="str">
        <f t="shared" ca="1" si="22"/>
        <v>Sin fecha</v>
      </c>
      <c r="J1422" s="11">
        <v>60</v>
      </c>
      <c r="K1422" s="11">
        <v>60</v>
      </c>
      <c r="L1422" s="12">
        <v>44378</v>
      </c>
      <c r="M1422" t="s">
        <v>36</v>
      </c>
    </row>
    <row r="1423" spans="1:13" ht="225">
      <c r="A1423" s="6" t="s">
        <v>2524</v>
      </c>
      <c r="B1423" s="7" t="s">
        <v>1511</v>
      </c>
      <c r="C1423" s="7" t="s">
        <v>2519</v>
      </c>
      <c r="D1423" s="6" t="s">
        <v>18</v>
      </c>
      <c r="E1423" s="7" t="s">
        <v>2286</v>
      </c>
      <c r="F1423" s="13"/>
      <c r="G1423" s="9">
        <f>IFERROR(VLOOKUP(D1423,Listas!$A$2:$B$20,2,FALSE()),999)</f>
        <v>1</v>
      </c>
      <c r="H1423" s="9" t="str">
        <f t="shared" ca="1" si="22"/>
        <v>Sin fecha</v>
      </c>
      <c r="J1423" s="11">
        <v>60</v>
      </c>
      <c r="K1423" s="11">
        <v>60</v>
      </c>
      <c r="L1423" s="12">
        <v>44378</v>
      </c>
      <c r="M1423" t="s">
        <v>36</v>
      </c>
    </row>
    <row r="1424" spans="1:13" ht="225">
      <c r="A1424" s="6" t="s">
        <v>2525</v>
      </c>
      <c r="B1424" s="7" t="s">
        <v>1511</v>
      </c>
      <c r="C1424" s="7" t="s">
        <v>2519</v>
      </c>
      <c r="D1424" s="6" t="s">
        <v>18</v>
      </c>
      <c r="E1424" s="7" t="s">
        <v>2286</v>
      </c>
      <c r="F1424" s="13"/>
      <c r="G1424" s="9">
        <f>IFERROR(VLOOKUP(D1424,Listas!$A$2:$B$20,2,FALSE()),999)</f>
        <v>1</v>
      </c>
      <c r="H1424" s="9" t="str">
        <f t="shared" ca="1" si="22"/>
        <v>Sin fecha</v>
      </c>
      <c r="J1424" s="11">
        <v>60</v>
      </c>
      <c r="K1424" s="11">
        <v>60</v>
      </c>
      <c r="L1424" s="12">
        <v>44378</v>
      </c>
      <c r="M1424" t="s">
        <v>36</v>
      </c>
    </row>
    <row r="1425" spans="1:13" ht="225">
      <c r="A1425" s="6" t="s">
        <v>2526</v>
      </c>
      <c r="B1425" s="7" t="s">
        <v>1511</v>
      </c>
      <c r="C1425" s="7" t="s">
        <v>2519</v>
      </c>
      <c r="D1425" s="6" t="s">
        <v>18</v>
      </c>
      <c r="E1425" s="7" t="s">
        <v>2286</v>
      </c>
      <c r="F1425" s="13"/>
      <c r="G1425" s="9">
        <f>IFERROR(VLOOKUP(D1425,Listas!$A$2:$B$20,2,FALSE()),999)</f>
        <v>1</v>
      </c>
      <c r="H1425" s="9" t="str">
        <f t="shared" ca="1" si="22"/>
        <v>Sin fecha</v>
      </c>
      <c r="J1425" s="11">
        <v>60</v>
      </c>
      <c r="K1425" s="11">
        <v>60</v>
      </c>
      <c r="L1425" s="12">
        <v>44378</v>
      </c>
      <c r="M1425" t="s">
        <v>36</v>
      </c>
    </row>
    <row r="1426" spans="1:13" ht="225">
      <c r="A1426" s="6" t="s">
        <v>2527</v>
      </c>
      <c r="B1426" s="7" t="s">
        <v>1511</v>
      </c>
      <c r="C1426" s="7" t="s">
        <v>2519</v>
      </c>
      <c r="D1426" s="6" t="s">
        <v>18</v>
      </c>
      <c r="E1426" s="7" t="s">
        <v>2286</v>
      </c>
      <c r="F1426" s="13"/>
      <c r="G1426" s="9">
        <f>IFERROR(VLOOKUP(D1426,Listas!$A$2:$B$20,2,FALSE()),999)</f>
        <v>1</v>
      </c>
      <c r="H1426" s="9" t="str">
        <f t="shared" ca="1" si="22"/>
        <v>Sin fecha</v>
      </c>
      <c r="J1426" s="11">
        <v>60</v>
      </c>
      <c r="K1426" s="11">
        <v>60</v>
      </c>
      <c r="L1426" s="12">
        <v>44378</v>
      </c>
      <c r="M1426" t="s">
        <v>36</v>
      </c>
    </row>
    <row r="1427" spans="1:13" ht="225">
      <c r="A1427" s="6" t="s">
        <v>2528</v>
      </c>
      <c r="B1427" s="7" t="s">
        <v>1511</v>
      </c>
      <c r="C1427" s="7" t="s">
        <v>2519</v>
      </c>
      <c r="D1427" s="6" t="s">
        <v>18</v>
      </c>
      <c r="E1427" s="7" t="s">
        <v>2286</v>
      </c>
      <c r="F1427" s="13"/>
      <c r="G1427" s="9">
        <f>IFERROR(VLOOKUP(D1427,Listas!$A$2:$B$20,2,FALSE()),999)</f>
        <v>1</v>
      </c>
      <c r="H1427" s="9" t="str">
        <f t="shared" ca="1" si="22"/>
        <v>Sin fecha</v>
      </c>
      <c r="J1427" s="11">
        <v>60</v>
      </c>
      <c r="K1427" s="11">
        <v>60</v>
      </c>
      <c r="L1427" s="12">
        <v>44378</v>
      </c>
      <c r="M1427" t="s">
        <v>36</v>
      </c>
    </row>
    <row r="1428" spans="1:13" ht="225">
      <c r="A1428" s="6" t="s">
        <v>2529</v>
      </c>
      <c r="B1428" s="7" t="s">
        <v>1511</v>
      </c>
      <c r="C1428" s="7" t="s">
        <v>2519</v>
      </c>
      <c r="D1428" s="6" t="s">
        <v>18</v>
      </c>
      <c r="E1428" s="7" t="s">
        <v>2286</v>
      </c>
      <c r="F1428" s="13"/>
      <c r="G1428" s="9">
        <f>IFERROR(VLOOKUP(D1428,Listas!$A$2:$B$20,2,FALSE()),999)</f>
        <v>1</v>
      </c>
      <c r="H1428" s="9" t="str">
        <f t="shared" ca="1" si="22"/>
        <v>Sin fecha</v>
      </c>
      <c r="J1428" s="11">
        <v>60</v>
      </c>
      <c r="K1428" s="11">
        <v>60</v>
      </c>
      <c r="L1428" s="12">
        <v>44378</v>
      </c>
      <c r="M1428" t="s">
        <v>36</v>
      </c>
    </row>
    <row r="1429" spans="1:13" ht="225">
      <c r="A1429" s="6" t="s">
        <v>2530</v>
      </c>
      <c r="B1429" s="7" t="s">
        <v>1511</v>
      </c>
      <c r="C1429" s="7" t="s">
        <v>2519</v>
      </c>
      <c r="D1429" s="6" t="s">
        <v>18</v>
      </c>
      <c r="E1429" s="7" t="s">
        <v>2286</v>
      </c>
      <c r="F1429" s="13"/>
      <c r="G1429" s="9">
        <f>IFERROR(VLOOKUP(D1429,Listas!$A$2:$B$20,2,FALSE()),999)</f>
        <v>1</v>
      </c>
      <c r="H1429" s="9" t="str">
        <f t="shared" ca="1" si="22"/>
        <v>Sin fecha</v>
      </c>
      <c r="J1429" s="11">
        <v>60</v>
      </c>
      <c r="K1429" s="11">
        <v>60</v>
      </c>
      <c r="L1429" s="12">
        <v>44378</v>
      </c>
      <c r="M1429" t="s">
        <v>36</v>
      </c>
    </row>
    <row r="1430" spans="1:13" ht="225">
      <c r="A1430" s="6" t="s">
        <v>2531</v>
      </c>
      <c r="B1430" s="7" t="s">
        <v>1511</v>
      </c>
      <c r="C1430" s="7" t="s">
        <v>2519</v>
      </c>
      <c r="D1430" s="6" t="s">
        <v>18</v>
      </c>
      <c r="E1430" s="7" t="s">
        <v>2286</v>
      </c>
      <c r="F1430" s="13"/>
      <c r="G1430" s="9">
        <f>IFERROR(VLOOKUP(D1430,Listas!$A$2:$B$20,2,FALSE()),999)</f>
        <v>1</v>
      </c>
      <c r="H1430" s="9" t="str">
        <f t="shared" ca="1" si="22"/>
        <v>Sin fecha</v>
      </c>
      <c r="J1430" s="11">
        <v>60</v>
      </c>
      <c r="K1430" s="11">
        <v>60</v>
      </c>
      <c r="L1430" s="12">
        <v>44378</v>
      </c>
      <c r="M1430" t="s">
        <v>36</v>
      </c>
    </row>
    <row r="1431" spans="1:13" ht="210">
      <c r="A1431" s="6" t="s">
        <v>2532</v>
      </c>
      <c r="B1431" s="7" t="s">
        <v>1511</v>
      </c>
      <c r="C1431" s="7" t="s">
        <v>2533</v>
      </c>
      <c r="D1431" s="6" t="s">
        <v>18</v>
      </c>
      <c r="E1431" s="7" t="s">
        <v>2286</v>
      </c>
      <c r="F1431" s="13"/>
      <c r="G1431" s="9">
        <f>IFERROR(VLOOKUP(D1431,Listas!$A$2:$B$20,2,FALSE()),999)</f>
        <v>1</v>
      </c>
      <c r="H1431" s="9" t="str">
        <f t="shared" ca="1" si="22"/>
        <v>Sin fecha</v>
      </c>
      <c r="J1431" s="11">
        <v>60</v>
      </c>
      <c r="K1431" s="11">
        <v>60</v>
      </c>
      <c r="L1431" s="12">
        <v>44440</v>
      </c>
      <c r="M1431" t="s">
        <v>36</v>
      </c>
    </row>
    <row r="1432" spans="1:13" ht="210">
      <c r="A1432" s="6" t="s">
        <v>2534</v>
      </c>
      <c r="B1432" s="7" t="s">
        <v>1511</v>
      </c>
      <c r="C1432" s="7" t="s">
        <v>2533</v>
      </c>
      <c r="D1432" s="6" t="s">
        <v>18</v>
      </c>
      <c r="E1432" s="7" t="s">
        <v>2286</v>
      </c>
      <c r="F1432" s="13"/>
      <c r="G1432" s="9">
        <f>IFERROR(VLOOKUP(D1432,Listas!$A$2:$B$20,2,FALSE()),999)</f>
        <v>1</v>
      </c>
      <c r="H1432" s="9" t="str">
        <f t="shared" ca="1" si="22"/>
        <v>Sin fecha</v>
      </c>
      <c r="J1432" s="11">
        <v>60</v>
      </c>
      <c r="K1432" s="11">
        <v>60</v>
      </c>
      <c r="L1432" s="12">
        <v>44440</v>
      </c>
      <c r="M1432" t="s">
        <v>36</v>
      </c>
    </row>
    <row r="1433" spans="1:13" ht="390">
      <c r="A1433" s="6" t="s">
        <v>2535</v>
      </c>
      <c r="B1433" s="7" t="s">
        <v>1511</v>
      </c>
      <c r="C1433" s="7" t="s">
        <v>2536</v>
      </c>
      <c r="D1433" s="6" t="s">
        <v>18</v>
      </c>
      <c r="E1433" s="7" t="s">
        <v>1701</v>
      </c>
      <c r="F1433" s="13"/>
      <c r="G1433" s="9">
        <f>IFERROR(VLOOKUP(D1433,Listas!$A$2:$B$20,2,FALSE()),999)</f>
        <v>1</v>
      </c>
      <c r="H1433" s="9" t="str">
        <f t="shared" ca="1" si="22"/>
        <v>Sin fecha</v>
      </c>
      <c r="J1433" s="11">
        <v>60</v>
      </c>
      <c r="K1433" s="11">
        <v>57</v>
      </c>
      <c r="L1433" s="12">
        <v>44531</v>
      </c>
      <c r="M1433" t="s">
        <v>20</v>
      </c>
    </row>
    <row r="1434" spans="1:13" ht="390">
      <c r="A1434" s="6" t="s">
        <v>2537</v>
      </c>
      <c r="B1434" s="7" t="s">
        <v>1511</v>
      </c>
      <c r="C1434" s="7" t="s">
        <v>2536</v>
      </c>
      <c r="D1434" s="6" t="s">
        <v>18</v>
      </c>
      <c r="E1434" s="7" t="s">
        <v>1476</v>
      </c>
      <c r="F1434" s="13"/>
      <c r="G1434" s="9">
        <f>IFERROR(VLOOKUP(D1434,Listas!$A$2:$B$20,2,FALSE()),999)</f>
        <v>1</v>
      </c>
      <c r="H1434" s="9" t="str">
        <f t="shared" ca="1" si="22"/>
        <v>Sin fecha</v>
      </c>
      <c r="J1434" s="11">
        <v>60</v>
      </c>
      <c r="K1434" s="11">
        <v>57</v>
      </c>
      <c r="L1434" s="12">
        <v>44531</v>
      </c>
      <c r="M1434" t="s">
        <v>20</v>
      </c>
    </row>
    <row r="1435" spans="1:13" ht="390">
      <c r="A1435" s="6" t="s">
        <v>2538</v>
      </c>
      <c r="B1435" s="7" t="s">
        <v>1511</v>
      </c>
      <c r="C1435" s="7" t="s">
        <v>2536</v>
      </c>
      <c r="D1435" s="6" t="s">
        <v>18</v>
      </c>
      <c r="E1435" s="7" t="s">
        <v>1795</v>
      </c>
      <c r="F1435" s="13"/>
      <c r="G1435" s="9">
        <f>IFERROR(VLOOKUP(D1435,Listas!$A$2:$B$20,2,FALSE()),999)</f>
        <v>1</v>
      </c>
      <c r="H1435" s="9" t="str">
        <f t="shared" ca="1" si="22"/>
        <v>Sin fecha</v>
      </c>
      <c r="J1435" s="11">
        <v>60</v>
      </c>
      <c r="K1435" s="11">
        <v>57</v>
      </c>
      <c r="L1435" s="12">
        <v>44531</v>
      </c>
      <c r="M1435" t="s">
        <v>20</v>
      </c>
    </row>
    <row r="1436" spans="1:13" ht="390">
      <c r="A1436" s="6" t="s">
        <v>2539</v>
      </c>
      <c r="B1436" s="7" t="s">
        <v>1511</v>
      </c>
      <c r="C1436" s="7" t="s">
        <v>2536</v>
      </c>
      <c r="D1436" s="6" t="s">
        <v>1467</v>
      </c>
      <c r="E1436" s="7" t="s">
        <v>1580</v>
      </c>
      <c r="F1436" s="13"/>
      <c r="G1436" s="9">
        <f>IFERROR(VLOOKUP(D1436,Listas!$A$2:$B$20,2,FALSE()),999)</f>
        <v>2</v>
      </c>
      <c r="H1436" s="9" t="str">
        <f t="shared" ca="1" si="22"/>
        <v>Sin fecha</v>
      </c>
      <c r="J1436" s="11">
        <v>60</v>
      </c>
      <c r="K1436" s="11">
        <v>57</v>
      </c>
      <c r="L1436" s="12">
        <v>44531</v>
      </c>
      <c r="M1436" t="s">
        <v>20</v>
      </c>
    </row>
    <row r="1437" spans="1:13" ht="390">
      <c r="A1437" s="6" t="s">
        <v>2540</v>
      </c>
      <c r="B1437" s="7" t="s">
        <v>1511</v>
      </c>
      <c r="C1437" s="7" t="s">
        <v>2536</v>
      </c>
      <c r="D1437" s="6" t="s">
        <v>1467</v>
      </c>
      <c r="E1437" s="7" t="s">
        <v>2187</v>
      </c>
      <c r="F1437" s="13"/>
      <c r="G1437" s="9">
        <f>IFERROR(VLOOKUP(D1437,Listas!$A$2:$B$20,2,FALSE()),999)</f>
        <v>2</v>
      </c>
      <c r="H1437" s="9" t="str">
        <f t="shared" ca="1" si="22"/>
        <v>Sin fecha</v>
      </c>
      <c r="J1437" s="11">
        <v>60</v>
      </c>
      <c r="K1437" s="11">
        <v>57</v>
      </c>
      <c r="L1437" s="12">
        <v>44531</v>
      </c>
      <c r="M1437" t="s">
        <v>20</v>
      </c>
    </row>
    <row r="1438" spans="1:13" ht="390">
      <c r="A1438" s="6" t="s">
        <v>2541</v>
      </c>
      <c r="B1438" s="7" t="s">
        <v>1511</v>
      </c>
      <c r="C1438" s="7" t="s">
        <v>2536</v>
      </c>
      <c r="D1438" s="6" t="s">
        <v>1467</v>
      </c>
      <c r="E1438" s="7" t="s">
        <v>1471</v>
      </c>
      <c r="F1438" s="13"/>
      <c r="G1438" s="9">
        <f>IFERROR(VLOOKUP(D1438,Listas!$A$2:$B$20,2,FALSE()),999)</f>
        <v>2</v>
      </c>
      <c r="H1438" s="9" t="str">
        <f t="shared" ca="1" si="22"/>
        <v>Sin fecha</v>
      </c>
      <c r="J1438" s="11">
        <v>60</v>
      </c>
      <c r="K1438" s="11">
        <v>57</v>
      </c>
      <c r="L1438" s="12">
        <v>44531</v>
      </c>
      <c r="M1438" t="s">
        <v>20</v>
      </c>
    </row>
    <row r="1439" spans="1:13" ht="390">
      <c r="A1439" s="6" t="s">
        <v>2542</v>
      </c>
      <c r="B1439" s="7" t="s">
        <v>1511</v>
      </c>
      <c r="C1439" s="7" t="s">
        <v>2536</v>
      </c>
      <c r="D1439" s="6" t="s">
        <v>18</v>
      </c>
      <c r="E1439" s="7" t="s">
        <v>2363</v>
      </c>
      <c r="F1439" s="13"/>
      <c r="G1439" s="9">
        <f>IFERROR(VLOOKUP(D1439,Listas!$A$2:$B$20,2,FALSE()),999)</f>
        <v>1</v>
      </c>
      <c r="H1439" s="9" t="str">
        <f t="shared" ca="1" si="22"/>
        <v>Sin fecha</v>
      </c>
      <c r="J1439" s="11">
        <v>60</v>
      </c>
      <c r="K1439" s="11">
        <v>57</v>
      </c>
      <c r="L1439" s="12">
        <v>44531</v>
      </c>
      <c r="M1439" t="s">
        <v>20</v>
      </c>
    </row>
    <row r="1440" spans="1:13" ht="390">
      <c r="A1440" s="6" t="s">
        <v>2543</v>
      </c>
      <c r="B1440" s="7" t="s">
        <v>1511</v>
      </c>
      <c r="C1440" s="7" t="s">
        <v>2536</v>
      </c>
      <c r="D1440" s="6" t="s">
        <v>18</v>
      </c>
      <c r="E1440" s="7" t="s">
        <v>2501</v>
      </c>
      <c r="F1440" s="13"/>
      <c r="G1440" s="9">
        <f>IFERROR(VLOOKUP(D1440,Listas!$A$2:$B$20,2,FALSE()),999)</f>
        <v>1</v>
      </c>
      <c r="H1440" s="9" t="str">
        <f t="shared" ca="1" si="22"/>
        <v>Sin fecha</v>
      </c>
      <c r="J1440" s="11">
        <v>60</v>
      </c>
      <c r="K1440" s="11">
        <v>57</v>
      </c>
      <c r="L1440" s="12">
        <v>44531</v>
      </c>
      <c r="M1440" t="s">
        <v>20</v>
      </c>
    </row>
    <row r="1441" spans="1:13" ht="390">
      <c r="A1441" s="6" t="s">
        <v>2544</v>
      </c>
      <c r="B1441" s="7" t="s">
        <v>1511</v>
      </c>
      <c r="C1441" s="7" t="s">
        <v>2536</v>
      </c>
      <c r="D1441" s="6" t="s">
        <v>18</v>
      </c>
      <c r="E1441" s="7" t="s">
        <v>2545</v>
      </c>
      <c r="F1441" s="13"/>
      <c r="G1441" s="9">
        <f>IFERROR(VLOOKUP(D1441,Listas!$A$2:$B$20,2,FALSE()),999)</f>
        <v>1</v>
      </c>
      <c r="H1441" s="9" t="str">
        <f t="shared" ca="1" si="22"/>
        <v>Sin fecha</v>
      </c>
      <c r="J1441" s="11">
        <v>60</v>
      </c>
      <c r="K1441" s="11">
        <v>57</v>
      </c>
      <c r="L1441" s="12">
        <v>44531</v>
      </c>
      <c r="M1441" t="s">
        <v>20</v>
      </c>
    </row>
    <row r="1442" spans="1:13" ht="75">
      <c r="A1442" s="6" t="s">
        <v>2546</v>
      </c>
      <c r="B1442" s="7" t="s">
        <v>141</v>
      </c>
      <c r="C1442" s="7" t="s">
        <v>2547</v>
      </c>
      <c r="D1442" s="6" t="s">
        <v>1467</v>
      </c>
      <c r="E1442" s="7" t="s">
        <v>1936</v>
      </c>
      <c r="F1442" s="13"/>
      <c r="G1442" s="9">
        <f>IFERROR(VLOOKUP(D1442,Listas!$A$2:$B$20,2,FALSE()),999)</f>
        <v>2</v>
      </c>
      <c r="H1442" s="9" t="str">
        <f t="shared" ca="1" si="22"/>
        <v>Sin fecha</v>
      </c>
      <c r="J1442" s="11">
        <v>60</v>
      </c>
      <c r="K1442" s="11">
        <v>50</v>
      </c>
      <c r="L1442" s="12">
        <v>44743</v>
      </c>
      <c r="M1442" t="s">
        <v>20</v>
      </c>
    </row>
    <row r="1443" spans="1:13" ht="195">
      <c r="A1443" s="6" t="s">
        <v>2548</v>
      </c>
      <c r="B1443" s="7" t="s">
        <v>1511</v>
      </c>
      <c r="C1443" s="7" t="s">
        <v>2549</v>
      </c>
      <c r="D1443" s="6" t="s">
        <v>1467</v>
      </c>
      <c r="E1443" s="7" t="s">
        <v>1513</v>
      </c>
      <c r="F1443" s="13"/>
      <c r="G1443" s="9">
        <f>IFERROR(VLOOKUP(D1443,Listas!$A$2:$B$20,2,FALSE()),999)</f>
        <v>2</v>
      </c>
      <c r="H1443" s="9" t="str">
        <f t="shared" ca="1" si="22"/>
        <v>Sin fecha</v>
      </c>
      <c r="J1443" s="11">
        <v>60</v>
      </c>
      <c r="K1443" s="11">
        <v>48</v>
      </c>
      <c r="L1443" s="12">
        <v>44805</v>
      </c>
      <c r="M1443" t="s">
        <v>20</v>
      </c>
    </row>
    <row r="1444" spans="1:13" ht="195">
      <c r="A1444" s="6" t="s">
        <v>2550</v>
      </c>
      <c r="B1444" s="7" t="s">
        <v>1511</v>
      </c>
      <c r="C1444" s="7" t="s">
        <v>2549</v>
      </c>
      <c r="D1444" s="6" t="s">
        <v>18</v>
      </c>
      <c r="E1444" s="7" t="s">
        <v>1950</v>
      </c>
      <c r="F1444" s="13"/>
      <c r="G1444" s="9">
        <f>IFERROR(VLOOKUP(D1444,Listas!$A$2:$B$20,2,FALSE()),999)</f>
        <v>1</v>
      </c>
      <c r="H1444" s="9" t="str">
        <f t="shared" ca="1" si="22"/>
        <v>Sin fecha</v>
      </c>
      <c r="J1444" s="11">
        <v>60</v>
      </c>
      <c r="K1444" s="11">
        <v>48</v>
      </c>
      <c r="L1444" s="12">
        <v>44805</v>
      </c>
      <c r="M1444" t="s">
        <v>20</v>
      </c>
    </row>
    <row r="1445" spans="1:13" ht="240">
      <c r="A1445" s="6" t="s">
        <v>2551</v>
      </c>
      <c r="B1445" s="7" t="s">
        <v>1511</v>
      </c>
      <c r="C1445" s="7" t="s">
        <v>2552</v>
      </c>
      <c r="D1445" s="6" t="s">
        <v>18</v>
      </c>
      <c r="E1445" s="7" t="s">
        <v>1485</v>
      </c>
      <c r="F1445" s="13"/>
      <c r="G1445" s="9">
        <f>IFERROR(VLOOKUP(D1445,Listas!$A$2:$B$20,2,FALSE()),999)</f>
        <v>1</v>
      </c>
      <c r="H1445" s="9" t="str">
        <f t="shared" ca="1" si="22"/>
        <v>Sin fecha</v>
      </c>
      <c r="J1445" s="11">
        <v>60</v>
      </c>
      <c r="K1445" s="11">
        <v>47</v>
      </c>
      <c r="L1445" s="12">
        <v>44835</v>
      </c>
      <c r="M1445" t="s">
        <v>20</v>
      </c>
    </row>
    <row r="1446" spans="1:13" ht="240">
      <c r="A1446" s="6" t="s">
        <v>2553</v>
      </c>
      <c r="B1446" s="7" t="s">
        <v>1511</v>
      </c>
      <c r="C1446" s="7" t="s">
        <v>2552</v>
      </c>
      <c r="D1446" s="6" t="s">
        <v>1467</v>
      </c>
      <c r="E1446" s="7" t="s">
        <v>1471</v>
      </c>
      <c r="F1446" s="13"/>
      <c r="G1446" s="9">
        <f>IFERROR(VLOOKUP(D1446,Listas!$A$2:$B$20,2,FALSE()),999)</f>
        <v>2</v>
      </c>
      <c r="H1446" s="9" t="str">
        <f t="shared" ca="1" si="22"/>
        <v>Sin fecha</v>
      </c>
      <c r="J1446" s="11">
        <v>60</v>
      </c>
      <c r="K1446" s="11">
        <v>47</v>
      </c>
      <c r="L1446" s="12">
        <v>44835</v>
      </c>
      <c r="M1446" t="s">
        <v>20</v>
      </c>
    </row>
    <row r="1447" spans="1:13">
      <c r="A1447" s="6" t="s">
        <v>2554</v>
      </c>
      <c r="B1447" s="7" t="s">
        <v>1511</v>
      </c>
      <c r="C1447" s="7" t="s">
        <v>2555</v>
      </c>
      <c r="D1447" s="6" t="s">
        <v>18</v>
      </c>
      <c r="E1447" s="7" t="s">
        <v>1808</v>
      </c>
      <c r="F1447" s="13"/>
      <c r="G1447" s="9">
        <f>IFERROR(VLOOKUP(D1447,Listas!$A$2:$B$20,2,FALSE()),999)</f>
        <v>1</v>
      </c>
      <c r="H1447" s="9" t="str">
        <f t="shared" ca="1" si="22"/>
        <v>Sin fecha</v>
      </c>
      <c r="J1447" s="11">
        <v>60</v>
      </c>
      <c r="K1447" s="11">
        <v>46</v>
      </c>
      <c r="L1447" s="12">
        <v>44866</v>
      </c>
      <c r="M1447" t="s">
        <v>20</v>
      </c>
    </row>
    <row r="1448" spans="1:13" ht="105">
      <c r="A1448" s="6" t="s">
        <v>2556</v>
      </c>
      <c r="B1448" s="7" t="s">
        <v>1511</v>
      </c>
      <c r="C1448" s="7" t="s">
        <v>2557</v>
      </c>
      <c r="D1448" s="6" t="s">
        <v>18</v>
      </c>
      <c r="E1448" s="7" t="s">
        <v>1901</v>
      </c>
      <c r="F1448" s="13"/>
      <c r="G1448" s="9">
        <f>IFERROR(VLOOKUP(D1448,Listas!$A$2:$B$20,2,FALSE()),999)</f>
        <v>1</v>
      </c>
      <c r="H1448" s="9" t="str">
        <f t="shared" ca="1" si="22"/>
        <v>Sin fecha</v>
      </c>
      <c r="J1448" s="11">
        <v>60</v>
      </c>
      <c r="K1448" s="11">
        <v>44</v>
      </c>
      <c r="L1448" s="12">
        <v>44927</v>
      </c>
      <c r="M1448" t="s">
        <v>20</v>
      </c>
    </row>
    <row r="1449" spans="1:13" ht="105">
      <c r="A1449" s="6" t="s">
        <v>2558</v>
      </c>
      <c r="B1449" s="7" t="s">
        <v>1412</v>
      </c>
      <c r="C1449" s="7" t="s">
        <v>2559</v>
      </c>
      <c r="D1449" s="6" t="s">
        <v>18</v>
      </c>
      <c r="E1449" s="7" t="s">
        <v>1521</v>
      </c>
      <c r="F1449" s="13"/>
      <c r="G1449" s="9">
        <f>IFERROR(VLOOKUP(D1449,Listas!$A$2:$B$20,2,FALSE()),999)</f>
        <v>1</v>
      </c>
      <c r="H1449" s="9" t="str">
        <f t="shared" ca="1" si="22"/>
        <v>Sin fecha</v>
      </c>
      <c r="J1449" s="11">
        <v>60</v>
      </c>
      <c r="K1449" s="11">
        <v>47</v>
      </c>
      <c r="L1449" s="12">
        <v>44835</v>
      </c>
      <c r="M1449" t="s">
        <v>20</v>
      </c>
    </row>
    <row r="1450" spans="1:13">
      <c r="A1450" s="6" t="s">
        <v>2560</v>
      </c>
      <c r="B1450" s="7" t="s">
        <v>1511</v>
      </c>
      <c r="C1450" s="7" t="s">
        <v>2362</v>
      </c>
      <c r="D1450" s="6" t="s">
        <v>18</v>
      </c>
      <c r="E1450" s="7" t="s">
        <v>1504</v>
      </c>
      <c r="F1450" s="13"/>
      <c r="G1450" s="9">
        <f>IFERROR(VLOOKUP(D1450,Listas!$A$2:$B$20,2,FALSE()),999)</f>
        <v>1</v>
      </c>
      <c r="H1450" s="9" t="str">
        <f t="shared" ca="1" si="22"/>
        <v>Sin fecha</v>
      </c>
      <c r="J1450" s="11">
        <v>1</v>
      </c>
      <c r="K1450" s="11">
        <v>1</v>
      </c>
      <c r="L1450" s="12">
        <v>44986</v>
      </c>
      <c r="M1450" t="s">
        <v>36</v>
      </c>
    </row>
    <row r="1451" spans="1:13" ht="45">
      <c r="A1451" s="6" t="s">
        <v>2561</v>
      </c>
      <c r="B1451" s="7" t="s">
        <v>1511</v>
      </c>
      <c r="C1451" s="7" t="s">
        <v>2562</v>
      </c>
      <c r="D1451" s="6" t="s">
        <v>18</v>
      </c>
      <c r="E1451" s="7" t="s">
        <v>1485</v>
      </c>
      <c r="F1451" s="13"/>
      <c r="G1451" s="9">
        <f>IFERROR(VLOOKUP(D1451,Listas!$A$2:$B$20,2,FALSE()),999)</f>
        <v>1</v>
      </c>
      <c r="H1451" s="9" t="str">
        <f t="shared" ca="1" si="22"/>
        <v>Sin fecha</v>
      </c>
      <c r="J1451" s="11">
        <v>60</v>
      </c>
      <c r="K1451" s="11">
        <v>41</v>
      </c>
      <c r="L1451" s="12">
        <v>45017</v>
      </c>
      <c r="M1451" t="s">
        <v>20</v>
      </c>
    </row>
    <row r="1452" spans="1:13" ht="75">
      <c r="A1452" s="6" t="s">
        <v>2563</v>
      </c>
      <c r="B1452" s="7" t="s">
        <v>1511</v>
      </c>
      <c r="C1452" s="7" t="s">
        <v>2564</v>
      </c>
      <c r="D1452" s="6" t="s">
        <v>18</v>
      </c>
      <c r="E1452" s="7" t="s">
        <v>2286</v>
      </c>
      <c r="F1452" s="13"/>
      <c r="G1452" s="9">
        <f>IFERROR(VLOOKUP(D1452,Listas!$A$2:$B$20,2,FALSE()),999)</f>
        <v>1</v>
      </c>
      <c r="H1452" s="9" t="str">
        <f t="shared" ca="1" si="22"/>
        <v>Sin fecha</v>
      </c>
      <c r="J1452" s="11">
        <v>60</v>
      </c>
      <c r="K1452" s="11">
        <v>36</v>
      </c>
      <c r="L1452" s="12">
        <v>45170</v>
      </c>
      <c r="M1452" t="s">
        <v>20</v>
      </c>
    </row>
    <row r="1453" spans="1:13" ht="75">
      <c r="A1453" s="6" t="s">
        <v>2565</v>
      </c>
      <c r="B1453" s="7" t="s">
        <v>1511</v>
      </c>
      <c r="C1453" s="7" t="s">
        <v>2564</v>
      </c>
      <c r="D1453" s="6" t="s">
        <v>18</v>
      </c>
      <c r="E1453" s="7" t="s">
        <v>2286</v>
      </c>
      <c r="F1453" s="13"/>
      <c r="G1453" s="9">
        <f>IFERROR(VLOOKUP(D1453,Listas!$A$2:$B$20,2,FALSE()),999)</f>
        <v>1</v>
      </c>
      <c r="H1453" s="9" t="str">
        <f t="shared" ca="1" si="22"/>
        <v>Sin fecha</v>
      </c>
      <c r="J1453" s="11">
        <v>60</v>
      </c>
      <c r="K1453" s="11">
        <v>36</v>
      </c>
      <c r="L1453" s="12">
        <v>45170</v>
      </c>
      <c r="M1453" t="s">
        <v>20</v>
      </c>
    </row>
    <row r="1454" spans="1:13" ht="75">
      <c r="A1454" s="6" t="s">
        <v>2566</v>
      </c>
      <c r="B1454" s="7" t="s">
        <v>1511</v>
      </c>
      <c r="C1454" s="7" t="s">
        <v>2564</v>
      </c>
      <c r="D1454" s="6" t="s">
        <v>1467</v>
      </c>
      <c r="E1454" s="7" t="s">
        <v>1468</v>
      </c>
      <c r="F1454" s="13"/>
      <c r="G1454" s="9">
        <f>IFERROR(VLOOKUP(D1454,Listas!$A$2:$B$20,2,FALSE()),999)</f>
        <v>2</v>
      </c>
      <c r="H1454" s="9" t="str">
        <f t="shared" ca="1" si="22"/>
        <v>Sin fecha</v>
      </c>
      <c r="J1454" s="11">
        <v>60</v>
      </c>
      <c r="K1454" s="11">
        <v>36</v>
      </c>
      <c r="L1454" s="12">
        <v>45170</v>
      </c>
      <c r="M1454" t="s">
        <v>20</v>
      </c>
    </row>
    <row r="1455" spans="1:13" ht="75">
      <c r="A1455" s="6" t="s">
        <v>2567</v>
      </c>
      <c r="B1455" s="7" t="s">
        <v>1511</v>
      </c>
      <c r="C1455" s="7" t="s">
        <v>2564</v>
      </c>
      <c r="D1455" s="6" t="s">
        <v>18</v>
      </c>
      <c r="E1455" s="7" t="s">
        <v>1464</v>
      </c>
      <c r="F1455" s="13"/>
      <c r="G1455" s="9">
        <f>IFERROR(VLOOKUP(D1455,Listas!$A$2:$B$20,2,FALSE()),999)</f>
        <v>1</v>
      </c>
      <c r="H1455" s="9" t="str">
        <f t="shared" ca="1" si="22"/>
        <v>Sin fecha</v>
      </c>
      <c r="J1455" s="11">
        <v>60</v>
      </c>
      <c r="K1455" s="11">
        <v>36</v>
      </c>
      <c r="L1455" s="12">
        <v>45170</v>
      </c>
      <c r="M1455" t="s">
        <v>20</v>
      </c>
    </row>
    <row r="1456" spans="1:13" ht="75">
      <c r="A1456" s="6" t="s">
        <v>2568</v>
      </c>
      <c r="B1456" s="7" t="s">
        <v>1511</v>
      </c>
      <c r="C1456" s="7" t="s">
        <v>2569</v>
      </c>
      <c r="D1456" s="6" t="s">
        <v>18</v>
      </c>
      <c r="E1456" s="7" t="s">
        <v>1519</v>
      </c>
      <c r="F1456" s="13"/>
      <c r="G1456" s="9">
        <f>IFERROR(VLOOKUP(D1456,Listas!$A$2:$B$20,2,FALSE()),999)</f>
        <v>1</v>
      </c>
      <c r="H1456" s="9" t="str">
        <f t="shared" ca="1" si="22"/>
        <v>Sin fecha</v>
      </c>
      <c r="J1456" s="11">
        <v>60</v>
      </c>
      <c r="K1456" s="11">
        <v>36</v>
      </c>
      <c r="L1456" s="12">
        <v>45170</v>
      </c>
      <c r="M1456" t="s">
        <v>20</v>
      </c>
    </row>
    <row r="1457" spans="1:13" ht="165">
      <c r="A1457" s="6" t="s">
        <v>2570</v>
      </c>
      <c r="B1457" s="7" t="s">
        <v>1412</v>
      </c>
      <c r="C1457" s="7" t="s">
        <v>2571</v>
      </c>
      <c r="D1457" s="6" t="s">
        <v>18</v>
      </c>
      <c r="E1457" s="7" t="s">
        <v>1476</v>
      </c>
      <c r="F1457" s="13"/>
      <c r="G1457" s="9">
        <f>IFERROR(VLOOKUP(D1457,Listas!$A$2:$B$20,2,FALSE()),999)</f>
        <v>1</v>
      </c>
      <c r="H1457" s="9" t="str">
        <f t="shared" ca="1" si="22"/>
        <v>Sin fecha</v>
      </c>
      <c r="J1457" s="11">
        <v>60</v>
      </c>
      <c r="K1457" s="11">
        <v>36</v>
      </c>
      <c r="L1457" s="12">
        <v>45170</v>
      </c>
      <c r="M1457" t="s">
        <v>20</v>
      </c>
    </row>
    <row r="1458" spans="1:13" ht="165">
      <c r="A1458" s="6" t="s">
        <v>2572</v>
      </c>
      <c r="B1458" s="7" t="s">
        <v>1412</v>
      </c>
      <c r="C1458" s="7" t="s">
        <v>2571</v>
      </c>
      <c r="D1458" s="6" t="s">
        <v>18</v>
      </c>
      <c r="E1458" s="7" t="s">
        <v>1476</v>
      </c>
      <c r="F1458" s="13"/>
      <c r="G1458" s="9">
        <f>IFERROR(VLOOKUP(D1458,Listas!$A$2:$B$20,2,FALSE()),999)</f>
        <v>1</v>
      </c>
      <c r="H1458" s="9" t="str">
        <f t="shared" ca="1" si="22"/>
        <v>Sin fecha</v>
      </c>
      <c r="J1458" s="11">
        <v>60</v>
      </c>
      <c r="K1458" s="11">
        <v>36</v>
      </c>
      <c r="L1458" s="12">
        <v>45170</v>
      </c>
      <c r="M1458" t="s">
        <v>20</v>
      </c>
    </row>
    <row r="1459" spans="1:13" ht="165">
      <c r="A1459" s="6" t="s">
        <v>2573</v>
      </c>
      <c r="B1459" s="7" t="s">
        <v>1412</v>
      </c>
      <c r="C1459" s="7" t="s">
        <v>2571</v>
      </c>
      <c r="D1459" s="6" t="s">
        <v>18</v>
      </c>
      <c r="E1459" s="7" t="s">
        <v>1886</v>
      </c>
      <c r="F1459" s="13"/>
      <c r="G1459" s="9">
        <f>IFERROR(VLOOKUP(D1459,Listas!$A$2:$B$20,2,FALSE()),999)</f>
        <v>1</v>
      </c>
      <c r="H1459" s="9" t="str">
        <f t="shared" ca="1" si="22"/>
        <v>Sin fecha</v>
      </c>
      <c r="J1459" s="11">
        <v>60</v>
      </c>
      <c r="K1459" s="11">
        <v>36</v>
      </c>
      <c r="L1459" s="12">
        <v>45170</v>
      </c>
      <c r="M1459" t="s">
        <v>20</v>
      </c>
    </row>
    <row r="1460" spans="1:13" ht="165">
      <c r="A1460" s="6" t="s">
        <v>2574</v>
      </c>
      <c r="B1460" s="7" t="s">
        <v>1412</v>
      </c>
      <c r="C1460" s="7" t="s">
        <v>2571</v>
      </c>
      <c r="D1460" s="6" t="s">
        <v>18</v>
      </c>
      <c r="E1460" s="7" t="s">
        <v>1476</v>
      </c>
      <c r="F1460" s="13"/>
      <c r="G1460" s="9">
        <f>IFERROR(VLOOKUP(D1460,Listas!$A$2:$B$20,2,FALSE()),999)</f>
        <v>1</v>
      </c>
      <c r="H1460" s="9" t="str">
        <f t="shared" ca="1" si="22"/>
        <v>Sin fecha</v>
      </c>
      <c r="J1460" s="11">
        <v>60</v>
      </c>
      <c r="K1460" s="11">
        <v>36</v>
      </c>
      <c r="L1460" s="12">
        <v>45170</v>
      </c>
      <c r="M1460" t="s">
        <v>20</v>
      </c>
    </row>
    <row r="1461" spans="1:13" ht="165">
      <c r="A1461" s="6" t="s">
        <v>2575</v>
      </c>
      <c r="B1461" s="7" t="s">
        <v>1412</v>
      </c>
      <c r="C1461" s="7" t="s">
        <v>2576</v>
      </c>
      <c r="D1461" s="6" t="s">
        <v>18</v>
      </c>
      <c r="E1461" s="7" t="s">
        <v>1482</v>
      </c>
      <c r="F1461" s="13"/>
      <c r="G1461" s="9">
        <f>IFERROR(VLOOKUP(D1461,Listas!$A$2:$B$20,2,FALSE()),999)</f>
        <v>1</v>
      </c>
      <c r="H1461" s="9" t="str">
        <f t="shared" ca="1" si="22"/>
        <v>Sin fecha</v>
      </c>
      <c r="J1461" s="11">
        <v>60</v>
      </c>
      <c r="K1461" s="11">
        <v>36</v>
      </c>
      <c r="L1461" s="12">
        <v>45170</v>
      </c>
      <c r="M1461" t="s">
        <v>20</v>
      </c>
    </row>
    <row r="1462" spans="1:13" ht="165">
      <c r="A1462" s="6" t="s">
        <v>2577</v>
      </c>
      <c r="B1462" s="7" t="s">
        <v>1412</v>
      </c>
      <c r="C1462" s="7" t="s">
        <v>2576</v>
      </c>
      <c r="D1462" s="6" t="s">
        <v>18</v>
      </c>
      <c r="E1462" s="7" t="s">
        <v>1482</v>
      </c>
      <c r="F1462" s="13"/>
      <c r="G1462" s="9">
        <f>IFERROR(VLOOKUP(D1462,Listas!$A$2:$B$20,2,FALSE()),999)</f>
        <v>1</v>
      </c>
      <c r="H1462" s="9" t="str">
        <f t="shared" ca="1" si="22"/>
        <v>Sin fecha</v>
      </c>
      <c r="J1462" s="11">
        <v>60</v>
      </c>
      <c r="K1462" s="11">
        <v>36</v>
      </c>
      <c r="L1462" s="12">
        <v>45170</v>
      </c>
      <c r="M1462" t="s">
        <v>20</v>
      </c>
    </row>
    <row r="1463" spans="1:13" ht="165">
      <c r="A1463" s="6" t="s">
        <v>2578</v>
      </c>
      <c r="B1463" s="7" t="s">
        <v>1412</v>
      </c>
      <c r="C1463" s="7" t="s">
        <v>2576</v>
      </c>
      <c r="D1463" s="6" t="s">
        <v>18</v>
      </c>
      <c r="E1463" s="7" t="s">
        <v>1482</v>
      </c>
      <c r="F1463" s="13"/>
      <c r="G1463" s="9">
        <f>IFERROR(VLOOKUP(D1463,Listas!$A$2:$B$20,2,FALSE()),999)</f>
        <v>1</v>
      </c>
      <c r="H1463" s="9" t="str">
        <f t="shared" ca="1" si="22"/>
        <v>Sin fecha</v>
      </c>
      <c r="J1463" s="11">
        <v>60</v>
      </c>
      <c r="K1463" s="11">
        <v>36</v>
      </c>
      <c r="L1463" s="12">
        <v>45170</v>
      </c>
      <c r="M1463" t="s">
        <v>20</v>
      </c>
    </row>
    <row r="1464" spans="1:13" ht="165">
      <c r="A1464" s="6" t="s">
        <v>2579</v>
      </c>
      <c r="B1464" s="7" t="s">
        <v>1412</v>
      </c>
      <c r="C1464" s="7" t="s">
        <v>2576</v>
      </c>
      <c r="D1464" s="6" t="s">
        <v>18</v>
      </c>
      <c r="E1464" s="7" t="s">
        <v>1482</v>
      </c>
      <c r="F1464" s="13"/>
      <c r="G1464" s="9">
        <f>IFERROR(VLOOKUP(D1464,Listas!$A$2:$B$20,2,FALSE()),999)</f>
        <v>1</v>
      </c>
      <c r="H1464" s="9" t="str">
        <f t="shared" ca="1" si="22"/>
        <v>Sin fecha</v>
      </c>
      <c r="J1464" s="11">
        <v>60</v>
      </c>
      <c r="K1464" s="11">
        <v>36</v>
      </c>
      <c r="L1464" s="12">
        <v>45170</v>
      </c>
      <c r="M1464" t="s">
        <v>20</v>
      </c>
    </row>
    <row r="1465" spans="1:13" ht="165">
      <c r="A1465" s="6" t="s">
        <v>2580</v>
      </c>
      <c r="B1465" s="7" t="s">
        <v>1412</v>
      </c>
      <c r="C1465" s="7" t="s">
        <v>2576</v>
      </c>
      <c r="D1465" s="6" t="s">
        <v>18</v>
      </c>
      <c r="E1465" s="7" t="s">
        <v>1482</v>
      </c>
      <c r="F1465" s="13"/>
      <c r="G1465" s="9">
        <f>IFERROR(VLOOKUP(D1465,Listas!$A$2:$B$20,2,FALSE()),999)</f>
        <v>1</v>
      </c>
      <c r="H1465" s="9" t="str">
        <f t="shared" ca="1" si="22"/>
        <v>Sin fecha</v>
      </c>
      <c r="J1465" s="11">
        <v>60</v>
      </c>
      <c r="K1465" s="11">
        <v>36</v>
      </c>
      <c r="L1465" s="12">
        <v>45170</v>
      </c>
      <c r="M1465" t="s">
        <v>20</v>
      </c>
    </row>
    <row r="1466" spans="1:13" ht="90">
      <c r="A1466" s="6" t="s">
        <v>2581</v>
      </c>
      <c r="B1466" s="7" t="s">
        <v>1511</v>
      </c>
      <c r="C1466" s="7" t="s">
        <v>2582</v>
      </c>
      <c r="D1466" s="6" t="s">
        <v>18</v>
      </c>
      <c r="E1466" s="7" t="s">
        <v>2583</v>
      </c>
      <c r="F1466" s="13"/>
      <c r="G1466" s="9">
        <f>IFERROR(VLOOKUP(D1466,Listas!$A$2:$B$20,2,FALSE()),999)</f>
        <v>1</v>
      </c>
      <c r="H1466" s="9" t="str">
        <f t="shared" ca="1" si="22"/>
        <v>Sin fecha</v>
      </c>
      <c r="J1466" s="11">
        <v>60</v>
      </c>
      <c r="K1466" s="11">
        <v>33</v>
      </c>
      <c r="L1466" s="12">
        <v>45261</v>
      </c>
      <c r="M1466" t="s">
        <v>20</v>
      </c>
    </row>
    <row r="1467" spans="1:13" ht="90">
      <c r="A1467" s="6" t="s">
        <v>2584</v>
      </c>
      <c r="B1467" s="7" t="s">
        <v>1511</v>
      </c>
      <c r="C1467" s="7" t="s">
        <v>2585</v>
      </c>
      <c r="D1467" s="6" t="s">
        <v>18</v>
      </c>
      <c r="E1467" s="7" t="s">
        <v>2586</v>
      </c>
      <c r="F1467" s="13"/>
      <c r="G1467" s="9">
        <f>IFERROR(VLOOKUP(D1467,Listas!$A$2:$B$20,2,FALSE()),999)</f>
        <v>1</v>
      </c>
      <c r="H1467" s="9" t="str">
        <f t="shared" ca="1" si="22"/>
        <v>Sin fecha</v>
      </c>
      <c r="J1467" s="11">
        <v>60</v>
      </c>
      <c r="K1467" s="11">
        <v>33</v>
      </c>
      <c r="L1467" s="12">
        <v>45261</v>
      </c>
      <c r="M1467" t="s">
        <v>20</v>
      </c>
    </row>
    <row r="1468" spans="1:13" ht="225">
      <c r="A1468" s="6" t="s">
        <v>2587</v>
      </c>
      <c r="B1468" s="7" t="s">
        <v>1511</v>
      </c>
      <c r="C1468" s="7" t="s">
        <v>2588</v>
      </c>
      <c r="D1468" s="6" t="s">
        <v>18</v>
      </c>
      <c r="E1468" s="7" t="s">
        <v>1950</v>
      </c>
      <c r="F1468" s="13"/>
      <c r="G1468" s="9">
        <f>IFERROR(VLOOKUP(D1468,Listas!$A$2:$B$20,2,FALSE()),999)</f>
        <v>1</v>
      </c>
      <c r="H1468" s="9" t="str">
        <f t="shared" ca="1" si="22"/>
        <v>Sin fecha</v>
      </c>
      <c r="J1468" s="11">
        <v>60</v>
      </c>
      <c r="K1468" s="11">
        <v>33</v>
      </c>
      <c r="L1468" s="12">
        <v>45261</v>
      </c>
      <c r="M1468" t="s">
        <v>20</v>
      </c>
    </row>
    <row r="1469" spans="1:13" ht="225">
      <c r="A1469" s="6" t="s">
        <v>2589</v>
      </c>
      <c r="B1469" s="7" t="s">
        <v>1511</v>
      </c>
      <c r="C1469" s="7" t="s">
        <v>2588</v>
      </c>
      <c r="D1469" s="6" t="s">
        <v>18</v>
      </c>
      <c r="E1469" s="7" t="s">
        <v>1519</v>
      </c>
      <c r="F1469" s="13"/>
      <c r="G1469" s="9">
        <f>IFERROR(VLOOKUP(D1469,Listas!$A$2:$B$20,2,FALSE()),999)</f>
        <v>1</v>
      </c>
      <c r="H1469" s="9" t="str">
        <f t="shared" ca="1" si="22"/>
        <v>Sin fecha</v>
      </c>
      <c r="J1469" s="11">
        <v>60</v>
      </c>
      <c r="K1469" s="11">
        <v>33</v>
      </c>
      <c r="L1469" s="12">
        <v>45261</v>
      </c>
      <c r="M1469" t="s">
        <v>20</v>
      </c>
    </row>
    <row r="1470" spans="1:13">
      <c r="A1470" s="6" t="s">
        <v>2590</v>
      </c>
      <c r="B1470" s="7" t="s">
        <v>1511</v>
      </c>
      <c r="C1470" s="7" t="s">
        <v>2591</v>
      </c>
      <c r="D1470" s="6" t="s">
        <v>18</v>
      </c>
      <c r="E1470" s="7" t="s">
        <v>1482</v>
      </c>
      <c r="F1470" s="13"/>
      <c r="G1470" s="9">
        <f>IFERROR(VLOOKUP(D1470,Listas!$A$2:$B$20,2,FALSE()),999)</f>
        <v>1</v>
      </c>
      <c r="H1470" s="9" t="str">
        <f t="shared" ca="1" si="22"/>
        <v>Sin fecha</v>
      </c>
      <c r="J1470" s="11">
        <v>60</v>
      </c>
      <c r="K1470" s="11">
        <v>33</v>
      </c>
      <c r="L1470" s="12">
        <v>45261</v>
      </c>
      <c r="M1470" t="s">
        <v>20</v>
      </c>
    </row>
    <row r="1471" spans="1:13" ht="165">
      <c r="A1471" s="6" t="s">
        <v>2592</v>
      </c>
      <c r="B1471" s="7" t="s">
        <v>1412</v>
      </c>
      <c r="C1471" s="7" t="s">
        <v>2571</v>
      </c>
      <c r="D1471" s="6" t="s">
        <v>18</v>
      </c>
      <c r="E1471" s="7" t="s">
        <v>1482</v>
      </c>
      <c r="F1471" s="13"/>
      <c r="G1471" s="9">
        <f>IFERROR(VLOOKUP(D1471,Listas!$A$2:$B$20,2,FALSE()),999)</f>
        <v>1</v>
      </c>
      <c r="H1471" s="9" t="str">
        <f t="shared" ca="1" si="22"/>
        <v>Sin fecha</v>
      </c>
      <c r="J1471" s="11">
        <v>60</v>
      </c>
      <c r="K1471" s="11">
        <v>36</v>
      </c>
      <c r="L1471" s="12">
        <v>45170</v>
      </c>
      <c r="M1471" t="s">
        <v>20</v>
      </c>
    </row>
    <row r="1472" spans="1:13" ht="165">
      <c r="A1472" s="6" t="s">
        <v>2593</v>
      </c>
      <c r="B1472" s="7" t="s">
        <v>1412</v>
      </c>
      <c r="C1472" s="7" t="s">
        <v>2571</v>
      </c>
      <c r="D1472" s="6" t="s">
        <v>18</v>
      </c>
      <c r="E1472" s="7" t="s">
        <v>1482</v>
      </c>
      <c r="F1472" s="13"/>
      <c r="G1472" s="9">
        <f>IFERROR(VLOOKUP(D1472,Listas!$A$2:$B$20,2,FALSE()),999)</f>
        <v>1</v>
      </c>
      <c r="H1472" s="9" t="str">
        <f t="shared" ca="1" si="22"/>
        <v>Sin fecha</v>
      </c>
      <c r="J1472" s="11">
        <v>60</v>
      </c>
      <c r="K1472" s="11">
        <v>36</v>
      </c>
      <c r="L1472" s="12">
        <v>45170</v>
      </c>
      <c r="M1472" t="s">
        <v>20</v>
      </c>
    </row>
    <row r="1473" spans="1:13" ht="30">
      <c r="A1473" s="6" t="s">
        <v>2594</v>
      </c>
      <c r="B1473" s="7" t="s">
        <v>1412</v>
      </c>
      <c r="C1473" s="7" t="s">
        <v>2595</v>
      </c>
      <c r="D1473" s="6" t="s">
        <v>18</v>
      </c>
      <c r="E1473" s="7" t="s">
        <v>1476</v>
      </c>
      <c r="F1473" s="13"/>
      <c r="G1473" s="9">
        <f>IFERROR(VLOOKUP(D1473,Listas!$A$2:$B$20,2,FALSE()),999)</f>
        <v>1</v>
      </c>
      <c r="H1473" s="9" t="str">
        <f t="shared" ca="1" si="22"/>
        <v>Sin fecha</v>
      </c>
      <c r="J1473" s="11">
        <v>60</v>
      </c>
      <c r="K1473" s="11">
        <v>32</v>
      </c>
      <c r="L1473" s="12">
        <v>45292</v>
      </c>
      <c r="M1473" t="s">
        <v>20</v>
      </c>
    </row>
    <row r="1474" spans="1:13" ht="30">
      <c r="A1474" s="6" t="s">
        <v>2596</v>
      </c>
      <c r="B1474" s="7" t="s">
        <v>1412</v>
      </c>
      <c r="C1474" s="7" t="s">
        <v>2595</v>
      </c>
      <c r="D1474" s="6" t="s">
        <v>18</v>
      </c>
      <c r="E1474" s="7" t="s">
        <v>1476</v>
      </c>
      <c r="F1474" s="13"/>
      <c r="G1474" s="9">
        <f>IFERROR(VLOOKUP(D1474,Listas!$A$2:$B$20,2,FALSE()),999)</f>
        <v>1</v>
      </c>
      <c r="H1474" s="9" t="str">
        <f t="shared" ca="1" si="22"/>
        <v>Sin fecha</v>
      </c>
      <c r="J1474" s="11">
        <v>60</v>
      </c>
      <c r="K1474" s="11">
        <v>32</v>
      </c>
      <c r="L1474" s="12">
        <v>45292</v>
      </c>
      <c r="M1474" t="s">
        <v>20</v>
      </c>
    </row>
    <row r="1475" spans="1:13" ht="30">
      <c r="A1475" s="6" t="s">
        <v>2597</v>
      </c>
      <c r="B1475" s="7" t="s">
        <v>1412</v>
      </c>
      <c r="C1475" s="7" t="s">
        <v>2595</v>
      </c>
      <c r="D1475" s="6" t="s">
        <v>18</v>
      </c>
      <c r="E1475" s="7" t="s">
        <v>1476</v>
      </c>
      <c r="F1475" s="13"/>
      <c r="G1475" s="9">
        <f>IFERROR(VLOOKUP(D1475,Listas!$A$2:$B$20,2,FALSE()),999)</f>
        <v>1</v>
      </c>
      <c r="H1475" s="9" t="str">
        <f t="shared" ca="1" si="22"/>
        <v>Sin fecha</v>
      </c>
      <c r="J1475" s="11">
        <v>60</v>
      </c>
      <c r="K1475" s="11">
        <v>32</v>
      </c>
      <c r="L1475" s="12">
        <v>45292</v>
      </c>
      <c r="M1475" t="s">
        <v>20</v>
      </c>
    </row>
    <row r="1476" spans="1:13" ht="30">
      <c r="A1476" s="6" t="s">
        <v>2598</v>
      </c>
      <c r="B1476" s="7" t="s">
        <v>1412</v>
      </c>
      <c r="C1476" s="7" t="s">
        <v>2595</v>
      </c>
      <c r="D1476" s="6" t="s">
        <v>18</v>
      </c>
      <c r="E1476" s="7" t="s">
        <v>1476</v>
      </c>
      <c r="F1476" s="13"/>
      <c r="G1476" s="9">
        <f>IFERROR(VLOOKUP(D1476,Listas!$A$2:$B$20,2,FALSE()),999)</f>
        <v>1</v>
      </c>
      <c r="H1476" s="9" t="str">
        <f t="shared" ca="1" si="22"/>
        <v>Sin fecha</v>
      </c>
      <c r="J1476" s="11">
        <v>60</v>
      </c>
      <c r="K1476" s="11">
        <v>32</v>
      </c>
      <c r="L1476" s="12">
        <v>45292</v>
      </c>
      <c r="M1476" t="s">
        <v>20</v>
      </c>
    </row>
    <row r="1477" spans="1:13" ht="30">
      <c r="A1477" s="6" t="s">
        <v>2599</v>
      </c>
      <c r="B1477" s="7" t="s">
        <v>1412</v>
      </c>
      <c r="C1477" s="7" t="s">
        <v>2595</v>
      </c>
      <c r="D1477" s="6" t="s">
        <v>18</v>
      </c>
      <c r="E1477" s="7" t="s">
        <v>1476</v>
      </c>
      <c r="F1477" s="13"/>
      <c r="G1477" s="9">
        <f>IFERROR(VLOOKUP(D1477,Listas!$A$2:$B$20,2,FALSE()),999)</f>
        <v>1</v>
      </c>
      <c r="H1477" s="9" t="str">
        <f t="shared" ref="H1477:H1540" ca="1" si="23">IF(F1477="","Sin fecha",IF(TODAY()-F1477&gt;180,"Revisar",IF(TODAY()-F1477&gt;90,"Próximo","Vigente")))</f>
        <v>Sin fecha</v>
      </c>
      <c r="J1477" s="11">
        <v>60</v>
      </c>
      <c r="K1477" s="11">
        <v>32</v>
      </c>
      <c r="L1477" s="12">
        <v>45292</v>
      </c>
      <c r="M1477" t="s">
        <v>20</v>
      </c>
    </row>
    <row r="1478" spans="1:13" ht="30">
      <c r="A1478" s="6" t="s">
        <v>2600</v>
      </c>
      <c r="B1478" s="7" t="s">
        <v>1412</v>
      </c>
      <c r="C1478" s="7" t="s">
        <v>2595</v>
      </c>
      <c r="D1478" s="6" t="s">
        <v>18</v>
      </c>
      <c r="E1478" s="7" t="s">
        <v>1476</v>
      </c>
      <c r="F1478" s="13"/>
      <c r="G1478" s="9">
        <f>IFERROR(VLOOKUP(D1478,Listas!$A$2:$B$20,2,FALSE()),999)</f>
        <v>1</v>
      </c>
      <c r="H1478" s="9" t="str">
        <f t="shared" ca="1" si="23"/>
        <v>Sin fecha</v>
      </c>
      <c r="J1478" s="11">
        <v>60</v>
      </c>
      <c r="K1478" s="11">
        <v>32</v>
      </c>
      <c r="L1478" s="12">
        <v>45292</v>
      </c>
      <c r="M1478" t="s">
        <v>20</v>
      </c>
    </row>
    <row r="1479" spans="1:13" ht="30">
      <c r="A1479" s="6" t="s">
        <v>2601</v>
      </c>
      <c r="B1479" s="7" t="s">
        <v>1412</v>
      </c>
      <c r="C1479" s="7" t="s">
        <v>2595</v>
      </c>
      <c r="D1479" s="6" t="s">
        <v>18</v>
      </c>
      <c r="E1479" s="7" t="s">
        <v>1476</v>
      </c>
      <c r="F1479" s="13"/>
      <c r="G1479" s="9">
        <f>IFERROR(VLOOKUP(D1479,Listas!$A$2:$B$20,2,FALSE()),999)</f>
        <v>1</v>
      </c>
      <c r="H1479" s="9" t="str">
        <f t="shared" ca="1" si="23"/>
        <v>Sin fecha</v>
      </c>
      <c r="J1479" s="11">
        <v>60</v>
      </c>
      <c r="K1479" s="11">
        <v>32</v>
      </c>
      <c r="L1479" s="12">
        <v>45292</v>
      </c>
      <c r="M1479" t="s">
        <v>20</v>
      </c>
    </row>
    <row r="1480" spans="1:13" ht="30">
      <c r="A1480" s="6" t="s">
        <v>2602</v>
      </c>
      <c r="B1480" s="7" t="s">
        <v>1412</v>
      </c>
      <c r="C1480" s="7" t="s">
        <v>2595</v>
      </c>
      <c r="D1480" s="6" t="s">
        <v>18</v>
      </c>
      <c r="E1480" s="7" t="s">
        <v>1476</v>
      </c>
      <c r="F1480" s="13"/>
      <c r="G1480" s="9">
        <f>IFERROR(VLOOKUP(D1480,Listas!$A$2:$B$20,2,FALSE()),999)</f>
        <v>1</v>
      </c>
      <c r="H1480" s="9" t="str">
        <f t="shared" ca="1" si="23"/>
        <v>Sin fecha</v>
      </c>
      <c r="J1480" s="11">
        <v>60</v>
      </c>
      <c r="K1480" s="11">
        <v>32</v>
      </c>
      <c r="L1480" s="12">
        <v>45292</v>
      </c>
      <c r="M1480" t="s">
        <v>20</v>
      </c>
    </row>
    <row r="1481" spans="1:13" ht="30">
      <c r="A1481" s="6" t="s">
        <v>2603</v>
      </c>
      <c r="B1481" s="7" t="s">
        <v>1412</v>
      </c>
      <c r="C1481" s="7" t="s">
        <v>2595</v>
      </c>
      <c r="D1481" s="6" t="s">
        <v>18</v>
      </c>
      <c r="E1481" s="7" t="s">
        <v>1476</v>
      </c>
      <c r="F1481" s="13"/>
      <c r="G1481" s="9">
        <f>IFERROR(VLOOKUP(D1481,Listas!$A$2:$B$20,2,FALSE()),999)</f>
        <v>1</v>
      </c>
      <c r="H1481" s="9" t="str">
        <f t="shared" ca="1" si="23"/>
        <v>Sin fecha</v>
      </c>
      <c r="J1481" s="11">
        <v>60</v>
      </c>
      <c r="K1481" s="11">
        <v>32</v>
      </c>
      <c r="L1481" s="12">
        <v>45292</v>
      </c>
      <c r="M1481" t="s">
        <v>20</v>
      </c>
    </row>
    <row r="1482" spans="1:13" ht="30">
      <c r="A1482" s="6" t="s">
        <v>2604</v>
      </c>
      <c r="B1482" s="7" t="s">
        <v>1412</v>
      </c>
      <c r="C1482" s="7" t="s">
        <v>2595</v>
      </c>
      <c r="D1482" s="6" t="s">
        <v>18</v>
      </c>
      <c r="E1482" s="7" t="s">
        <v>1476</v>
      </c>
      <c r="F1482" s="13"/>
      <c r="G1482" s="9">
        <f>IFERROR(VLOOKUP(D1482,Listas!$A$2:$B$20,2,FALSE()),999)</f>
        <v>1</v>
      </c>
      <c r="H1482" s="9" t="str">
        <f t="shared" ca="1" si="23"/>
        <v>Sin fecha</v>
      </c>
      <c r="J1482" s="11">
        <v>60</v>
      </c>
      <c r="K1482" s="11">
        <v>32</v>
      </c>
      <c r="L1482" s="12">
        <v>45292</v>
      </c>
      <c r="M1482" t="s">
        <v>20</v>
      </c>
    </row>
    <row r="1483" spans="1:13" ht="30">
      <c r="A1483" s="6" t="s">
        <v>2605</v>
      </c>
      <c r="B1483" s="7" t="s">
        <v>1412</v>
      </c>
      <c r="C1483" s="7" t="s">
        <v>2595</v>
      </c>
      <c r="D1483" s="6" t="s">
        <v>18</v>
      </c>
      <c r="E1483" s="7" t="s">
        <v>1476</v>
      </c>
      <c r="F1483" s="13"/>
      <c r="G1483" s="9">
        <f>IFERROR(VLOOKUP(D1483,Listas!$A$2:$B$20,2,FALSE()),999)</f>
        <v>1</v>
      </c>
      <c r="H1483" s="9" t="str">
        <f t="shared" ca="1" si="23"/>
        <v>Sin fecha</v>
      </c>
      <c r="J1483" s="11">
        <v>60</v>
      </c>
      <c r="K1483" s="11">
        <v>32</v>
      </c>
      <c r="L1483" s="12">
        <v>45292</v>
      </c>
      <c r="M1483" t="s">
        <v>20</v>
      </c>
    </row>
    <row r="1484" spans="1:13" ht="30">
      <c r="A1484" s="6" t="s">
        <v>2606</v>
      </c>
      <c r="B1484" s="7" t="s">
        <v>1412</v>
      </c>
      <c r="C1484" s="7" t="s">
        <v>2595</v>
      </c>
      <c r="D1484" s="6" t="s">
        <v>1467</v>
      </c>
      <c r="E1484" s="7" t="s">
        <v>1567</v>
      </c>
      <c r="F1484" s="13"/>
      <c r="G1484" s="9">
        <f>IFERROR(VLOOKUP(D1484,Listas!$A$2:$B$20,2,FALSE()),999)</f>
        <v>2</v>
      </c>
      <c r="H1484" s="9" t="str">
        <f t="shared" ca="1" si="23"/>
        <v>Sin fecha</v>
      </c>
      <c r="J1484" s="11">
        <v>60</v>
      </c>
      <c r="K1484" s="11">
        <v>32</v>
      </c>
      <c r="L1484" s="12">
        <v>45292</v>
      </c>
      <c r="M1484" t="s">
        <v>20</v>
      </c>
    </row>
    <row r="1485" spans="1:13" ht="45">
      <c r="A1485" s="6" t="s">
        <v>2607</v>
      </c>
      <c r="B1485" s="7" t="s">
        <v>1511</v>
      </c>
      <c r="C1485" s="7" t="s">
        <v>2608</v>
      </c>
      <c r="D1485" s="6" t="s">
        <v>1467</v>
      </c>
      <c r="E1485" s="7" t="s">
        <v>1513</v>
      </c>
      <c r="F1485" s="13"/>
      <c r="G1485" s="9">
        <f>IFERROR(VLOOKUP(D1485,Listas!$A$2:$B$20,2,FALSE()),999)</f>
        <v>2</v>
      </c>
      <c r="H1485" s="9" t="str">
        <f t="shared" ca="1" si="23"/>
        <v>Sin fecha</v>
      </c>
      <c r="J1485" s="11">
        <v>60</v>
      </c>
      <c r="K1485" s="11">
        <v>32</v>
      </c>
      <c r="L1485" s="12">
        <v>45292</v>
      </c>
      <c r="M1485" t="s">
        <v>20</v>
      </c>
    </row>
    <row r="1486" spans="1:13" ht="45">
      <c r="A1486" s="6" t="s">
        <v>2609</v>
      </c>
      <c r="B1486" s="7" t="s">
        <v>1511</v>
      </c>
      <c r="C1486" s="7" t="s">
        <v>2608</v>
      </c>
      <c r="D1486" s="6" t="s">
        <v>1467</v>
      </c>
      <c r="E1486" s="7" t="s">
        <v>1513</v>
      </c>
      <c r="F1486" s="13"/>
      <c r="G1486" s="9">
        <f>IFERROR(VLOOKUP(D1486,Listas!$A$2:$B$20,2,FALSE()),999)</f>
        <v>2</v>
      </c>
      <c r="H1486" s="9" t="str">
        <f t="shared" ca="1" si="23"/>
        <v>Sin fecha</v>
      </c>
      <c r="J1486" s="11">
        <v>60</v>
      </c>
      <c r="K1486" s="11">
        <v>32</v>
      </c>
      <c r="L1486" s="12">
        <v>45292</v>
      </c>
      <c r="M1486" t="s">
        <v>20</v>
      </c>
    </row>
    <row r="1487" spans="1:13" ht="45">
      <c r="A1487" s="6" t="s">
        <v>2610</v>
      </c>
      <c r="B1487" s="7" t="s">
        <v>1511</v>
      </c>
      <c r="C1487" s="7" t="s">
        <v>2608</v>
      </c>
      <c r="D1487" s="6" t="s">
        <v>18</v>
      </c>
      <c r="E1487" s="7" t="s">
        <v>1471</v>
      </c>
      <c r="F1487" s="13"/>
      <c r="G1487" s="9">
        <f>IFERROR(VLOOKUP(D1487,Listas!$A$2:$B$20,2,FALSE()),999)</f>
        <v>1</v>
      </c>
      <c r="H1487" s="9" t="str">
        <f t="shared" ca="1" si="23"/>
        <v>Sin fecha</v>
      </c>
      <c r="J1487" s="11">
        <v>60</v>
      </c>
      <c r="K1487" s="11">
        <v>32</v>
      </c>
      <c r="L1487" s="12">
        <v>45292</v>
      </c>
      <c r="M1487" t="s">
        <v>20</v>
      </c>
    </row>
    <row r="1488" spans="1:13" ht="45">
      <c r="A1488" s="6" t="s">
        <v>2611</v>
      </c>
      <c r="B1488" s="7" t="s">
        <v>1511</v>
      </c>
      <c r="C1488" s="7" t="s">
        <v>2608</v>
      </c>
      <c r="D1488" s="6" t="s">
        <v>18</v>
      </c>
      <c r="E1488" s="7" t="s">
        <v>2145</v>
      </c>
      <c r="F1488" s="13"/>
      <c r="G1488" s="9">
        <f>IFERROR(VLOOKUP(D1488,Listas!$A$2:$B$20,2,FALSE()),999)</f>
        <v>1</v>
      </c>
      <c r="H1488" s="9" t="str">
        <f t="shared" ca="1" si="23"/>
        <v>Sin fecha</v>
      </c>
      <c r="J1488" s="11">
        <v>60</v>
      </c>
      <c r="K1488" s="11">
        <v>32</v>
      </c>
      <c r="L1488" s="12">
        <v>45292</v>
      </c>
      <c r="M1488" t="s">
        <v>20</v>
      </c>
    </row>
    <row r="1489" spans="1:13" ht="45">
      <c r="A1489" s="6" t="s">
        <v>2612</v>
      </c>
      <c r="B1489" s="7" t="s">
        <v>1511</v>
      </c>
      <c r="C1489" s="7" t="s">
        <v>2608</v>
      </c>
      <c r="D1489" s="6" t="s">
        <v>18</v>
      </c>
      <c r="E1489" s="7" t="s">
        <v>1504</v>
      </c>
      <c r="F1489" s="13"/>
      <c r="G1489" s="9">
        <f>IFERROR(VLOOKUP(D1489,Listas!$A$2:$B$20,2,FALSE()),999)</f>
        <v>1</v>
      </c>
      <c r="H1489" s="9" t="str">
        <f t="shared" ca="1" si="23"/>
        <v>Sin fecha</v>
      </c>
      <c r="J1489" s="11">
        <v>60</v>
      </c>
      <c r="K1489" s="11">
        <v>32</v>
      </c>
      <c r="L1489" s="12">
        <v>45292</v>
      </c>
      <c r="M1489" t="s">
        <v>20</v>
      </c>
    </row>
    <row r="1490" spans="1:13" ht="45">
      <c r="A1490" s="6" t="s">
        <v>2613</v>
      </c>
      <c r="B1490" s="7" t="s">
        <v>1511</v>
      </c>
      <c r="C1490" s="7" t="s">
        <v>2608</v>
      </c>
      <c r="D1490" s="6" t="s">
        <v>1467</v>
      </c>
      <c r="E1490" s="7" t="s">
        <v>1567</v>
      </c>
      <c r="F1490" s="13"/>
      <c r="G1490" s="9">
        <f>IFERROR(VLOOKUP(D1490,Listas!$A$2:$B$20,2,FALSE()),999)</f>
        <v>2</v>
      </c>
      <c r="H1490" s="9" t="str">
        <f t="shared" ca="1" si="23"/>
        <v>Sin fecha</v>
      </c>
      <c r="J1490" s="11">
        <v>60</v>
      </c>
      <c r="K1490" s="11">
        <v>32</v>
      </c>
      <c r="L1490" s="12">
        <v>45292</v>
      </c>
      <c r="M1490" t="s">
        <v>20</v>
      </c>
    </row>
    <row r="1491" spans="1:13" ht="45">
      <c r="A1491" s="6" t="s">
        <v>2614</v>
      </c>
      <c r="B1491" s="7" t="s">
        <v>1511</v>
      </c>
      <c r="C1491" s="7" t="s">
        <v>2608</v>
      </c>
      <c r="D1491" s="6" t="s">
        <v>18</v>
      </c>
      <c r="E1491" s="7" t="s">
        <v>1703</v>
      </c>
      <c r="F1491" s="13"/>
      <c r="G1491" s="9">
        <f>IFERROR(VLOOKUP(D1491,Listas!$A$2:$B$20,2,FALSE()),999)</f>
        <v>1</v>
      </c>
      <c r="H1491" s="9" t="str">
        <f t="shared" ca="1" si="23"/>
        <v>Sin fecha</v>
      </c>
      <c r="J1491" s="11">
        <v>60</v>
      </c>
      <c r="K1491" s="11">
        <v>32</v>
      </c>
      <c r="L1491" s="12">
        <v>45292</v>
      </c>
      <c r="M1491" t="s">
        <v>20</v>
      </c>
    </row>
    <row r="1492" spans="1:13" ht="45">
      <c r="A1492" s="6" t="s">
        <v>2615</v>
      </c>
      <c r="B1492" s="7" t="s">
        <v>1511</v>
      </c>
      <c r="C1492" s="7" t="s">
        <v>2608</v>
      </c>
      <c r="D1492" s="6" t="s">
        <v>18</v>
      </c>
      <c r="E1492" s="7" t="s">
        <v>1474</v>
      </c>
      <c r="F1492" s="13"/>
      <c r="G1492" s="9">
        <f>IFERROR(VLOOKUP(D1492,Listas!$A$2:$B$20,2,FALSE()),999)</f>
        <v>1</v>
      </c>
      <c r="H1492" s="9" t="str">
        <f t="shared" ca="1" si="23"/>
        <v>Sin fecha</v>
      </c>
      <c r="J1492" s="11">
        <v>60</v>
      </c>
      <c r="K1492" s="11">
        <v>32</v>
      </c>
      <c r="L1492" s="12">
        <v>45292</v>
      </c>
      <c r="M1492" t="s">
        <v>20</v>
      </c>
    </row>
    <row r="1493" spans="1:13" ht="45">
      <c r="A1493" s="6" t="s">
        <v>2616</v>
      </c>
      <c r="B1493" s="7" t="s">
        <v>1511</v>
      </c>
      <c r="C1493" s="7" t="s">
        <v>2608</v>
      </c>
      <c r="D1493" s="6" t="s">
        <v>1467</v>
      </c>
      <c r="E1493" s="7" t="s">
        <v>1471</v>
      </c>
      <c r="F1493" s="13"/>
      <c r="G1493" s="9">
        <f>IFERROR(VLOOKUP(D1493,Listas!$A$2:$B$20,2,FALSE()),999)</f>
        <v>2</v>
      </c>
      <c r="H1493" s="9" t="str">
        <f t="shared" ca="1" si="23"/>
        <v>Sin fecha</v>
      </c>
      <c r="J1493" s="11">
        <v>60</v>
      </c>
      <c r="K1493" s="11">
        <v>32</v>
      </c>
      <c r="L1493" s="12">
        <v>45292</v>
      </c>
      <c r="M1493" t="s">
        <v>20</v>
      </c>
    </row>
    <row r="1494" spans="1:13" ht="45">
      <c r="A1494" s="6" t="s">
        <v>2617</v>
      </c>
      <c r="B1494" s="7" t="s">
        <v>1511</v>
      </c>
      <c r="C1494" s="7" t="s">
        <v>2608</v>
      </c>
      <c r="D1494" s="6" t="s">
        <v>18</v>
      </c>
      <c r="E1494" s="7" t="s">
        <v>1476</v>
      </c>
      <c r="F1494" s="13"/>
      <c r="G1494" s="9">
        <f>IFERROR(VLOOKUP(D1494,Listas!$A$2:$B$20,2,FALSE()),999)</f>
        <v>1</v>
      </c>
      <c r="H1494" s="9" t="str">
        <f t="shared" ca="1" si="23"/>
        <v>Sin fecha</v>
      </c>
      <c r="J1494" s="11">
        <v>60</v>
      </c>
      <c r="K1494" s="11">
        <v>32</v>
      </c>
      <c r="L1494" s="12">
        <v>45292</v>
      </c>
      <c r="M1494" t="s">
        <v>20</v>
      </c>
    </row>
    <row r="1495" spans="1:13" ht="45">
      <c r="A1495" s="6" t="s">
        <v>2618</v>
      </c>
      <c r="B1495" s="7" t="s">
        <v>1511</v>
      </c>
      <c r="C1495" s="7" t="s">
        <v>2608</v>
      </c>
      <c r="D1495" s="6" t="s">
        <v>18</v>
      </c>
      <c r="E1495" s="7" t="s">
        <v>2470</v>
      </c>
      <c r="F1495" s="13"/>
      <c r="G1495" s="9">
        <f>IFERROR(VLOOKUP(D1495,Listas!$A$2:$B$20,2,FALSE()),999)</f>
        <v>1</v>
      </c>
      <c r="H1495" s="9" t="str">
        <f t="shared" ca="1" si="23"/>
        <v>Sin fecha</v>
      </c>
      <c r="J1495" s="11">
        <v>60</v>
      </c>
      <c r="K1495" s="11">
        <v>32</v>
      </c>
      <c r="L1495" s="12">
        <v>45292</v>
      </c>
      <c r="M1495" t="s">
        <v>20</v>
      </c>
    </row>
    <row r="1496" spans="1:13" ht="45">
      <c r="A1496" s="6" t="s">
        <v>2619</v>
      </c>
      <c r="B1496" s="7" t="s">
        <v>1511</v>
      </c>
      <c r="C1496" s="7" t="s">
        <v>2608</v>
      </c>
      <c r="D1496" s="6" t="s">
        <v>18</v>
      </c>
      <c r="E1496" s="7" t="s">
        <v>2470</v>
      </c>
      <c r="F1496" s="13"/>
      <c r="G1496" s="9">
        <f>IFERROR(VLOOKUP(D1496,Listas!$A$2:$B$20,2,FALSE()),999)</f>
        <v>1</v>
      </c>
      <c r="H1496" s="9" t="str">
        <f t="shared" ca="1" si="23"/>
        <v>Sin fecha</v>
      </c>
      <c r="J1496" s="11">
        <v>60</v>
      </c>
      <c r="K1496" s="11">
        <v>32</v>
      </c>
      <c r="L1496" s="12">
        <v>45292</v>
      </c>
      <c r="M1496" t="s">
        <v>20</v>
      </c>
    </row>
    <row r="1497" spans="1:13" ht="45">
      <c r="A1497" s="6" t="s">
        <v>2620</v>
      </c>
      <c r="B1497" s="7" t="s">
        <v>1511</v>
      </c>
      <c r="C1497" s="7" t="s">
        <v>2608</v>
      </c>
      <c r="D1497" s="6" t="s">
        <v>18</v>
      </c>
      <c r="E1497" s="7" t="s">
        <v>2621</v>
      </c>
      <c r="F1497" s="13"/>
      <c r="G1497" s="9">
        <f>IFERROR(VLOOKUP(D1497,Listas!$A$2:$B$20,2,FALSE()),999)</f>
        <v>1</v>
      </c>
      <c r="H1497" s="9" t="str">
        <f t="shared" ca="1" si="23"/>
        <v>Sin fecha</v>
      </c>
      <c r="J1497" s="11">
        <v>60</v>
      </c>
      <c r="K1497" s="11">
        <v>32</v>
      </c>
      <c r="L1497" s="12">
        <v>45292</v>
      </c>
      <c r="M1497" t="s">
        <v>20</v>
      </c>
    </row>
    <row r="1498" spans="1:13" ht="45">
      <c r="A1498" s="6" t="s">
        <v>2622</v>
      </c>
      <c r="B1498" s="7" t="s">
        <v>1511</v>
      </c>
      <c r="C1498" s="7" t="s">
        <v>2608</v>
      </c>
      <c r="D1498" s="6" t="s">
        <v>18</v>
      </c>
      <c r="E1498" s="7" t="s">
        <v>1464</v>
      </c>
      <c r="F1498" s="13"/>
      <c r="G1498" s="9">
        <f>IFERROR(VLOOKUP(D1498,Listas!$A$2:$B$20,2,FALSE()),999)</f>
        <v>1</v>
      </c>
      <c r="H1498" s="9" t="str">
        <f t="shared" ca="1" si="23"/>
        <v>Sin fecha</v>
      </c>
      <c r="J1498" s="11">
        <v>60</v>
      </c>
      <c r="K1498" s="11">
        <v>32</v>
      </c>
      <c r="L1498" s="12">
        <v>45292</v>
      </c>
      <c r="M1498" t="s">
        <v>20</v>
      </c>
    </row>
    <row r="1499" spans="1:13" ht="45">
      <c r="A1499" s="6" t="s">
        <v>2623</v>
      </c>
      <c r="B1499" s="7" t="s">
        <v>1511</v>
      </c>
      <c r="C1499" s="7" t="s">
        <v>2608</v>
      </c>
      <c r="D1499" s="6" t="s">
        <v>1467</v>
      </c>
      <c r="E1499" s="7" t="s">
        <v>1468</v>
      </c>
      <c r="F1499" s="13"/>
      <c r="G1499" s="9">
        <f>IFERROR(VLOOKUP(D1499,Listas!$A$2:$B$20,2,FALSE()),999)</f>
        <v>2</v>
      </c>
      <c r="H1499" s="9" t="str">
        <f t="shared" ca="1" si="23"/>
        <v>Sin fecha</v>
      </c>
      <c r="J1499" s="11">
        <v>60</v>
      </c>
      <c r="K1499" s="11">
        <v>32</v>
      </c>
      <c r="L1499" s="12">
        <v>45292</v>
      </c>
      <c r="M1499" t="s">
        <v>20</v>
      </c>
    </row>
    <row r="1500" spans="1:13" ht="45">
      <c r="A1500" s="6" t="s">
        <v>2624</v>
      </c>
      <c r="B1500" s="7" t="s">
        <v>1511</v>
      </c>
      <c r="C1500" s="7" t="s">
        <v>2608</v>
      </c>
      <c r="D1500" s="6" t="s">
        <v>18</v>
      </c>
      <c r="E1500" s="7" t="s">
        <v>1519</v>
      </c>
      <c r="F1500" s="13"/>
      <c r="G1500" s="9">
        <f>IFERROR(VLOOKUP(D1500,Listas!$A$2:$B$20,2,FALSE()),999)</f>
        <v>1</v>
      </c>
      <c r="H1500" s="9" t="str">
        <f t="shared" ca="1" si="23"/>
        <v>Sin fecha</v>
      </c>
      <c r="J1500" s="11">
        <v>60</v>
      </c>
      <c r="K1500" s="11">
        <v>32</v>
      </c>
      <c r="L1500" s="12">
        <v>45292</v>
      </c>
      <c r="M1500" t="s">
        <v>20</v>
      </c>
    </row>
    <row r="1501" spans="1:13" ht="45">
      <c r="A1501" s="6" t="s">
        <v>2625</v>
      </c>
      <c r="B1501" s="7" t="s">
        <v>1511</v>
      </c>
      <c r="C1501" s="7" t="s">
        <v>2608</v>
      </c>
      <c r="D1501" s="6" t="s">
        <v>18</v>
      </c>
      <c r="E1501" s="7" t="s">
        <v>1795</v>
      </c>
      <c r="F1501" s="13"/>
      <c r="G1501" s="9">
        <f>IFERROR(VLOOKUP(D1501,Listas!$A$2:$B$20,2,FALSE()),999)</f>
        <v>1</v>
      </c>
      <c r="H1501" s="9" t="str">
        <f t="shared" ca="1" si="23"/>
        <v>Sin fecha</v>
      </c>
      <c r="J1501" s="11">
        <v>60</v>
      </c>
      <c r="K1501" s="11">
        <v>32</v>
      </c>
      <c r="L1501" s="12">
        <v>45292</v>
      </c>
      <c r="M1501" t="s">
        <v>20</v>
      </c>
    </row>
    <row r="1502" spans="1:13" ht="45">
      <c r="A1502" s="6" t="s">
        <v>2626</v>
      </c>
      <c r="B1502" s="7" t="s">
        <v>1511</v>
      </c>
      <c r="C1502" s="7" t="s">
        <v>2608</v>
      </c>
      <c r="D1502" s="6" t="s">
        <v>18</v>
      </c>
      <c r="E1502" s="7" t="s">
        <v>1547</v>
      </c>
      <c r="F1502" s="13"/>
      <c r="G1502" s="9">
        <f>IFERROR(VLOOKUP(D1502,Listas!$A$2:$B$20,2,FALSE()),999)</f>
        <v>1</v>
      </c>
      <c r="H1502" s="9" t="str">
        <f t="shared" ca="1" si="23"/>
        <v>Sin fecha</v>
      </c>
      <c r="J1502" s="11">
        <v>60</v>
      </c>
      <c r="K1502" s="11">
        <v>32</v>
      </c>
      <c r="L1502" s="12">
        <v>45292</v>
      </c>
      <c r="M1502" t="s">
        <v>20</v>
      </c>
    </row>
    <row r="1503" spans="1:13" ht="45">
      <c r="A1503" s="6" t="s">
        <v>2627</v>
      </c>
      <c r="B1503" s="7" t="s">
        <v>1511</v>
      </c>
      <c r="C1503" s="7" t="s">
        <v>2608</v>
      </c>
      <c r="D1503" s="6" t="s">
        <v>18</v>
      </c>
      <c r="E1503" s="7" t="s">
        <v>2286</v>
      </c>
      <c r="F1503" s="13"/>
      <c r="G1503" s="9">
        <f>IFERROR(VLOOKUP(D1503,Listas!$A$2:$B$20,2,FALSE()),999)</f>
        <v>1</v>
      </c>
      <c r="H1503" s="9" t="str">
        <f t="shared" ca="1" si="23"/>
        <v>Sin fecha</v>
      </c>
      <c r="J1503" s="11">
        <v>60</v>
      </c>
      <c r="K1503" s="11">
        <v>32</v>
      </c>
      <c r="L1503" s="12">
        <v>45292</v>
      </c>
      <c r="M1503" t="s">
        <v>20</v>
      </c>
    </row>
    <row r="1504" spans="1:13" ht="45">
      <c r="A1504" s="6" t="s">
        <v>2628</v>
      </c>
      <c r="B1504" s="7" t="s">
        <v>1511</v>
      </c>
      <c r="C1504" s="7" t="s">
        <v>2608</v>
      </c>
      <c r="D1504" s="6" t="s">
        <v>18</v>
      </c>
      <c r="E1504" s="7" t="s">
        <v>1488</v>
      </c>
      <c r="F1504" s="13"/>
      <c r="G1504" s="9">
        <f>IFERROR(VLOOKUP(D1504,Listas!$A$2:$B$20,2,FALSE()),999)</f>
        <v>1</v>
      </c>
      <c r="H1504" s="9" t="str">
        <f t="shared" ca="1" si="23"/>
        <v>Sin fecha</v>
      </c>
      <c r="J1504" s="11">
        <v>60</v>
      </c>
      <c r="K1504" s="11">
        <v>32</v>
      </c>
      <c r="L1504" s="12">
        <v>45292</v>
      </c>
      <c r="M1504" t="s">
        <v>20</v>
      </c>
    </row>
    <row r="1505" spans="1:13" ht="120">
      <c r="A1505" s="6" t="s">
        <v>2629</v>
      </c>
      <c r="B1505" s="7" t="s">
        <v>1412</v>
      </c>
      <c r="C1505" s="7" t="s">
        <v>2630</v>
      </c>
      <c r="D1505" s="6" t="s">
        <v>1467</v>
      </c>
      <c r="E1505" s="7" t="s">
        <v>1936</v>
      </c>
      <c r="F1505" s="13"/>
      <c r="G1505" s="9">
        <f>IFERROR(VLOOKUP(D1505,Listas!$A$2:$B$20,2,FALSE()),999)</f>
        <v>2</v>
      </c>
      <c r="H1505" s="9" t="str">
        <f t="shared" ca="1" si="23"/>
        <v>Sin fecha</v>
      </c>
      <c r="J1505" s="11">
        <v>60</v>
      </c>
      <c r="K1505" s="11">
        <v>32</v>
      </c>
      <c r="L1505" s="12">
        <v>45292</v>
      </c>
      <c r="M1505" t="s">
        <v>20</v>
      </c>
    </row>
    <row r="1506" spans="1:13" ht="45">
      <c r="A1506" s="6" t="s">
        <v>2631</v>
      </c>
      <c r="B1506" s="7" t="s">
        <v>1511</v>
      </c>
      <c r="C1506" s="7" t="s">
        <v>2632</v>
      </c>
      <c r="D1506" s="6" t="s">
        <v>1467</v>
      </c>
      <c r="E1506" s="7" t="s">
        <v>2216</v>
      </c>
      <c r="F1506" s="13"/>
      <c r="G1506" s="9">
        <f>IFERROR(VLOOKUP(D1506,Listas!$A$2:$B$20,2,FALSE()),999)</f>
        <v>2</v>
      </c>
      <c r="H1506" s="9" t="str">
        <f t="shared" ca="1" si="23"/>
        <v>Sin fecha</v>
      </c>
      <c r="J1506" s="11">
        <v>60</v>
      </c>
      <c r="K1506" s="11">
        <v>28</v>
      </c>
      <c r="L1506" s="12">
        <v>45413</v>
      </c>
      <c r="M1506" t="s">
        <v>20</v>
      </c>
    </row>
    <row r="1507" spans="1:13" ht="45">
      <c r="A1507" s="6" t="s">
        <v>2633</v>
      </c>
      <c r="B1507" s="7" t="s">
        <v>1511</v>
      </c>
      <c r="C1507" s="7" t="s">
        <v>2634</v>
      </c>
      <c r="D1507" s="6" t="s">
        <v>18</v>
      </c>
      <c r="E1507" s="7" t="s">
        <v>1980</v>
      </c>
      <c r="F1507" s="13"/>
      <c r="G1507" s="9">
        <f>IFERROR(VLOOKUP(D1507,Listas!$A$2:$B$20,2,FALSE()),999)</f>
        <v>1</v>
      </c>
      <c r="H1507" s="9" t="str">
        <f t="shared" ca="1" si="23"/>
        <v>Sin fecha</v>
      </c>
      <c r="J1507" s="11">
        <v>60</v>
      </c>
      <c r="K1507" s="11">
        <v>27</v>
      </c>
      <c r="L1507" s="12">
        <v>45444</v>
      </c>
      <c r="M1507" t="s">
        <v>20</v>
      </c>
    </row>
    <row r="1508" spans="1:13" ht="45">
      <c r="A1508" s="6" t="s">
        <v>2635</v>
      </c>
      <c r="B1508" s="7" t="s">
        <v>1511</v>
      </c>
      <c r="C1508" s="7" t="s">
        <v>2636</v>
      </c>
      <c r="D1508" s="6" t="s">
        <v>18</v>
      </c>
      <c r="E1508" s="7" t="s">
        <v>1980</v>
      </c>
      <c r="F1508" s="13"/>
      <c r="G1508" s="9">
        <f>IFERROR(VLOOKUP(D1508,Listas!$A$2:$B$20,2,FALSE()),999)</f>
        <v>1</v>
      </c>
      <c r="H1508" s="9" t="str">
        <f t="shared" ca="1" si="23"/>
        <v>Sin fecha</v>
      </c>
      <c r="J1508" s="11">
        <v>60</v>
      </c>
      <c r="K1508" s="11">
        <v>27</v>
      </c>
      <c r="L1508" s="12">
        <v>45444</v>
      </c>
      <c r="M1508" t="s">
        <v>20</v>
      </c>
    </row>
    <row r="1509" spans="1:13" ht="135">
      <c r="A1509" s="6" t="s">
        <v>2637</v>
      </c>
      <c r="B1509" s="7" t="s">
        <v>1412</v>
      </c>
      <c r="C1509" s="7" t="s">
        <v>2638</v>
      </c>
      <c r="D1509" s="6" t="s">
        <v>18</v>
      </c>
      <c r="E1509" s="7" t="s">
        <v>1482</v>
      </c>
      <c r="F1509" s="13"/>
      <c r="G1509" s="9">
        <f>IFERROR(VLOOKUP(D1509,Listas!$A$2:$B$20,2,FALSE()),999)</f>
        <v>1</v>
      </c>
      <c r="H1509" s="9" t="str">
        <f t="shared" ca="1" si="23"/>
        <v>Sin fecha</v>
      </c>
      <c r="J1509" s="11">
        <v>60</v>
      </c>
      <c r="K1509" s="11">
        <v>22</v>
      </c>
      <c r="L1509" s="12">
        <v>45597</v>
      </c>
      <c r="M1509" t="s">
        <v>20</v>
      </c>
    </row>
    <row r="1510" spans="1:13" ht="135">
      <c r="A1510" s="6" t="s">
        <v>2639</v>
      </c>
      <c r="B1510" s="7" t="s">
        <v>1412</v>
      </c>
      <c r="C1510" s="7" t="s">
        <v>2638</v>
      </c>
      <c r="D1510" s="6" t="s">
        <v>18</v>
      </c>
      <c r="E1510" s="7" t="s">
        <v>1482</v>
      </c>
      <c r="F1510" s="13"/>
      <c r="G1510" s="9">
        <f>IFERROR(VLOOKUP(D1510,Listas!$A$2:$B$20,2,FALSE()),999)</f>
        <v>1</v>
      </c>
      <c r="H1510" s="9" t="str">
        <f t="shared" ca="1" si="23"/>
        <v>Sin fecha</v>
      </c>
      <c r="J1510" s="11">
        <v>60</v>
      </c>
      <c r="K1510" s="11">
        <v>22</v>
      </c>
      <c r="L1510" s="12">
        <v>45597</v>
      </c>
      <c r="M1510" t="s">
        <v>20</v>
      </c>
    </row>
    <row r="1511" spans="1:13" ht="135">
      <c r="A1511" s="6" t="s">
        <v>2640</v>
      </c>
      <c r="B1511" s="7" t="s">
        <v>1412</v>
      </c>
      <c r="C1511" s="7" t="s">
        <v>2638</v>
      </c>
      <c r="D1511" s="6" t="s">
        <v>18</v>
      </c>
      <c r="E1511" s="7" t="s">
        <v>1482</v>
      </c>
      <c r="F1511" s="13"/>
      <c r="G1511" s="9">
        <f>IFERROR(VLOOKUP(D1511,Listas!$A$2:$B$20,2,FALSE()),999)</f>
        <v>1</v>
      </c>
      <c r="H1511" s="9" t="str">
        <f t="shared" ca="1" si="23"/>
        <v>Sin fecha</v>
      </c>
      <c r="J1511" s="11">
        <v>60</v>
      </c>
      <c r="K1511" s="11">
        <v>22</v>
      </c>
      <c r="L1511" s="12">
        <v>45597</v>
      </c>
      <c r="M1511" t="s">
        <v>20</v>
      </c>
    </row>
    <row r="1512" spans="1:13" ht="135">
      <c r="A1512" s="6" t="s">
        <v>2641</v>
      </c>
      <c r="B1512" s="7" t="s">
        <v>1412</v>
      </c>
      <c r="C1512" s="7" t="s">
        <v>2638</v>
      </c>
      <c r="D1512" s="6" t="s">
        <v>18</v>
      </c>
      <c r="E1512" s="7" t="s">
        <v>1482</v>
      </c>
      <c r="F1512" s="13"/>
      <c r="G1512" s="9">
        <f>IFERROR(VLOOKUP(D1512,Listas!$A$2:$B$20,2,FALSE()),999)</f>
        <v>1</v>
      </c>
      <c r="H1512" s="9" t="str">
        <f t="shared" ca="1" si="23"/>
        <v>Sin fecha</v>
      </c>
      <c r="J1512" s="11">
        <v>60</v>
      </c>
      <c r="K1512" s="11">
        <v>22</v>
      </c>
      <c r="L1512" s="12">
        <v>45597</v>
      </c>
      <c r="M1512" t="s">
        <v>20</v>
      </c>
    </row>
    <row r="1513" spans="1:13" ht="135">
      <c r="A1513" s="6" t="s">
        <v>2642</v>
      </c>
      <c r="B1513" s="7" t="s">
        <v>1412</v>
      </c>
      <c r="C1513" s="7" t="s">
        <v>2638</v>
      </c>
      <c r="D1513" s="6" t="s">
        <v>18</v>
      </c>
      <c r="E1513" s="7" t="s">
        <v>1482</v>
      </c>
      <c r="F1513" s="13"/>
      <c r="G1513" s="9">
        <f>IFERROR(VLOOKUP(D1513,Listas!$A$2:$B$20,2,FALSE()),999)</f>
        <v>1</v>
      </c>
      <c r="H1513" s="9" t="str">
        <f t="shared" ca="1" si="23"/>
        <v>Sin fecha</v>
      </c>
      <c r="J1513" s="11">
        <v>60</v>
      </c>
      <c r="K1513" s="11">
        <v>22</v>
      </c>
      <c r="L1513" s="12">
        <v>45597</v>
      </c>
      <c r="M1513" t="s">
        <v>20</v>
      </c>
    </row>
    <row r="1514" spans="1:13" ht="30">
      <c r="A1514" s="6" t="s">
        <v>2643</v>
      </c>
      <c r="B1514" s="7" t="s">
        <v>1412</v>
      </c>
      <c r="C1514" s="7" t="s">
        <v>2644</v>
      </c>
      <c r="D1514" s="6" t="s">
        <v>18</v>
      </c>
      <c r="E1514" s="7" t="s">
        <v>1485</v>
      </c>
      <c r="F1514" s="13"/>
      <c r="G1514" s="9">
        <f>IFERROR(VLOOKUP(D1514,Listas!$A$2:$B$20,2,FALSE()),999)</f>
        <v>1</v>
      </c>
      <c r="H1514" s="9" t="str">
        <f t="shared" ca="1" si="23"/>
        <v>Sin fecha</v>
      </c>
      <c r="J1514" s="11">
        <v>60</v>
      </c>
      <c r="K1514" s="11">
        <v>21</v>
      </c>
      <c r="L1514" s="12">
        <v>45627</v>
      </c>
      <c r="M1514" t="s">
        <v>20</v>
      </c>
    </row>
    <row r="1515" spans="1:13" ht="180">
      <c r="A1515" s="6" t="s">
        <v>2645</v>
      </c>
      <c r="B1515" s="7" t="s">
        <v>1511</v>
      </c>
      <c r="C1515" s="7" t="s">
        <v>2646</v>
      </c>
      <c r="D1515" s="6" t="s">
        <v>1467</v>
      </c>
      <c r="E1515" s="7" t="s">
        <v>1513</v>
      </c>
      <c r="F1515" s="13"/>
      <c r="G1515" s="9">
        <f>IFERROR(VLOOKUP(D1515,Listas!$A$2:$B$20,2,FALSE()),999)</f>
        <v>2</v>
      </c>
      <c r="H1515" s="9" t="str">
        <f t="shared" ca="1" si="23"/>
        <v>Sin fecha</v>
      </c>
      <c r="J1515" s="11">
        <v>36</v>
      </c>
      <c r="K1515" s="11">
        <v>21</v>
      </c>
      <c r="L1515" s="12">
        <v>45627</v>
      </c>
      <c r="M1515" t="s">
        <v>20</v>
      </c>
    </row>
    <row r="1516" spans="1:13" ht="135">
      <c r="A1516" s="6" t="s">
        <v>2647</v>
      </c>
      <c r="B1516" s="7" t="s">
        <v>1511</v>
      </c>
      <c r="C1516" s="7" t="s">
        <v>2648</v>
      </c>
      <c r="D1516" s="6" t="s">
        <v>18</v>
      </c>
      <c r="E1516" s="7" t="s">
        <v>1482</v>
      </c>
      <c r="F1516" s="13"/>
      <c r="G1516" s="9">
        <f>IFERROR(VLOOKUP(D1516,Listas!$A$2:$B$20,2,FALSE()),999)</f>
        <v>1</v>
      </c>
      <c r="H1516" s="9" t="str">
        <f t="shared" ca="1" si="23"/>
        <v>Sin fecha</v>
      </c>
      <c r="J1516" s="11">
        <v>60</v>
      </c>
      <c r="K1516" s="11">
        <v>21</v>
      </c>
      <c r="L1516" s="12">
        <v>45627</v>
      </c>
      <c r="M1516" t="s">
        <v>20</v>
      </c>
    </row>
    <row r="1517" spans="1:13" ht="180">
      <c r="A1517" s="6" t="s">
        <v>2649</v>
      </c>
      <c r="B1517" s="7" t="s">
        <v>1511</v>
      </c>
      <c r="C1517" s="7" t="s">
        <v>2650</v>
      </c>
      <c r="D1517" s="6" t="s">
        <v>1467</v>
      </c>
      <c r="E1517" s="7" t="s">
        <v>2145</v>
      </c>
      <c r="F1517" s="13"/>
      <c r="G1517" s="9">
        <f>IFERROR(VLOOKUP(D1517,Listas!$A$2:$B$20,2,FALSE()),999)</f>
        <v>2</v>
      </c>
      <c r="H1517" s="9" t="str">
        <f t="shared" ca="1" si="23"/>
        <v>Sin fecha</v>
      </c>
      <c r="J1517" s="11">
        <v>60</v>
      </c>
      <c r="K1517" s="11">
        <v>19</v>
      </c>
      <c r="L1517" s="12">
        <v>45689</v>
      </c>
      <c r="M1517" t="s">
        <v>20</v>
      </c>
    </row>
    <row r="1518" spans="1:13" ht="105">
      <c r="A1518" s="6" t="s">
        <v>2651</v>
      </c>
      <c r="B1518" s="7" t="s">
        <v>1412</v>
      </c>
      <c r="C1518" s="7" t="s">
        <v>2652</v>
      </c>
      <c r="D1518" s="6" t="s">
        <v>1467</v>
      </c>
      <c r="E1518" s="7" t="s">
        <v>2187</v>
      </c>
      <c r="F1518" s="13"/>
      <c r="G1518" s="9">
        <f>IFERROR(VLOOKUP(D1518,Listas!$A$2:$B$20,2,FALSE()),999)</f>
        <v>2</v>
      </c>
      <c r="H1518" s="9" t="str">
        <f t="shared" ca="1" si="23"/>
        <v>Sin fecha</v>
      </c>
      <c r="J1518" s="11">
        <v>60</v>
      </c>
      <c r="K1518" s="11">
        <v>18</v>
      </c>
      <c r="L1518" s="12">
        <v>45717</v>
      </c>
      <c r="M1518" t="s">
        <v>20</v>
      </c>
    </row>
    <row r="1519" spans="1:13" ht="105">
      <c r="A1519" s="6" t="s">
        <v>2653</v>
      </c>
      <c r="B1519" s="7" t="s">
        <v>1412</v>
      </c>
      <c r="C1519" s="7" t="s">
        <v>2652</v>
      </c>
      <c r="D1519" s="6" t="s">
        <v>1467</v>
      </c>
      <c r="E1519" s="7" t="s">
        <v>2187</v>
      </c>
      <c r="F1519" s="13"/>
      <c r="G1519" s="9">
        <f>IFERROR(VLOOKUP(D1519,Listas!$A$2:$B$20,2,FALSE()),999)</f>
        <v>2</v>
      </c>
      <c r="H1519" s="9" t="str">
        <f t="shared" ca="1" si="23"/>
        <v>Sin fecha</v>
      </c>
      <c r="J1519" s="11">
        <v>60</v>
      </c>
      <c r="K1519" s="11">
        <v>18</v>
      </c>
      <c r="L1519" s="12">
        <v>45717</v>
      </c>
      <c r="M1519" t="s">
        <v>20</v>
      </c>
    </row>
    <row r="1520" spans="1:13" ht="105">
      <c r="A1520" s="6" t="s">
        <v>2654</v>
      </c>
      <c r="B1520" s="7" t="s">
        <v>1412</v>
      </c>
      <c r="C1520" s="7" t="s">
        <v>577</v>
      </c>
      <c r="D1520" s="6" t="s">
        <v>18</v>
      </c>
      <c r="E1520" s="7" t="s">
        <v>2286</v>
      </c>
      <c r="F1520" s="13"/>
      <c r="G1520" s="9">
        <f>IFERROR(VLOOKUP(D1520,Listas!$A$2:$B$20,2,FALSE()),999)</f>
        <v>1</v>
      </c>
      <c r="H1520" s="9" t="str">
        <f t="shared" ca="1" si="23"/>
        <v>Sin fecha</v>
      </c>
      <c r="J1520" s="11">
        <v>60</v>
      </c>
      <c r="K1520" s="11">
        <v>17</v>
      </c>
      <c r="L1520" s="12">
        <v>45748</v>
      </c>
      <c r="M1520" t="s">
        <v>20</v>
      </c>
    </row>
    <row r="1521" spans="1:13" ht="105">
      <c r="A1521" s="6" t="s">
        <v>2655</v>
      </c>
      <c r="B1521" s="7" t="s">
        <v>1412</v>
      </c>
      <c r="C1521" s="7" t="s">
        <v>577</v>
      </c>
      <c r="D1521" s="6" t="s">
        <v>18</v>
      </c>
      <c r="E1521" s="7" t="s">
        <v>2286</v>
      </c>
      <c r="F1521" s="13"/>
      <c r="G1521" s="9">
        <f>IFERROR(VLOOKUP(D1521,Listas!$A$2:$B$20,2,FALSE()),999)</f>
        <v>1</v>
      </c>
      <c r="H1521" s="9" t="str">
        <f t="shared" ca="1" si="23"/>
        <v>Sin fecha</v>
      </c>
      <c r="J1521" s="11">
        <v>60</v>
      </c>
      <c r="K1521" s="11">
        <v>17</v>
      </c>
      <c r="L1521" s="12">
        <v>45748</v>
      </c>
      <c r="M1521" t="s">
        <v>20</v>
      </c>
    </row>
    <row r="1522" spans="1:13" ht="105">
      <c r="A1522" s="6" t="s">
        <v>2656</v>
      </c>
      <c r="B1522" s="7" t="s">
        <v>1412</v>
      </c>
      <c r="C1522" s="7" t="s">
        <v>577</v>
      </c>
      <c r="D1522" s="6" t="s">
        <v>18</v>
      </c>
      <c r="E1522" s="7" t="s">
        <v>2286</v>
      </c>
      <c r="F1522" s="13"/>
      <c r="G1522" s="9">
        <f>IFERROR(VLOOKUP(D1522,Listas!$A$2:$B$20,2,FALSE()),999)</f>
        <v>1</v>
      </c>
      <c r="H1522" s="9" t="str">
        <f t="shared" ca="1" si="23"/>
        <v>Sin fecha</v>
      </c>
      <c r="J1522" s="11">
        <v>60</v>
      </c>
      <c r="K1522" s="11">
        <v>17</v>
      </c>
      <c r="L1522" s="12">
        <v>45748</v>
      </c>
      <c r="M1522" t="s">
        <v>20</v>
      </c>
    </row>
    <row r="1523" spans="1:13" ht="105">
      <c r="A1523" s="6" t="s">
        <v>2657</v>
      </c>
      <c r="B1523" s="7" t="s">
        <v>1412</v>
      </c>
      <c r="C1523" s="7" t="s">
        <v>577</v>
      </c>
      <c r="D1523" s="6" t="s">
        <v>18</v>
      </c>
      <c r="E1523" s="7" t="s">
        <v>2286</v>
      </c>
      <c r="F1523" s="13"/>
      <c r="G1523" s="9">
        <f>IFERROR(VLOOKUP(D1523,Listas!$A$2:$B$20,2,FALSE()),999)</f>
        <v>1</v>
      </c>
      <c r="H1523" s="9" t="str">
        <f t="shared" ca="1" si="23"/>
        <v>Sin fecha</v>
      </c>
      <c r="J1523" s="11">
        <v>60</v>
      </c>
      <c r="K1523" s="11">
        <v>17</v>
      </c>
      <c r="L1523" s="12">
        <v>45748</v>
      </c>
      <c r="M1523" t="s">
        <v>20</v>
      </c>
    </row>
    <row r="1524" spans="1:13" ht="105">
      <c r="A1524" s="6" t="s">
        <v>2658</v>
      </c>
      <c r="B1524" s="7" t="s">
        <v>1412</v>
      </c>
      <c r="C1524" s="7" t="s">
        <v>577</v>
      </c>
      <c r="D1524" s="6" t="s">
        <v>18</v>
      </c>
      <c r="E1524" s="7" t="s">
        <v>2286</v>
      </c>
      <c r="F1524" s="13"/>
      <c r="G1524" s="9">
        <f>IFERROR(VLOOKUP(D1524,Listas!$A$2:$B$20,2,FALSE()),999)</f>
        <v>1</v>
      </c>
      <c r="H1524" s="9" t="str">
        <f t="shared" ca="1" si="23"/>
        <v>Sin fecha</v>
      </c>
      <c r="J1524" s="11">
        <v>60</v>
      </c>
      <c r="K1524" s="11">
        <v>17</v>
      </c>
      <c r="L1524" s="12">
        <v>45748</v>
      </c>
      <c r="M1524" t="s">
        <v>20</v>
      </c>
    </row>
    <row r="1525" spans="1:13" ht="105">
      <c r="A1525" s="6" t="s">
        <v>2659</v>
      </c>
      <c r="B1525" s="7" t="s">
        <v>1412</v>
      </c>
      <c r="C1525" s="7" t="s">
        <v>577</v>
      </c>
      <c r="D1525" s="6" t="s">
        <v>18</v>
      </c>
      <c r="E1525" s="7" t="s">
        <v>2286</v>
      </c>
      <c r="F1525" s="13"/>
      <c r="G1525" s="9">
        <f>IFERROR(VLOOKUP(D1525,Listas!$A$2:$B$20,2,FALSE()),999)</f>
        <v>1</v>
      </c>
      <c r="H1525" s="9" t="str">
        <f t="shared" ca="1" si="23"/>
        <v>Sin fecha</v>
      </c>
      <c r="J1525" s="11">
        <v>60</v>
      </c>
      <c r="K1525" s="11">
        <v>17</v>
      </c>
      <c r="L1525" s="12">
        <v>45748</v>
      </c>
      <c r="M1525" t="s">
        <v>20</v>
      </c>
    </row>
    <row r="1526" spans="1:13" ht="105">
      <c r="A1526" s="6" t="s">
        <v>2660</v>
      </c>
      <c r="B1526" s="7" t="s">
        <v>1412</v>
      </c>
      <c r="C1526" s="7" t="s">
        <v>577</v>
      </c>
      <c r="D1526" s="6" t="s">
        <v>18</v>
      </c>
      <c r="E1526" s="7" t="s">
        <v>2286</v>
      </c>
      <c r="F1526" s="13"/>
      <c r="G1526" s="9">
        <f>IFERROR(VLOOKUP(D1526,Listas!$A$2:$B$20,2,FALSE()),999)</f>
        <v>1</v>
      </c>
      <c r="H1526" s="9" t="str">
        <f t="shared" ca="1" si="23"/>
        <v>Sin fecha</v>
      </c>
      <c r="J1526" s="11">
        <v>60</v>
      </c>
      <c r="K1526" s="11">
        <v>17</v>
      </c>
      <c r="L1526" s="12">
        <v>45748</v>
      </c>
      <c r="M1526" t="s">
        <v>20</v>
      </c>
    </row>
    <row r="1527" spans="1:13" ht="105">
      <c r="A1527" s="6" t="s">
        <v>2661</v>
      </c>
      <c r="B1527" s="7" t="s">
        <v>1412</v>
      </c>
      <c r="C1527" s="7" t="s">
        <v>577</v>
      </c>
      <c r="D1527" s="6" t="s">
        <v>18</v>
      </c>
      <c r="E1527" s="7" t="s">
        <v>2286</v>
      </c>
      <c r="F1527" s="13"/>
      <c r="G1527" s="9">
        <f>IFERROR(VLOOKUP(D1527,Listas!$A$2:$B$20,2,FALSE()),999)</f>
        <v>1</v>
      </c>
      <c r="H1527" s="9" t="str">
        <f t="shared" ca="1" si="23"/>
        <v>Sin fecha</v>
      </c>
      <c r="J1527" s="11">
        <v>60</v>
      </c>
      <c r="K1527" s="11">
        <v>17</v>
      </c>
      <c r="L1527" s="12">
        <v>45748</v>
      </c>
      <c r="M1527" t="s">
        <v>20</v>
      </c>
    </row>
    <row r="1528" spans="1:13" ht="105">
      <c r="A1528" s="6" t="s">
        <v>2662</v>
      </c>
      <c r="B1528" s="7" t="s">
        <v>1412</v>
      </c>
      <c r="C1528" s="7" t="s">
        <v>577</v>
      </c>
      <c r="D1528" s="6" t="s">
        <v>18</v>
      </c>
      <c r="E1528" s="7" t="s">
        <v>2286</v>
      </c>
      <c r="F1528" s="13"/>
      <c r="G1528" s="9">
        <f>IFERROR(VLOOKUP(D1528,Listas!$A$2:$B$20,2,FALSE()),999)</f>
        <v>1</v>
      </c>
      <c r="H1528" s="9" t="str">
        <f t="shared" ca="1" si="23"/>
        <v>Sin fecha</v>
      </c>
      <c r="J1528" s="11">
        <v>60</v>
      </c>
      <c r="K1528" s="11">
        <v>17</v>
      </c>
      <c r="L1528" s="12">
        <v>45748</v>
      </c>
      <c r="M1528" t="s">
        <v>20</v>
      </c>
    </row>
    <row r="1529" spans="1:13" ht="105">
      <c r="A1529" s="6" t="s">
        <v>2663</v>
      </c>
      <c r="B1529" s="7" t="s">
        <v>1412</v>
      </c>
      <c r="C1529" s="7" t="s">
        <v>577</v>
      </c>
      <c r="D1529" s="6" t="s">
        <v>18</v>
      </c>
      <c r="E1529" s="7" t="s">
        <v>2286</v>
      </c>
      <c r="F1529" s="13"/>
      <c r="G1529" s="9">
        <f>IFERROR(VLOOKUP(D1529,Listas!$A$2:$B$20,2,FALSE()),999)</f>
        <v>1</v>
      </c>
      <c r="H1529" s="9" t="str">
        <f t="shared" ca="1" si="23"/>
        <v>Sin fecha</v>
      </c>
      <c r="J1529" s="11">
        <v>60</v>
      </c>
      <c r="K1529" s="11">
        <v>17</v>
      </c>
      <c r="L1529" s="12">
        <v>45748</v>
      </c>
      <c r="M1529" t="s">
        <v>20</v>
      </c>
    </row>
    <row r="1530" spans="1:13" ht="105">
      <c r="A1530" s="6" t="s">
        <v>2664</v>
      </c>
      <c r="B1530" s="7" t="s">
        <v>1412</v>
      </c>
      <c r="C1530" s="7" t="s">
        <v>577</v>
      </c>
      <c r="D1530" s="6" t="s">
        <v>18</v>
      </c>
      <c r="E1530" s="7" t="s">
        <v>2286</v>
      </c>
      <c r="F1530" s="13"/>
      <c r="G1530" s="9">
        <f>IFERROR(VLOOKUP(D1530,Listas!$A$2:$B$20,2,FALSE()),999)</f>
        <v>1</v>
      </c>
      <c r="H1530" s="9" t="str">
        <f t="shared" ca="1" si="23"/>
        <v>Sin fecha</v>
      </c>
      <c r="J1530" s="11">
        <v>60</v>
      </c>
      <c r="K1530" s="11">
        <v>17</v>
      </c>
      <c r="L1530" s="12">
        <v>45748</v>
      </c>
      <c r="M1530" t="s">
        <v>20</v>
      </c>
    </row>
    <row r="1531" spans="1:13" ht="105">
      <c r="A1531" s="6" t="s">
        <v>2665</v>
      </c>
      <c r="B1531" s="7" t="s">
        <v>1412</v>
      </c>
      <c r="C1531" s="7" t="s">
        <v>577</v>
      </c>
      <c r="D1531" s="6" t="s">
        <v>18</v>
      </c>
      <c r="E1531" s="7" t="s">
        <v>2286</v>
      </c>
      <c r="F1531" s="13"/>
      <c r="G1531" s="9">
        <f>IFERROR(VLOOKUP(D1531,Listas!$A$2:$B$20,2,FALSE()),999)</f>
        <v>1</v>
      </c>
      <c r="H1531" s="9" t="str">
        <f t="shared" ca="1" si="23"/>
        <v>Sin fecha</v>
      </c>
      <c r="J1531" s="11">
        <v>60</v>
      </c>
      <c r="K1531" s="11">
        <v>17</v>
      </c>
      <c r="L1531" s="12">
        <v>45748</v>
      </c>
      <c r="M1531" t="s">
        <v>20</v>
      </c>
    </row>
    <row r="1532" spans="1:13" ht="105">
      <c r="A1532" s="6" t="s">
        <v>2666</v>
      </c>
      <c r="B1532" s="7" t="s">
        <v>1412</v>
      </c>
      <c r="C1532" s="7" t="s">
        <v>577</v>
      </c>
      <c r="D1532" s="6" t="s">
        <v>18</v>
      </c>
      <c r="E1532" s="7" t="s">
        <v>2286</v>
      </c>
      <c r="F1532" s="13"/>
      <c r="G1532" s="9">
        <f>IFERROR(VLOOKUP(D1532,Listas!$A$2:$B$20,2,FALSE()),999)</f>
        <v>1</v>
      </c>
      <c r="H1532" s="9" t="str">
        <f t="shared" ca="1" si="23"/>
        <v>Sin fecha</v>
      </c>
      <c r="J1532" s="11">
        <v>60</v>
      </c>
      <c r="K1532" s="11">
        <v>17</v>
      </c>
      <c r="L1532" s="12">
        <v>45748</v>
      </c>
      <c r="M1532" t="s">
        <v>20</v>
      </c>
    </row>
    <row r="1533" spans="1:13" ht="105">
      <c r="A1533" s="6" t="s">
        <v>2667</v>
      </c>
      <c r="B1533" s="7" t="s">
        <v>1412</v>
      </c>
      <c r="C1533" s="7" t="s">
        <v>577</v>
      </c>
      <c r="D1533" s="6" t="s">
        <v>18</v>
      </c>
      <c r="E1533" s="7" t="s">
        <v>2286</v>
      </c>
      <c r="F1533" s="13"/>
      <c r="G1533" s="9">
        <f>IFERROR(VLOOKUP(D1533,Listas!$A$2:$B$20,2,FALSE()),999)</f>
        <v>1</v>
      </c>
      <c r="H1533" s="9" t="str">
        <f t="shared" ca="1" si="23"/>
        <v>Sin fecha</v>
      </c>
      <c r="J1533" s="11">
        <v>60</v>
      </c>
      <c r="K1533" s="11">
        <v>17</v>
      </c>
      <c r="L1533" s="12">
        <v>45748</v>
      </c>
      <c r="M1533" t="s">
        <v>20</v>
      </c>
    </row>
    <row r="1534" spans="1:13" ht="105">
      <c r="A1534" s="6" t="s">
        <v>2668</v>
      </c>
      <c r="B1534" s="7" t="s">
        <v>1412</v>
      </c>
      <c r="C1534" s="7" t="s">
        <v>577</v>
      </c>
      <c r="D1534" s="6" t="s">
        <v>18</v>
      </c>
      <c r="E1534" s="7" t="s">
        <v>2286</v>
      </c>
      <c r="F1534" s="13"/>
      <c r="G1534" s="9">
        <f>IFERROR(VLOOKUP(D1534,Listas!$A$2:$B$20,2,FALSE()),999)</f>
        <v>1</v>
      </c>
      <c r="H1534" s="9" t="str">
        <f t="shared" ca="1" si="23"/>
        <v>Sin fecha</v>
      </c>
      <c r="J1534" s="11">
        <v>60</v>
      </c>
      <c r="K1534" s="11">
        <v>17</v>
      </c>
      <c r="L1534" s="12">
        <v>45748</v>
      </c>
      <c r="M1534" t="s">
        <v>20</v>
      </c>
    </row>
    <row r="1535" spans="1:13" ht="105">
      <c r="A1535" s="6" t="s">
        <v>2669</v>
      </c>
      <c r="B1535" s="7" t="s">
        <v>1412</v>
      </c>
      <c r="C1535" s="7" t="s">
        <v>577</v>
      </c>
      <c r="D1535" s="6" t="s">
        <v>18</v>
      </c>
      <c r="E1535" s="7" t="s">
        <v>2286</v>
      </c>
      <c r="F1535" s="13"/>
      <c r="G1535" s="9">
        <f>IFERROR(VLOOKUP(D1535,Listas!$A$2:$B$20,2,FALSE()),999)</f>
        <v>1</v>
      </c>
      <c r="H1535" s="9" t="str">
        <f t="shared" ca="1" si="23"/>
        <v>Sin fecha</v>
      </c>
      <c r="J1535" s="11">
        <v>60</v>
      </c>
      <c r="K1535" s="11">
        <v>17</v>
      </c>
      <c r="L1535" s="12">
        <v>45748</v>
      </c>
      <c r="M1535" t="s">
        <v>20</v>
      </c>
    </row>
    <row r="1536" spans="1:13" ht="105">
      <c r="A1536" s="6" t="s">
        <v>2670</v>
      </c>
      <c r="B1536" s="7" t="s">
        <v>1412</v>
      </c>
      <c r="C1536" s="7" t="s">
        <v>577</v>
      </c>
      <c r="D1536" s="6" t="s">
        <v>18</v>
      </c>
      <c r="E1536" s="7" t="s">
        <v>2286</v>
      </c>
      <c r="F1536" s="13"/>
      <c r="G1536" s="9">
        <f>IFERROR(VLOOKUP(D1536,Listas!$A$2:$B$20,2,FALSE()),999)</f>
        <v>1</v>
      </c>
      <c r="H1536" s="9" t="str">
        <f t="shared" ca="1" si="23"/>
        <v>Sin fecha</v>
      </c>
      <c r="J1536" s="11">
        <v>60</v>
      </c>
      <c r="K1536" s="11">
        <v>17</v>
      </c>
      <c r="L1536" s="12">
        <v>45748</v>
      </c>
      <c r="M1536" t="s">
        <v>20</v>
      </c>
    </row>
    <row r="1537" spans="1:13" ht="105">
      <c r="A1537" s="6" t="s">
        <v>2671</v>
      </c>
      <c r="B1537" s="7" t="s">
        <v>1412</v>
      </c>
      <c r="C1537" s="7" t="s">
        <v>577</v>
      </c>
      <c r="D1537" s="6" t="s">
        <v>18</v>
      </c>
      <c r="E1537" s="7" t="s">
        <v>2286</v>
      </c>
      <c r="F1537" s="13"/>
      <c r="G1537" s="9">
        <f>IFERROR(VLOOKUP(D1537,Listas!$A$2:$B$20,2,FALSE()),999)</f>
        <v>1</v>
      </c>
      <c r="H1537" s="9" t="str">
        <f t="shared" ca="1" si="23"/>
        <v>Sin fecha</v>
      </c>
      <c r="J1537" s="11">
        <v>60</v>
      </c>
      <c r="K1537" s="11">
        <v>17</v>
      </c>
      <c r="L1537" s="12">
        <v>45748</v>
      </c>
      <c r="M1537" t="s">
        <v>20</v>
      </c>
    </row>
    <row r="1538" spans="1:13" ht="105">
      <c r="A1538" s="6" t="s">
        <v>2672</v>
      </c>
      <c r="B1538" s="7" t="s">
        <v>1412</v>
      </c>
      <c r="C1538" s="7" t="s">
        <v>577</v>
      </c>
      <c r="D1538" s="6" t="s">
        <v>18</v>
      </c>
      <c r="E1538" s="7" t="s">
        <v>2286</v>
      </c>
      <c r="F1538" s="13"/>
      <c r="G1538" s="9">
        <f>IFERROR(VLOOKUP(D1538,Listas!$A$2:$B$20,2,FALSE()),999)</f>
        <v>1</v>
      </c>
      <c r="H1538" s="9" t="str">
        <f t="shared" ca="1" si="23"/>
        <v>Sin fecha</v>
      </c>
      <c r="J1538" s="11">
        <v>60</v>
      </c>
      <c r="K1538" s="11">
        <v>17</v>
      </c>
      <c r="L1538" s="12">
        <v>45748</v>
      </c>
      <c r="M1538" t="s">
        <v>20</v>
      </c>
    </row>
    <row r="1539" spans="1:13" ht="105">
      <c r="A1539" s="6" t="s">
        <v>2673</v>
      </c>
      <c r="B1539" s="7" t="s">
        <v>1412</v>
      </c>
      <c r="C1539" s="7" t="s">
        <v>577</v>
      </c>
      <c r="D1539" s="6" t="s">
        <v>18</v>
      </c>
      <c r="E1539" s="7" t="s">
        <v>2286</v>
      </c>
      <c r="F1539" s="13"/>
      <c r="G1539" s="9">
        <f>IFERROR(VLOOKUP(D1539,Listas!$A$2:$B$20,2,FALSE()),999)</f>
        <v>1</v>
      </c>
      <c r="H1539" s="9" t="str">
        <f t="shared" ca="1" si="23"/>
        <v>Sin fecha</v>
      </c>
      <c r="J1539" s="11">
        <v>60</v>
      </c>
      <c r="K1539" s="11">
        <v>17</v>
      </c>
      <c r="L1539" s="12">
        <v>45748</v>
      </c>
      <c r="M1539" t="s">
        <v>20</v>
      </c>
    </row>
    <row r="1540" spans="1:13" ht="105">
      <c r="A1540" s="6" t="s">
        <v>2674</v>
      </c>
      <c r="B1540" s="7" t="s">
        <v>1412</v>
      </c>
      <c r="C1540" s="7" t="s">
        <v>577</v>
      </c>
      <c r="D1540" s="6" t="s">
        <v>18</v>
      </c>
      <c r="E1540" s="7" t="s">
        <v>2286</v>
      </c>
      <c r="F1540" s="13"/>
      <c r="G1540" s="9">
        <f>IFERROR(VLOOKUP(D1540,Listas!$A$2:$B$20,2,FALSE()),999)</f>
        <v>1</v>
      </c>
      <c r="H1540" s="9" t="str">
        <f t="shared" ca="1" si="23"/>
        <v>Sin fecha</v>
      </c>
      <c r="J1540" s="11">
        <v>60</v>
      </c>
      <c r="K1540" s="11">
        <v>17</v>
      </c>
      <c r="L1540" s="12">
        <v>45748</v>
      </c>
      <c r="M1540" t="s">
        <v>20</v>
      </c>
    </row>
    <row r="1541" spans="1:13" ht="105">
      <c r="A1541" s="6" t="s">
        <v>2675</v>
      </c>
      <c r="B1541" s="7" t="s">
        <v>1412</v>
      </c>
      <c r="C1541" s="7" t="s">
        <v>577</v>
      </c>
      <c r="D1541" s="6" t="s">
        <v>18</v>
      </c>
      <c r="E1541" s="7" t="s">
        <v>2286</v>
      </c>
      <c r="F1541" s="13"/>
      <c r="G1541" s="9">
        <f>IFERROR(VLOOKUP(D1541,Listas!$A$2:$B$20,2,FALSE()),999)</f>
        <v>1</v>
      </c>
      <c r="H1541" s="9" t="str">
        <f t="shared" ref="H1541:H1604" ca="1" si="24">IF(F1541="","Sin fecha",IF(TODAY()-F1541&gt;180,"Revisar",IF(TODAY()-F1541&gt;90,"Próximo","Vigente")))</f>
        <v>Sin fecha</v>
      </c>
      <c r="J1541" s="11">
        <v>60</v>
      </c>
      <c r="K1541" s="11">
        <v>17</v>
      </c>
      <c r="L1541" s="12">
        <v>45748</v>
      </c>
      <c r="M1541" t="s">
        <v>20</v>
      </c>
    </row>
    <row r="1542" spans="1:13" ht="105">
      <c r="A1542" s="6" t="s">
        <v>2676</v>
      </c>
      <c r="B1542" s="7" t="s">
        <v>1412</v>
      </c>
      <c r="C1542" s="7" t="s">
        <v>577</v>
      </c>
      <c r="D1542" s="6" t="s">
        <v>18</v>
      </c>
      <c r="E1542" s="7" t="s">
        <v>2286</v>
      </c>
      <c r="F1542" s="13"/>
      <c r="G1542" s="9">
        <f>IFERROR(VLOOKUP(D1542,Listas!$A$2:$B$20,2,FALSE()),999)</f>
        <v>1</v>
      </c>
      <c r="H1542" s="9" t="str">
        <f t="shared" ca="1" si="24"/>
        <v>Sin fecha</v>
      </c>
      <c r="J1542" s="11">
        <v>60</v>
      </c>
      <c r="K1542" s="11">
        <v>17</v>
      </c>
      <c r="L1542" s="12">
        <v>45748</v>
      </c>
      <c r="M1542" t="s">
        <v>20</v>
      </c>
    </row>
    <row r="1543" spans="1:13" ht="105">
      <c r="A1543" s="6" t="s">
        <v>2677</v>
      </c>
      <c r="B1543" s="7" t="s">
        <v>1412</v>
      </c>
      <c r="C1543" s="7" t="s">
        <v>577</v>
      </c>
      <c r="D1543" s="6" t="s">
        <v>18</v>
      </c>
      <c r="E1543" s="7" t="s">
        <v>2286</v>
      </c>
      <c r="F1543" s="13"/>
      <c r="G1543" s="9">
        <f>IFERROR(VLOOKUP(D1543,Listas!$A$2:$B$20,2,FALSE()),999)</f>
        <v>1</v>
      </c>
      <c r="H1543" s="9" t="str">
        <f t="shared" ca="1" si="24"/>
        <v>Sin fecha</v>
      </c>
      <c r="J1543" s="11">
        <v>60</v>
      </c>
      <c r="K1543" s="11">
        <v>17</v>
      </c>
      <c r="L1543" s="12">
        <v>45748</v>
      </c>
      <c r="M1543" t="s">
        <v>20</v>
      </c>
    </row>
    <row r="1544" spans="1:13" ht="105">
      <c r="A1544" s="6" t="s">
        <v>2678</v>
      </c>
      <c r="B1544" s="7" t="s">
        <v>1412</v>
      </c>
      <c r="C1544" s="7" t="s">
        <v>577</v>
      </c>
      <c r="D1544" s="6" t="s">
        <v>18</v>
      </c>
      <c r="E1544" s="7" t="s">
        <v>2286</v>
      </c>
      <c r="F1544" s="13"/>
      <c r="G1544" s="9">
        <f>IFERROR(VLOOKUP(D1544,Listas!$A$2:$B$20,2,FALSE()),999)</f>
        <v>1</v>
      </c>
      <c r="H1544" s="9" t="str">
        <f t="shared" ca="1" si="24"/>
        <v>Sin fecha</v>
      </c>
      <c r="J1544" s="11">
        <v>60</v>
      </c>
      <c r="K1544" s="11">
        <v>17</v>
      </c>
      <c r="L1544" s="12">
        <v>45748</v>
      </c>
      <c r="M1544" t="s">
        <v>20</v>
      </c>
    </row>
    <row r="1545" spans="1:13" ht="105">
      <c r="A1545" s="6" t="s">
        <v>2679</v>
      </c>
      <c r="B1545" s="7" t="s">
        <v>1412</v>
      </c>
      <c r="C1545" s="7" t="s">
        <v>577</v>
      </c>
      <c r="D1545" s="6" t="s">
        <v>18</v>
      </c>
      <c r="E1545" s="7" t="s">
        <v>2286</v>
      </c>
      <c r="F1545" s="13"/>
      <c r="G1545" s="9">
        <f>IFERROR(VLOOKUP(D1545,Listas!$A$2:$B$20,2,FALSE()),999)</f>
        <v>1</v>
      </c>
      <c r="H1545" s="9" t="str">
        <f t="shared" ca="1" si="24"/>
        <v>Sin fecha</v>
      </c>
      <c r="J1545" s="11">
        <v>60</v>
      </c>
      <c r="K1545" s="11">
        <v>17</v>
      </c>
      <c r="L1545" s="12">
        <v>45748</v>
      </c>
      <c r="M1545" t="s">
        <v>20</v>
      </c>
    </row>
    <row r="1546" spans="1:13" ht="105">
      <c r="A1546" s="6" t="s">
        <v>2680</v>
      </c>
      <c r="B1546" s="7" t="s">
        <v>1412</v>
      </c>
      <c r="C1546" s="7" t="s">
        <v>577</v>
      </c>
      <c r="D1546" s="6" t="s">
        <v>18</v>
      </c>
      <c r="E1546" s="7" t="s">
        <v>2286</v>
      </c>
      <c r="F1546" s="13"/>
      <c r="G1546" s="9">
        <f>IFERROR(VLOOKUP(D1546,Listas!$A$2:$B$20,2,FALSE()),999)</f>
        <v>1</v>
      </c>
      <c r="H1546" s="9" t="str">
        <f t="shared" ca="1" si="24"/>
        <v>Sin fecha</v>
      </c>
      <c r="J1546" s="11">
        <v>60</v>
      </c>
      <c r="K1546" s="11">
        <v>17</v>
      </c>
      <c r="L1546" s="12">
        <v>45748</v>
      </c>
      <c r="M1546" t="s">
        <v>20</v>
      </c>
    </row>
    <row r="1547" spans="1:13" ht="105">
      <c r="A1547" s="6" t="s">
        <v>2681</v>
      </c>
      <c r="B1547" s="7" t="s">
        <v>1412</v>
      </c>
      <c r="C1547" s="7" t="s">
        <v>577</v>
      </c>
      <c r="D1547" s="6" t="s">
        <v>18</v>
      </c>
      <c r="E1547" s="7" t="s">
        <v>2286</v>
      </c>
      <c r="F1547" s="13"/>
      <c r="G1547" s="9">
        <f>IFERROR(VLOOKUP(D1547,Listas!$A$2:$B$20,2,FALSE()),999)</f>
        <v>1</v>
      </c>
      <c r="H1547" s="9" t="str">
        <f t="shared" ca="1" si="24"/>
        <v>Sin fecha</v>
      </c>
      <c r="J1547" s="11">
        <v>60</v>
      </c>
      <c r="K1547" s="11">
        <v>17</v>
      </c>
      <c r="L1547" s="12">
        <v>45748</v>
      </c>
      <c r="M1547" t="s">
        <v>20</v>
      </c>
    </row>
    <row r="1548" spans="1:13" ht="105">
      <c r="A1548" s="6" t="s">
        <v>2682</v>
      </c>
      <c r="B1548" s="7" t="s">
        <v>1412</v>
      </c>
      <c r="C1548" s="7" t="s">
        <v>577</v>
      </c>
      <c r="D1548" s="6" t="s">
        <v>18</v>
      </c>
      <c r="E1548" s="7" t="s">
        <v>2286</v>
      </c>
      <c r="F1548" s="13"/>
      <c r="G1548" s="9">
        <f>IFERROR(VLOOKUP(D1548,Listas!$A$2:$B$20,2,FALSE()),999)</f>
        <v>1</v>
      </c>
      <c r="H1548" s="9" t="str">
        <f t="shared" ca="1" si="24"/>
        <v>Sin fecha</v>
      </c>
      <c r="J1548" s="11">
        <v>60</v>
      </c>
      <c r="K1548" s="11">
        <v>17</v>
      </c>
      <c r="L1548" s="12">
        <v>45748</v>
      </c>
      <c r="M1548" t="s">
        <v>20</v>
      </c>
    </row>
    <row r="1549" spans="1:13" ht="105">
      <c r="A1549" s="6" t="s">
        <v>2683</v>
      </c>
      <c r="B1549" s="7" t="s">
        <v>1412</v>
      </c>
      <c r="C1549" s="7" t="s">
        <v>577</v>
      </c>
      <c r="D1549" s="6" t="s">
        <v>18</v>
      </c>
      <c r="E1549" s="7" t="s">
        <v>2286</v>
      </c>
      <c r="F1549" s="13"/>
      <c r="G1549" s="9">
        <f>IFERROR(VLOOKUP(D1549,Listas!$A$2:$B$20,2,FALSE()),999)</f>
        <v>1</v>
      </c>
      <c r="H1549" s="9" t="str">
        <f t="shared" ca="1" si="24"/>
        <v>Sin fecha</v>
      </c>
      <c r="J1549" s="11">
        <v>60</v>
      </c>
      <c r="K1549" s="11">
        <v>17</v>
      </c>
      <c r="L1549" s="12">
        <v>45748</v>
      </c>
      <c r="M1549" t="s">
        <v>20</v>
      </c>
    </row>
    <row r="1550" spans="1:13" ht="105">
      <c r="A1550" s="6" t="s">
        <v>2684</v>
      </c>
      <c r="B1550" s="7" t="s">
        <v>1412</v>
      </c>
      <c r="C1550" s="7" t="s">
        <v>577</v>
      </c>
      <c r="D1550" s="6" t="s">
        <v>18</v>
      </c>
      <c r="E1550" s="7" t="s">
        <v>2286</v>
      </c>
      <c r="F1550" s="13"/>
      <c r="G1550" s="9">
        <f>IFERROR(VLOOKUP(D1550,Listas!$A$2:$B$20,2,FALSE()),999)</f>
        <v>1</v>
      </c>
      <c r="H1550" s="9" t="str">
        <f t="shared" ca="1" si="24"/>
        <v>Sin fecha</v>
      </c>
      <c r="J1550" s="11">
        <v>60</v>
      </c>
      <c r="K1550" s="11">
        <v>17</v>
      </c>
      <c r="L1550" s="12">
        <v>45748</v>
      </c>
      <c r="M1550" t="s">
        <v>20</v>
      </c>
    </row>
    <row r="1551" spans="1:13" ht="105">
      <c r="A1551" s="6" t="s">
        <v>2685</v>
      </c>
      <c r="B1551" s="7" t="s">
        <v>1412</v>
      </c>
      <c r="C1551" s="7" t="s">
        <v>577</v>
      </c>
      <c r="D1551" s="6" t="s">
        <v>1467</v>
      </c>
      <c r="E1551" s="7" t="s">
        <v>2686</v>
      </c>
      <c r="F1551" s="13"/>
      <c r="G1551" s="9">
        <f>IFERROR(VLOOKUP(D1551,Listas!$A$2:$B$20,2,FALSE()),999)</f>
        <v>2</v>
      </c>
      <c r="H1551" s="9" t="str">
        <f t="shared" ca="1" si="24"/>
        <v>Sin fecha</v>
      </c>
      <c r="J1551" s="11">
        <v>60</v>
      </c>
      <c r="K1551" s="11">
        <v>17</v>
      </c>
      <c r="L1551" s="12">
        <v>45748</v>
      </c>
      <c r="M1551" t="s">
        <v>20</v>
      </c>
    </row>
    <row r="1552" spans="1:13" ht="255">
      <c r="A1552" s="6" t="s">
        <v>2687</v>
      </c>
      <c r="B1552" s="7" t="s">
        <v>1511</v>
      </c>
      <c r="C1552" s="7" t="s">
        <v>2688</v>
      </c>
      <c r="D1552" s="6" t="s">
        <v>1467</v>
      </c>
      <c r="E1552" s="7" t="s">
        <v>1468</v>
      </c>
      <c r="F1552" s="13"/>
      <c r="G1552" s="9">
        <f>IFERROR(VLOOKUP(D1552,Listas!$A$2:$B$20,2,FALSE()),999)</f>
        <v>2</v>
      </c>
      <c r="H1552" s="9" t="str">
        <f t="shared" ca="1" si="24"/>
        <v>Sin fecha</v>
      </c>
      <c r="J1552" s="11">
        <v>60</v>
      </c>
      <c r="K1552" s="11">
        <v>16</v>
      </c>
      <c r="L1552" s="12">
        <v>45778</v>
      </c>
      <c r="M1552" t="s">
        <v>20</v>
      </c>
    </row>
    <row r="1553" spans="1:13" ht="30">
      <c r="A1553" s="6" t="s">
        <v>2689</v>
      </c>
      <c r="B1553" s="7" t="s">
        <v>1511</v>
      </c>
      <c r="C1553" s="7" t="s">
        <v>2690</v>
      </c>
      <c r="D1553" s="6" t="s">
        <v>18</v>
      </c>
      <c r="E1553" s="7" t="s">
        <v>1543</v>
      </c>
      <c r="F1553" s="13"/>
      <c r="G1553" s="9">
        <f>IFERROR(VLOOKUP(D1553,Listas!$A$2:$B$20,2,FALSE()),999)</f>
        <v>1</v>
      </c>
      <c r="H1553" s="9" t="str">
        <f t="shared" ca="1" si="24"/>
        <v>Sin fecha</v>
      </c>
      <c r="J1553" s="11">
        <v>60</v>
      </c>
      <c r="K1553" s="11">
        <v>16</v>
      </c>
      <c r="L1553" s="12">
        <v>45778</v>
      </c>
      <c r="M1553" t="s">
        <v>20</v>
      </c>
    </row>
    <row r="1554" spans="1:13" ht="30">
      <c r="A1554" s="6" t="s">
        <v>2691</v>
      </c>
      <c r="B1554" s="7" t="s">
        <v>1511</v>
      </c>
      <c r="C1554" s="7" t="s">
        <v>2690</v>
      </c>
      <c r="D1554" s="6" t="s">
        <v>18</v>
      </c>
      <c r="E1554" s="7" t="s">
        <v>2692</v>
      </c>
      <c r="F1554" s="13"/>
      <c r="G1554" s="9">
        <f>IFERROR(VLOOKUP(D1554,Listas!$A$2:$B$20,2,FALSE()),999)</f>
        <v>1</v>
      </c>
      <c r="H1554" s="9" t="str">
        <f t="shared" ca="1" si="24"/>
        <v>Sin fecha</v>
      </c>
      <c r="J1554" s="11">
        <v>60</v>
      </c>
      <c r="K1554" s="11">
        <v>16</v>
      </c>
      <c r="L1554" s="12">
        <v>45778</v>
      </c>
      <c r="M1554" t="s">
        <v>20</v>
      </c>
    </row>
    <row r="1555" spans="1:13" ht="30">
      <c r="A1555" s="6" t="s">
        <v>2693</v>
      </c>
      <c r="B1555" s="7" t="s">
        <v>1511</v>
      </c>
      <c r="C1555" s="7" t="s">
        <v>2690</v>
      </c>
      <c r="D1555" s="6" t="s">
        <v>18</v>
      </c>
      <c r="E1555" s="7" t="s">
        <v>2692</v>
      </c>
      <c r="F1555" s="13"/>
      <c r="G1555" s="9">
        <f>IFERROR(VLOOKUP(D1555,Listas!$A$2:$B$20,2,FALSE()),999)</f>
        <v>1</v>
      </c>
      <c r="H1555" s="9" t="str">
        <f t="shared" ca="1" si="24"/>
        <v>Sin fecha</v>
      </c>
      <c r="J1555" s="11">
        <v>60</v>
      </c>
      <c r="K1555" s="11">
        <v>16</v>
      </c>
      <c r="L1555" s="12">
        <v>45778</v>
      </c>
      <c r="M1555" t="s">
        <v>20</v>
      </c>
    </row>
    <row r="1556" spans="1:13" ht="30">
      <c r="A1556" s="6" t="s">
        <v>2694</v>
      </c>
      <c r="B1556" s="7" t="s">
        <v>1511</v>
      </c>
      <c r="C1556" s="7" t="s">
        <v>2690</v>
      </c>
      <c r="D1556" s="6" t="s">
        <v>18</v>
      </c>
      <c r="E1556" s="7" t="s">
        <v>1485</v>
      </c>
      <c r="F1556" s="13"/>
      <c r="G1556" s="9">
        <f>IFERROR(VLOOKUP(D1556,Listas!$A$2:$B$20,2,FALSE()),999)</f>
        <v>1</v>
      </c>
      <c r="H1556" s="9" t="str">
        <f t="shared" ca="1" si="24"/>
        <v>Sin fecha</v>
      </c>
      <c r="J1556" s="11">
        <v>60</v>
      </c>
      <c r="K1556" s="11">
        <v>16</v>
      </c>
      <c r="L1556" s="12">
        <v>45778</v>
      </c>
      <c r="M1556" t="s">
        <v>20</v>
      </c>
    </row>
    <row r="1557" spans="1:13" ht="30">
      <c r="A1557" s="6" t="s">
        <v>2695</v>
      </c>
      <c r="B1557" s="7" t="s">
        <v>1511</v>
      </c>
      <c r="C1557" s="7" t="s">
        <v>2690</v>
      </c>
      <c r="D1557" s="6" t="s">
        <v>18</v>
      </c>
      <c r="E1557" s="7" t="s">
        <v>1485</v>
      </c>
      <c r="F1557" s="13"/>
      <c r="G1557" s="9">
        <f>IFERROR(VLOOKUP(D1557,Listas!$A$2:$B$20,2,FALSE()),999)</f>
        <v>1</v>
      </c>
      <c r="H1557" s="9" t="str">
        <f t="shared" ca="1" si="24"/>
        <v>Sin fecha</v>
      </c>
      <c r="J1557" s="11">
        <v>60</v>
      </c>
      <c r="K1557" s="11">
        <v>16</v>
      </c>
      <c r="L1557" s="12">
        <v>45778</v>
      </c>
      <c r="M1557" t="s">
        <v>20</v>
      </c>
    </row>
    <row r="1558" spans="1:13" ht="30">
      <c r="A1558" s="6" t="s">
        <v>2696</v>
      </c>
      <c r="B1558" s="7" t="s">
        <v>1511</v>
      </c>
      <c r="C1558" s="7" t="s">
        <v>2690</v>
      </c>
      <c r="D1558" s="6" t="s">
        <v>1467</v>
      </c>
      <c r="E1558" s="7" t="s">
        <v>1468</v>
      </c>
      <c r="F1558" s="13"/>
      <c r="G1558" s="9">
        <f>IFERROR(VLOOKUP(D1558,Listas!$A$2:$B$20,2,FALSE()),999)</f>
        <v>2</v>
      </c>
      <c r="H1558" s="9" t="str">
        <f t="shared" ca="1" si="24"/>
        <v>Sin fecha</v>
      </c>
      <c r="J1558" s="11">
        <v>60</v>
      </c>
      <c r="K1558" s="11">
        <v>16</v>
      </c>
      <c r="L1558" s="12">
        <v>45778</v>
      </c>
      <c r="M1558" t="s">
        <v>20</v>
      </c>
    </row>
    <row r="1559" spans="1:13" ht="30">
      <c r="A1559" s="6" t="s">
        <v>2697</v>
      </c>
      <c r="B1559" s="7" t="s">
        <v>1511</v>
      </c>
      <c r="C1559" s="7" t="s">
        <v>2690</v>
      </c>
      <c r="D1559" s="6" t="s">
        <v>18</v>
      </c>
      <c r="E1559" s="7" t="s">
        <v>2698</v>
      </c>
      <c r="F1559" s="13"/>
      <c r="G1559" s="9">
        <f>IFERROR(VLOOKUP(D1559,Listas!$A$2:$B$20,2,FALSE()),999)</f>
        <v>1</v>
      </c>
      <c r="H1559" s="9" t="str">
        <f t="shared" ca="1" si="24"/>
        <v>Sin fecha</v>
      </c>
      <c r="J1559" s="11">
        <v>60</v>
      </c>
      <c r="K1559" s="11">
        <v>16</v>
      </c>
      <c r="L1559" s="12">
        <v>45778</v>
      </c>
      <c r="M1559" t="s">
        <v>20</v>
      </c>
    </row>
    <row r="1560" spans="1:13" ht="30">
      <c r="A1560" s="6" t="s">
        <v>2699</v>
      </c>
      <c r="B1560" s="7" t="s">
        <v>1511</v>
      </c>
      <c r="C1560" s="7" t="s">
        <v>2690</v>
      </c>
      <c r="D1560" s="6" t="s">
        <v>18</v>
      </c>
      <c r="E1560" s="7" t="s">
        <v>2692</v>
      </c>
      <c r="F1560" s="13"/>
      <c r="G1560" s="9">
        <f>IFERROR(VLOOKUP(D1560,Listas!$A$2:$B$20,2,FALSE()),999)</f>
        <v>1</v>
      </c>
      <c r="H1560" s="9" t="str">
        <f t="shared" ca="1" si="24"/>
        <v>Sin fecha</v>
      </c>
      <c r="J1560" s="11">
        <v>60</v>
      </c>
      <c r="K1560" s="11">
        <v>16</v>
      </c>
      <c r="L1560" s="12">
        <v>45778</v>
      </c>
      <c r="M1560" t="s">
        <v>20</v>
      </c>
    </row>
    <row r="1561" spans="1:13" ht="30">
      <c r="A1561" s="6" t="s">
        <v>2700</v>
      </c>
      <c r="B1561" s="7" t="s">
        <v>1511</v>
      </c>
      <c r="C1561" s="7" t="s">
        <v>2690</v>
      </c>
      <c r="D1561" s="6" t="s">
        <v>18</v>
      </c>
      <c r="E1561" s="7" t="s">
        <v>2698</v>
      </c>
      <c r="F1561" s="13"/>
      <c r="G1561" s="9">
        <f>IFERROR(VLOOKUP(D1561,Listas!$A$2:$B$20,2,FALSE()),999)</f>
        <v>1</v>
      </c>
      <c r="H1561" s="9" t="str">
        <f t="shared" ca="1" si="24"/>
        <v>Sin fecha</v>
      </c>
      <c r="J1561" s="11">
        <v>60</v>
      </c>
      <c r="K1561" s="11">
        <v>16</v>
      </c>
      <c r="L1561" s="12">
        <v>45778</v>
      </c>
      <c r="M1561" t="s">
        <v>20</v>
      </c>
    </row>
    <row r="1562" spans="1:13" ht="30">
      <c r="A1562" s="6" t="s">
        <v>2701</v>
      </c>
      <c r="B1562" s="7" t="s">
        <v>1511</v>
      </c>
      <c r="C1562" s="7" t="s">
        <v>2690</v>
      </c>
      <c r="D1562" s="6" t="s">
        <v>18</v>
      </c>
      <c r="E1562" s="7" t="s">
        <v>1703</v>
      </c>
      <c r="F1562" s="13"/>
      <c r="G1562" s="9">
        <f>IFERROR(VLOOKUP(D1562,Listas!$A$2:$B$20,2,FALSE()),999)</f>
        <v>1</v>
      </c>
      <c r="H1562" s="9" t="str">
        <f t="shared" ca="1" si="24"/>
        <v>Sin fecha</v>
      </c>
      <c r="J1562" s="11">
        <v>60</v>
      </c>
      <c r="K1562" s="11">
        <v>16</v>
      </c>
      <c r="L1562" s="12">
        <v>45778</v>
      </c>
      <c r="M1562" t="s">
        <v>20</v>
      </c>
    </row>
    <row r="1563" spans="1:13" ht="30">
      <c r="A1563" s="6" t="s">
        <v>2702</v>
      </c>
      <c r="B1563" s="7" t="s">
        <v>1511</v>
      </c>
      <c r="C1563" s="7" t="s">
        <v>2690</v>
      </c>
      <c r="D1563" s="6" t="s">
        <v>18</v>
      </c>
      <c r="E1563" s="7" t="s">
        <v>1519</v>
      </c>
      <c r="F1563" s="13"/>
      <c r="G1563" s="9">
        <f>IFERROR(VLOOKUP(D1563,Listas!$A$2:$B$20,2,FALSE()),999)</f>
        <v>1</v>
      </c>
      <c r="H1563" s="9" t="str">
        <f t="shared" ca="1" si="24"/>
        <v>Sin fecha</v>
      </c>
      <c r="J1563" s="11">
        <v>60</v>
      </c>
      <c r="K1563" s="11">
        <v>16</v>
      </c>
      <c r="L1563" s="12">
        <v>45778</v>
      </c>
      <c r="M1563" t="s">
        <v>20</v>
      </c>
    </row>
    <row r="1564" spans="1:13" ht="30">
      <c r="A1564" s="6" t="s">
        <v>2703</v>
      </c>
      <c r="B1564" s="7" t="s">
        <v>1511</v>
      </c>
      <c r="C1564" s="7" t="s">
        <v>2690</v>
      </c>
      <c r="D1564" s="6" t="s">
        <v>18</v>
      </c>
      <c r="E1564" s="7" t="s">
        <v>2692</v>
      </c>
      <c r="F1564" s="13"/>
      <c r="G1564" s="9">
        <f>IFERROR(VLOOKUP(D1564,Listas!$A$2:$B$20,2,FALSE()),999)</f>
        <v>1</v>
      </c>
      <c r="H1564" s="9" t="str">
        <f t="shared" ca="1" si="24"/>
        <v>Sin fecha</v>
      </c>
      <c r="J1564" s="11">
        <v>60</v>
      </c>
      <c r="K1564" s="11">
        <v>16</v>
      </c>
      <c r="L1564" s="12">
        <v>45778</v>
      </c>
      <c r="M1564" t="s">
        <v>20</v>
      </c>
    </row>
    <row r="1565" spans="1:13" ht="30">
      <c r="A1565" s="6" t="s">
        <v>2704</v>
      </c>
      <c r="B1565" s="7" t="s">
        <v>1511</v>
      </c>
      <c r="C1565" s="7" t="s">
        <v>2690</v>
      </c>
      <c r="D1565" s="6" t="s">
        <v>18</v>
      </c>
      <c r="E1565" s="7" t="s">
        <v>1950</v>
      </c>
      <c r="F1565" s="13"/>
      <c r="G1565" s="9">
        <f>IFERROR(VLOOKUP(D1565,Listas!$A$2:$B$20,2,FALSE()),999)</f>
        <v>1</v>
      </c>
      <c r="H1565" s="9" t="str">
        <f t="shared" ca="1" si="24"/>
        <v>Sin fecha</v>
      </c>
      <c r="J1565" s="11">
        <v>60</v>
      </c>
      <c r="K1565" s="11">
        <v>16</v>
      </c>
      <c r="L1565" s="12">
        <v>45778</v>
      </c>
      <c r="M1565" t="s">
        <v>20</v>
      </c>
    </row>
    <row r="1566" spans="1:13" ht="30">
      <c r="A1566" s="6" t="s">
        <v>2705</v>
      </c>
      <c r="B1566" s="7" t="s">
        <v>1511</v>
      </c>
      <c r="C1566" s="7" t="s">
        <v>2690</v>
      </c>
      <c r="D1566" s="6" t="s">
        <v>18</v>
      </c>
      <c r="E1566" s="7" t="s">
        <v>2286</v>
      </c>
      <c r="F1566" s="13"/>
      <c r="G1566" s="9">
        <f>IFERROR(VLOOKUP(D1566,Listas!$A$2:$B$20,2,FALSE()),999)</f>
        <v>1</v>
      </c>
      <c r="H1566" s="9" t="str">
        <f t="shared" ca="1" si="24"/>
        <v>Sin fecha</v>
      </c>
      <c r="J1566" s="11">
        <v>60</v>
      </c>
      <c r="K1566" s="11">
        <v>16</v>
      </c>
      <c r="L1566" s="12">
        <v>45778</v>
      </c>
      <c r="M1566" t="s">
        <v>20</v>
      </c>
    </row>
    <row r="1567" spans="1:13" ht="30">
      <c r="A1567" s="6" t="s">
        <v>2706</v>
      </c>
      <c r="B1567" s="7" t="s">
        <v>1511</v>
      </c>
      <c r="C1567" s="7" t="s">
        <v>2690</v>
      </c>
      <c r="D1567" s="6" t="s">
        <v>1467</v>
      </c>
      <c r="E1567" s="7" t="s">
        <v>1471</v>
      </c>
      <c r="F1567" s="13"/>
      <c r="G1567" s="9">
        <f>IFERROR(VLOOKUP(D1567,Listas!$A$2:$B$20,2,FALSE()),999)</f>
        <v>2</v>
      </c>
      <c r="H1567" s="9" t="str">
        <f t="shared" ca="1" si="24"/>
        <v>Sin fecha</v>
      </c>
      <c r="J1567" s="11">
        <v>60</v>
      </c>
      <c r="K1567" s="11">
        <v>16</v>
      </c>
      <c r="L1567" s="12">
        <v>45778</v>
      </c>
      <c r="M1567" t="s">
        <v>20</v>
      </c>
    </row>
    <row r="1568" spans="1:13" ht="30">
      <c r="A1568" s="6" t="s">
        <v>2707</v>
      </c>
      <c r="B1568" s="7" t="s">
        <v>1511</v>
      </c>
      <c r="C1568" s="7" t="s">
        <v>2690</v>
      </c>
      <c r="D1568" s="6" t="s">
        <v>18</v>
      </c>
      <c r="E1568" s="7" t="s">
        <v>2708</v>
      </c>
      <c r="F1568" s="13"/>
      <c r="G1568" s="9">
        <f>IFERROR(VLOOKUP(D1568,Listas!$A$2:$B$20,2,FALSE()),999)</f>
        <v>1</v>
      </c>
      <c r="H1568" s="9" t="str">
        <f t="shared" ca="1" si="24"/>
        <v>Sin fecha</v>
      </c>
      <c r="J1568" s="11">
        <v>60</v>
      </c>
      <c r="K1568" s="11">
        <v>16</v>
      </c>
      <c r="L1568" s="12">
        <v>45778</v>
      </c>
      <c r="M1568" t="s">
        <v>20</v>
      </c>
    </row>
    <row r="1569" spans="1:13" ht="30">
      <c r="A1569" s="6" t="s">
        <v>2709</v>
      </c>
      <c r="B1569" s="7" t="s">
        <v>1511</v>
      </c>
      <c r="C1569" s="7" t="s">
        <v>2690</v>
      </c>
      <c r="D1569" s="6" t="s">
        <v>18</v>
      </c>
      <c r="E1569" s="7" t="s">
        <v>1476</v>
      </c>
      <c r="F1569" s="13"/>
      <c r="G1569" s="9">
        <f>IFERROR(VLOOKUP(D1569,Listas!$A$2:$B$20,2,FALSE()),999)</f>
        <v>1</v>
      </c>
      <c r="H1569" s="9" t="str">
        <f t="shared" ca="1" si="24"/>
        <v>Sin fecha</v>
      </c>
      <c r="J1569" s="11">
        <v>60</v>
      </c>
      <c r="K1569" s="11">
        <v>16</v>
      </c>
      <c r="L1569" s="12">
        <v>45778</v>
      </c>
      <c r="M1569" t="s">
        <v>20</v>
      </c>
    </row>
    <row r="1570" spans="1:13" ht="30">
      <c r="A1570" s="6" t="s">
        <v>2710</v>
      </c>
      <c r="B1570" s="7" t="s">
        <v>1511</v>
      </c>
      <c r="C1570" s="7" t="s">
        <v>2690</v>
      </c>
      <c r="D1570" s="6" t="s">
        <v>18</v>
      </c>
      <c r="E1570" s="7" t="s">
        <v>1980</v>
      </c>
      <c r="F1570" s="13"/>
      <c r="G1570" s="9">
        <f>IFERROR(VLOOKUP(D1570,Listas!$A$2:$B$20,2,FALSE()),999)</f>
        <v>1</v>
      </c>
      <c r="H1570" s="9" t="str">
        <f t="shared" ca="1" si="24"/>
        <v>Sin fecha</v>
      </c>
      <c r="J1570" s="11">
        <v>60</v>
      </c>
      <c r="K1570" s="11">
        <v>16</v>
      </c>
      <c r="L1570" s="12">
        <v>45778</v>
      </c>
      <c r="M1570" t="s">
        <v>20</v>
      </c>
    </row>
    <row r="1571" spans="1:13" ht="30">
      <c r="A1571" s="6" t="s">
        <v>2711</v>
      </c>
      <c r="B1571" s="7" t="s">
        <v>1511</v>
      </c>
      <c r="C1571" s="7" t="s">
        <v>2690</v>
      </c>
      <c r="D1571" s="6" t="s">
        <v>1467</v>
      </c>
      <c r="E1571" s="7" t="s">
        <v>2712</v>
      </c>
      <c r="F1571" s="13"/>
      <c r="G1571" s="9">
        <f>IFERROR(VLOOKUP(D1571,Listas!$A$2:$B$20,2,FALSE()),999)</f>
        <v>2</v>
      </c>
      <c r="H1571" s="9" t="str">
        <f t="shared" ca="1" si="24"/>
        <v>Sin fecha</v>
      </c>
      <c r="J1571" s="11">
        <v>60</v>
      </c>
      <c r="K1571" s="11">
        <v>16</v>
      </c>
      <c r="L1571" s="12">
        <v>45778</v>
      </c>
      <c r="M1571" t="s">
        <v>20</v>
      </c>
    </row>
    <row r="1572" spans="1:13" ht="30">
      <c r="A1572" s="6" t="s">
        <v>2713</v>
      </c>
      <c r="B1572" s="7" t="s">
        <v>1511</v>
      </c>
      <c r="C1572" s="7" t="s">
        <v>2690</v>
      </c>
      <c r="D1572" s="6" t="s">
        <v>1467</v>
      </c>
      <c r="E1572" s="7" t="s">
        <v>1471</v>
      </c>
      <c r="F1572" s="13"/>
      <c r="G1572" s="9">
        <f>IFERROR(VLOOKUP(D1572,Listas!$A$2:$B$20,2,FALSE()),999)</f>
        <v>2</v>
      </c>
      <c r="H1572" s="9" t="str">
        <f t="shared" ca="1" si="24"/>
        <v>Sin fecha</v>
      </c>
      <c r="J1572" s="11">
        <v>60</v>
      </c>
      <c r="K1572" s="11">
        <v>16</v>
      </c>
      <c r="L1572" s="12">
        <v>45778</v>
      </c>
      <c r="M1572" t="s">
        <v>20</v>
      </c>
    </row>
    <row r="1573" spans="1:13" ht="30">
      <c r="A1573" s="6" t="s">
        <v>2714</v>
      </c>
      <c r="B1573" s="7" t="s">
        <v>1511</v>
      </c>
      <c r="C1573" s="7" t="s">
        <v>2690</v>
      </c>
      <c r="D1573" s="6" t="s">
        <v>18</v>
      </c>
      <c r="E1573" s="7" t="s">
        <v>2286</v>
      </c>
      <c r="F1573" s="13"/>
      <c r="G1573" s="9">
        <f>IFERROR(VLOOKUP(D1573,Listas!$A$2:$B$20,2,FALSE()),999)</f>
        <v>1</v>
      </c>
      <c r="H1573" s="9" t="str">
        <f t="shared" ca="1" si="24"/>
        <v>Sin fecha</v>
      </c>
      <c r="J1573" s="11">
        <v>60</v>
      </c>
      <c r="K1573" s="11">
        <v>16</v>
      </c>
      <c r="L1573" s="12">
        <v>45778</v>
      </c>
      <c r="M1573" t="s">
        <v>20</v>
      </c>
    </row>
    <row r="1574" spans="1:13" ht="30">
      <c r="A1574" s="6" t="s">
        <v>2715</v>
      </c>
      <c r="B1574" s="7" t="s">
        <v>1511</v>
      </c>
      <c r="C1574" s="7" t="s">
        <v>2690</v>
      </c>
      <c r="D1574" s="6" t="s">
        <v>18</v>
      </c>
      <c r="E1574" s="7" t="s">
        <v>2286</v>
      </c>
      <c r="F1574" s="13"/>
      <c r="G1574" s="9">
        <f>IFERROR(VLOOKUP(D1574,Listas!$A$2:$B$20,2,FALSE()),999)</f>
        <v>1</v>
      </c>
      <c r="H1574" s="9" t="str">
        <f t="shared" ca="1" si="24"/>
        <v>Sin fecha</v>
      </c>
      <c r="J1574" s="11">
        <v>60</v>
      </c>
      <c r="K1574" s="11">
        <v>16</v>
      </c>
      <c r="L1574" s="12">
        <v>45778</v>
      </c>
      <c r="M1574" t="s">
        <v>20</v>
      </c>
    </row>
    <row r="1575" spans="1:13" ht="30">
      <c r="A1575" s="6" t="s">
        <v>2716</v>
      </c>
      <c r="B1575" s="7" t="s">
        <v>1511</v>
      </c>
      <c r="C1575" s="7" t="s">
        <v>2690</v>
      </c>
      <c r="D1575" s="6" t="s">
        <v>18</v>
      </c>
      <c r="E1575" s="7" t="s">
        <v>2286</v>
      </c>
      <c r="F1575" s="13"/>
      <c r="G1575" s="9">
        <f>IFERROR(VLOOKUP(D1575,Listas!$A$2:$B$20,2,FALSE()),999)</f>
        <v>1</v>
      </c>
      <c r="H1575" s="9" t="str">
        <f t="shared" ca="1" si="24"/>
        <v>Sin fecha</v>
      </c>
      <c r="J1575" s="11">
        <v>60</v>
      </c>
      <c r="K1575" s="11">
        <v>16</v>
      </c>
      <c r="L1575" s="12">
        <v>45778</v>
      </c>
      <c r="M1575" t="s">
        <v>20</v>
      </c>
    </row>
    <row r="1576" spans="1:13" ht="30">
      <c r="A1576" s="6" t="s">
        <v>2717</v>
      </c>
      <c r="B1576" s="7" t="s">
        <v>1511</v>
      </c>
      <c r="C1576" s="7" t="s">
        <v>2690</v>
      </c>
      <c r="D1576" s="6" t="s">
        <v>18</v>
      </c>
      <c r="E1576" s="7" t="s">
        <v>1950</v>
      </c>
      <c r="F1576" s="13"/>
      <c r="G1576" s="9">
        <f>IFERROR(VLOOKUP(D1576,Listas!$A$2:$B$20,2,FALSE()),999)</f>
        <v>1</v>
      </c>
      <c r="H1576" s="9" t="str">
        <f t="shared" ca="1" si="24"/>
        <v>Sin fecha</v>
      </c>
      <c r="J1576" s="11">
        <v>60</v>
      </c>
      <c r="K1576" s="11">
        <v>16</v>
      </c>
      <c r="L1576" s="12">
        <v>45778</v>
      </c>
      <c r="M1576" t="s">
        <v>20</v>
      </c>
    </row>
    <row r="1577" spans="1:13" ht="30">
      <c r="A1577" s="6" t="s">
        <v>2718</v>
      </c>
      <c r="B1577" s="7" t="s">
        <v>1511</v>
      </c>
      <c r="C1577" s="7" t="s">
        <v>2690</v>
      </c>
      <c r="D1577" s="6" t="s">
        <v>18</v>
      </c>
      <c r="E1577" s="7" t="s">
        <v>2286</v>
      </c>
      <c r="F1577" s="13"/>
      <c r="G1577" s="9">
        <f>IFERROR(VLOOKUP(D1577,Listas!$A$2:$B$20,2,FALSE()),999)</f>
        <v>1</v>
      </c>
      <c r="H1577" s="9" t="str">
        <f t="shared" ca="1" si="24"/>
        <v>Sin fecha</v>
      </c>
      <c r="J1577" s="11">
        <v>60</v>
      </c>
      <c r="K1577" s="11">
        <v>16</v>
      </c>
      <c r="L1577" s="12">
        <v>45778</v>
      </c>
      <c r="M1577" t="s">
        <v>20</v>
      </c>
    </row>
    <row r="1578" spans="1:13" ht="30">
      <c r="A1578" s="6" t="s">
        <v>2719</v>
      </c>
      <c r="B1578" s="7" t="s">
        <v>1511</v>
      </c>
      <c r="C1578" s="7" t="s">
        <v>2690</v>
      </c>
      <c r="D1578" s="6" t="s">
        <v>18</v>
      </c>
      <c r="E1578" s="7" t="s">
        <v>2286</v>
      </c>
      <c r="F1578" s="13"/>
      <c r="G1578" s="9">
        <f>IFERROR(VLOOKUP(D1578,Listas!$A$2:$B$20,2,FALSE()),999)</f>
        <v>1</v>
      </c>
      <c r="H1578" s="9" t="str">
        <f t="shared" ca="1" si="24"/>
        <v>Sin fecha</v>
      </c>
      <c r="J1578" s="11">
        <v>60</v>
      </c>
      <c r="K1578" s="11">
        <v>16</v>
      </c>
      <c r="L1578" s="12">
        <v>45778</v>
      </c>
      <c r="M1578" t="s">
        <v>20</v>
      </c>
    </row>
    <row r="1579" spans="1:13" ht="30">
      <c r="A1579" s="6" t="s">
        <v>2720</v>
      </c>
      <c r="B1579" s="7" t="s">
        <v>1511</v>
      </c>
      <c r="C1579" s="7" t="s">
        <v>2690</v>
      </c>
      <c r="D1579" s="6" t="s">
        <v>18</v>
      </c>
      <c r="E1579" s="7" t="s">
        <v>1464</v>
      </c>
      <c r="F1579" s="13"/>
      <c r="G1579" s="9">
        <f>IFERROR(VLOOKUP(D1579,Listas!$A$2:$B$20,2,FALSE()),999)</f>
        <v>1</v>
      </c>
      <c r="H1579" s="9" t="str">
        <f t="shared" ca="1" si="24"/>
        <v>Sin fecha</v>
      </c>
      <c r="J1579" s="11">
        <v>60</v>
      </c>
      <c r="K1579" s="11">
        <v>16</v>
      </c>
      <c r="L1579" s="12">
        <v>45778</v>
      </c>
      <c r="M1579" t="s">
        <v>20</v>
      </c>
    </row>
    <row r="1580" spans="1:13" ht="30">
      <c r="A1580" s="6" t="s">
        <v>2721</v>
      </c>
      <c r="B1580" s="7" t="s">
        <v>1511</v>
      </c>
      <c r="C1580" s="7" t="s">
        <v>2690</v>
      </c>
      <c r="D1580" s="6" t="s">
        <v>18</v>
      </c>
      <c r="E1580" s="7" t="s">
        <v>1556</v>
      </c>
      <c r="F1580" s="13"/>
      <c r="G1580" s="9">
        <f>IFERROR(VLOOKUP(D1580,Listas!$A$2:$B$20,2,FALSE()),999)</f>
        <v>1</v>
      </c>
      <c r="H1580" s="9" t="str">
        <f t="shared" ca="1" si="24"/>
        <v>Sin fecha</v>
      </c>
      <c r="J1580" s="11">
        <v>60</v>
      </c>
      <c r="K1580" s="11">
        <v>16</v>
      </c>
      <c r="L1580" s="12">
        <v>45778</v>
      </c>
      <c r="M1580" t="s">
        <v>20</v>
      </c>
    </row>
    <row r="1581" spans="1:13" ht="30">
      <c r="A1581" s="6" t="s">
        <v>2722</v>
      </c>
      <c r="B1581" s="7" t="s">
        <v>1511</v>
      </c>
      <c r="C1581" s="7" t="s">
        <v>2690</v>
      </c>
      <c r="D1581" s="6" t="s">
        <v>18</v>
      </c>
      <c r="E1581" s="7" t="s">
        <v>2723</v>
      </c>
      <c r="F1581" s="13"/>
      <c r="G1581" s="9">
        <f>IFERROR(VLOOKUP(D1581,Listas!$A$2:$B$20,2,FALSE()),999)</f>
        <v>1</v>
      </c>
      <c r="H1581" s="9" t="str">
        <f t="shared" ca="1" si="24"/>
        <v>Sin fecha</v>
      </c>
      <c r="J1581" s="11">
        <v>60</v>
      </c>
      <c r="K1581" s="11">
        <v>16</v>
      </c>
      <c r="L1581" s="12">
        <v>45778</v>
      </c>
      <c r="M1581" t="s">
        <v>20</v>
      </c>
    </row>
    <row r="1582" spans="1:13" ht="30">
      <c r="A1582" s="6" t="s">
        <v>2724</v>
      </c>
      <c r="B1582" s="7" t="s">
        <v>1511</v>
      </c>
      <c r="C1582" s="7" t="s">
        <v>2690</v>
      </c>
      <c r="D1582" s="6" t="s">
        <v>18</v>
      </c>
      <c r="E1582" s="7" t="s">
        <v>1561</v>
      </c>
      <c r="F1582" s="13"/>
      <c r="G1582" s="9">
        <f>IFERROR(VLOOKUP(D1582,Listas!$A$2:$B$20,2,FALSE()),999)</f>
        <v>1</v>
      </c>
      <c r="H1582" s="9" t="str">
        <f t="shared" ca="1" si="24"/>
        <v>Sin fecha</v>
      </c>
      <c r="J1582" s="11">
        <v>60</v>
      </c>
      <c r="K1582" s="11">
        <v>16</v>
      </c>
      <c r="L1582" s="12">
        <v>45778</v>
      </c>
      <c r="M1582" t="s">
        <v>20</v>
      </c>
    </row>
    <row r="1583" spans="1:13" ht="30">
      <c r="A1583" s="6" t="s">
        <v>2725</v>
      </c>
      <c r="B1583" s="7" t="s">
        <v>1511</v>
      </c>
      <c r="C1583" s="7" t="s">
        <v>2690</v>
      </c>
      <c r="D1583" s="6" t="s">
        <v>18</v>
      </c>
      <c r="E1583" s="7" t="s">
        <v>1556</v>
      </c>
      <c r="F1583" s="13"/>
      <c r="G1583" s="9">
        <f>IFERROR(VLOOKUP(D1583,Listas!$A$2:$B$20,2,FALSE()),999)</f>
        <v>1</v>
      </c>
      <c r="H1583" s="9" t="str">
        <f t="shared" ca="1" si="24"/>
        <v>Sin fecha</v>
      </c>
      <c r="J1583" s="11">
        <v>60</v>
      </c>
      <c r="K1583" s="11">
        <v>16</v>
      </c>
      <c r="L1583" s="12">
        <v>45778</v>
      </c>
      <c r="M1583" t="s">
        <v>20</v>
      </c>
    </row>
    <row r="1584" spans="1:13" ht="30">
      <c r="A1584" s="6" t="s">
        <v>2726</v>
      </c>
      <c r="B1584" s="7" t="s">
        <v>1511</v>
      </c>
      <c r="C1584" s="7" t="s">
        <v>2690</v>
      </c>
      <c r="D1584" s="6" t="s">
        <v>18</v>
      </c>
      <c r="E1584" s="7" t="s">
        <v>2286</v>
      </c>
      <c r="F1584" s="13"/>
      <c r="G1584" s="9">
        <f>IFERROR(VLOOKUP(D1584,Listas!$A$2:$B$20,2,FALSE()),999)</f>
        <v>1</v>
      </c>
      <c r="H1584" s="9" t="str">
        <f t="shared" ca="1" si="24"/>
        <v>Sin fecha</v>
      </c>
      <c r="J1584" s="11">
        <v>60</v>
      </c>
      <c r="K1584" s="11">
        <v>16</v>
      </c>
      <c r="L1584" s="12">
        <v>45778</v>
      </c>
      <c r="M1584" t="s">
        <v>20</v>
      </c>
    </row>
    <row r="1585" spans="1:13" ht="30">
      <c r="A1585" s="6" t="s">
        <v>2727</v>
      </c>
      <c r="B1585" s="7" t="s">
        <v>1511</v>
      </c>
      <c r="C1585" s="7" t="s">
        <v>2690</v>
      </c>
      <c r="D1585" s="6" t="s">
        <v>18</v>
      </c>
      <c r="E1585" s="7" t="s">
        <v>1561</v>
      </c>
      <c r="F1585" s="13"/>
      <c r="G1585" s="9">
        <f>IFERROR(VLOOKUP(D1585,Listas!$A$2:$B$20,2,FALSE()),999)</f>
        <v>1</v>
      </c>
      <c r="H1585" s="9" t="str">
        <f t="shared" ca="1" si="24"/>
        <v>Sin fecha</v>
      </c>
      <c r="J1585" s="11">
        <v>60</v>
      </c>
      <c r="K1585" s="11">
        <v>16</v>
      </c>
      <c r="L1585" s="12">
        <v>45778</v>
      </c>
      <c r="M1585" t="s">
        <v>20</v>
      </c>
    </row>
    <row r="1586" spans="1:13" ht="30">
      <c r="A1586" s="6" t="s">
        <v>2728</v>
      </c>
      <c r="B1586" s="7" t="s">
        <v>1511</v>
      </c>
      <c r="C1586" s="7" t="s">
        <v>2690</v>
      </c>
      <c r="D1586" s="6" t="s">
        <v>18</v>
      </c>
      <c r="E1586" s="7" t="s">
        <v>2286</v>
      </c>
      <c r="F1586" s="13"/>
      <c r="G1586" s="9">
        <f>IFERROR(VLOOKUP(D1586,Listas!$A$2:$B$20,2,FALSE()),999)</f>
        <v>1</v>
      </c>
      <c r="H1586" s="9" t="str">
        <f t="shared" ca="1" si="24"/>
        <v>Sin fecha</v>
      </c>
      <c r="J1586" s="11">
        <v>60</v>
      </c>
      <c r="K1586" s="11">
        <v>16</v>
      </c>
      <c r="L1586" s="12">
        <v>45778</v>
      </c>
      <c r="M1586" t="s">
        <v>20</v>
      </c>
    </row>
    <row r="1587" spans="1:13" ht="30">
      <c r="A1587" s="6" t="s">
        <v>2729</v>
      </c>
      <c r="B1587" s="7" t="s">
        <v>1511</v>
      </c>
      <c r="C1587" s="7" t="s">
        <v>2690</v>
      </c>
      <c r="D1587" s="6" t="s">
        <v>18</v>
      </c>
      <c r="E1587" s="7" t="s">
        <v>2286</v>
      </c>
      <c r="F1587" s="13"/>
      <c r="G1587" s="9">
        <f>IFERROR(VLOOKUP(D1587,Listas!$A$2:$B$20,2,FALSE()),999)</f>
        <v>1</v>
      </c>
      <c r="H1587" s="9" t="str">
        <f t="shared" ca="1" si="24"/>
        <v>Sin fecha</v>
      </c>
      <c r="J1587" s="11">
        <v>60</v>
      </c>
      <c r="K1587" s="11">
        <v>16</v>
      </c>
      <c r="L1587" s="12">
        <v>45778</v>
      </c>
      <c r="M1587" t="s">
        <v>20</v>
      </c>
    </row>
    <row r="1588" spans="1:13" ht="30">
      <c r="A1588" s="6" t="s">
        <v>2730</v>
      </c>
      <c r="B1588" s="7" t="s">
        <v>1511</v>
      </c>
      <c r="C1588" s="7" t="s">
        <v>2690</v>
      </c>
      <c r="D1588" s="6" t="s">
        <v>18</v>
      </c>
      <c r="E1588" s="7" t="s">
        <v>2286</v>
      </c>
      <c r="F1588" s="13"/>
      <c r="G1588" s="9">
        <f>IFERROR(VLOOKUP(D1588,Listas!$A$2:$B$20,2,FALSE()),999)</f>
        <v>1</v>
      </c>
      <c r="H1588" s="9" t="str">
        <f t="shared" ca="1" si="24"/>
        <v>Sin fecha</v>
      </c>
      <c r="J1588" s="11">
        <v>60</v>
      </c>
      <c r="K1588" s="11">
        <v>16</v>
      </c>
      <c r="L1588" s="12">
        <v>45778</v>
      </c>
      <c r="M1588" t="s">
        <v>20</v>
      </c>
    </row>
    <row r="1589" spans="1:13" ht="30">
      <c r="A1589" s="6" t="s">
        <v>2731</v>
      </c>
      <c r="B1589" s="7" t="s">
        <v>1511</v>
      </c>
      <c r="C1589" s="7" t="s">
        <v>2690</v>
      </c>
      <c r="D1589" s="6" t="s">
        <v>18</v>
      </c>
      <c r="E1589" s="7" t="s">
        <v>2286</v>
      </c>
      <c r="F1589" s="13"/>
      <c r="G1589" s="9">
        <f>IFERROR(VLOOKUP(D1589,Listas!$A$2:$B$20,2,FALSE()),999)</f>
        <v>1</v>
      </c>
      <c r="H1589" s="9" t="str">
        <f t="shared" ca="1" si="24"/>
        <v>Sin fecha</v>
      </c>
      <c r="J1589" s="11">
        <v>60</v>
      </c>
      <c r="K1589" s="11">
        <v>16</v>
      </c>
      <c r="L1589" s="12">
        <v>45778</v>
      </c>
      <c r="M1589" t="s">
        <v>20</v>
      </c>
    </row>
    <row r="1590" spans="1:13" ht="30">
      <c r="A1590" s="6" t="s">
        <v>2732</v>
      </c>
      <c r="B1590" s="7" t="s">
        <v>1511</v>
      </c>
      <c r="C1590" s="7" t="s">
        <v>2690</v>
      </c>
      <c r="D1590" s="6" t="s">
        <v>18</v>
      </c>
      <c r="E1590" s="7" t="s">
        <v>2286</v>
      </c>
      <c r="F1590" s="13"/>
      <c r="G1590" s="9">
        <f>IFERROR(VLOOKUP(D1590,Listas!$A$2:$B$20,2,FALSE()),999)</f>
        <v>1</v>
      </c>
      <c r="H1590" s="9" t="str">
        <f t="shared" ca="1" si="24"/>
        <v>Sin fecha</v>
      </c>
      <c r="J1590" s="11">
        <v>60</v>
      </c>
      <c r="K1590" s="11">
        <v>16</v>
      </c>
      <c r="L1590" s="12">
        <v>45778</v>
      </c>
      <c r="M1590" t="s">
        <v>20</v>
      </c>
    </row>
    <row r="1591" spans="1:13" ht="30">
      <c r="A1591" s="6" t="s">
        <v>2733</v>
      </c>
      <c r="B1591" s="7" t="s">
        <v>1511</v>
      </c>
      <c r="C1591" s="7" t="s">
        <v>2690</v>
      </c>
      <c r="D1591" s="6" t="s">
        <v>18</v>
      </c>
      <c r="E1591" s="7" t="s">
        <v>2734</v>
      </c>
      <c r="F1591" s="13"/>
      <c r="G1591" s="9">
        <f>IFERROR(VLOOKUP(D1591,Listas!$A$2:$B$20,2,FALSE()),999)</f>
        <v>1</v>
      </c>
      <c r="H1591" s="9" t="str">
        <f t="shared" ca="1" si="24"/>
        <v>Sin fecha</v>
      </c>
      <c r="J1591" s="11">
        <v>60</v>
      </c>
      <c r="K1591" s="11">
        <v>16</v>
      </c>
      <c r="L1591" s="12">
        <v>45778</v>
      </c>
      <c r="M1591" t="s">
        <v>20</v>
      </c>
    </row>
    <row r="1592" spans="1:13" ht="30">
      <c r="A1592" s="6" t="s">
        <v>2735</v>
      </c>
      <c r="B1592" s="7" t="s">
        <v>1511</v>
      </c>
      <c r="C1592" s="7" t="s">
        <v>2690</v>
      </c>
      <c r="D1592" s="6" t="s">
        <v>18</v>
      </c>
      <c r="E1592" s="7" t="s">
        <v>1543</v>
      </c>
      <c r="F1592" s="13"/>
      <c r="G1592" s="9">
        <f>IFERROR(VLOOKUP(D1592,Listas!$A$2:$B$20,2,FALSE()),999)</f>
        <v>1</v>
      </c>
      <c r="H1592" s="9" t="str">
        <f t="shared" ca="1" si="24"/>
        <v>Sin fecha</v>
      </c>
      <c r="J1592" s="11">
        <v>60</v>
      </c>
      <c r="K1592" s="11">
        <v>16</v>
      </c>
      <c r="L1592" s="12">
        <v>45778</v>
      </c>
      <c r="M1592" t="s">
        <v>20</v>
      </c>
    </row>
    <row r="1593" spans="1:13" ht="30">
      <c r="A1593" s="6" t="s">
        <v>2736</v>
      </c>
      <c r="B1593" s="7" t="s">
        <v>1511</v>
      </c>
      <c r="C1593" s="7" t="s">
        <v>2690</v>
      </c>
      <c r="D1593" s="6" t="s">
        <v>18</v>
      </c>
      <c r="E1593" s="7" t="s">
        <v>1525</v>
      </c>
      <c r="F1593" s="13"/>
      <c r="G1593" s="9">
        <f>IFERROR(VLOOKUP(D1593,Listas!$A$2:$B$20,2,FALSE()),999)</f>
        <v>1</v>
      </c>
      <c r="H1593" s="9" t="str">
        <f t="shared" ca="1" si="24"/>
        <v>Sin fecha</v>
      </c>
      <c r="J1593" s="11">
        <v>60</v>
      </c>
      <c r="K1593" s="11">
        <v>16</v>
      </c>
      <c r="L1593" s="12">
        <v>45778</v>
      </c>
      <c r="M1593" t="s">
        <v>20</v>
      </c>
    </row>
    <row r="1594" spans="1:13" ht="30">
      <c r="A1594" s="6" t="s">
        <v>2737</v>
      </c>
      <c r="B1594" s="7" t="s">
        <v>1511</v>
      </c>
      <c r="C1594" s="7" t="s">
        <v>2690</v>
      </c>
      <c r="D1594" s="6" t="s">
        <v>18</v>
      </c>
      <c r="E1594" s="7" t="s">
        <v>2738</v>
      </c>
      <c r="F1594" s="13"/>
      <c r="G1594" s="9">
        <f>IFERROR(VLOOKUP(D1594,Listas!$A$2:$B$20,2,FALSE()),999)</f>
        <v>1</v>
      </c>
      <c r="H1594" s="9" t="str">
        <f t="shared" ca="1" si="24"/>
        <v>Sin fecha</v>
      </c>
      <c r="J1594" s="11">
        <v>60</v>
      </c>
      <c r="K1594" s="11">
        <v>16</v>
      </c>
      <c r="L1594" s="12">
        <v>45778</v>
      </c>
      <c r="M1594" t="s">
        <v>20</v>
      </c>
    </row>
    <row r="1595" spans="1:13" ht="30">
      <c r="A1595" s="6" t="s">
        <v>2739</v>
      </c>
      <c r="B1595" s="7" t="s">
        <v>1511</v>
      </c>
      <c r="C1595" s="7" t="s">
        <v>2690</v>
      </c>
      <c r="D1595" s="6" t="s">
        <v>1467</v>
      </c>
      <c r="E1595" s="7" t="s">
        <v>1564</v>
      </c>
      <c r="F1595" s="13"/>
      <c r="G1595" s="9">
        <f>IFERROR(VLOOKUP(D1595,Listas!$A$2:$B$20,2,FALSE()),999)</f>
        <v>2</v>
      </c>
      <c r="H1595" s="9" t="str">
        <f t="shared" ca="1" si="24"/>
        <v>Sin fecha</v>
      </c>
      <c r="J1595" s="11">
        <v>60</v>
      </c>
      <c r="K1595" s="11">
        <v>16</v>
      </c>
      <c r="L1595" s="12">
        <v>45778</v>
      </c>
      <c r="M1595" t="s">
        <v>20</v>
      </c>
    </row>
    <row r="1596" spans="1:13" ht="30">
      <c r="A1596" s="6" t="s">
        <v>2740</v>
      </c>
      <c r="B1596" s="7" t="s">
        <v>1511</v>
      </c>
      <c r="C1596" s="7" t="s">
        <v>2690</v>
      </c>
      <c r="D1596" s="6" t="s">
        <v>18</v>
      </c>
      <c r="E1596" s="7" t="s">
        <v>1464</v>
      </c>
      <c r="F1596" s="13"/>
      <c r="G1596" s="9">
        <f>IFERROR(VLOOKUP(D1596,Listas!$A$2:$B$20,2,FALSE()),999)</f>
        <v>1</v>
      </c>
      <c r="H1596" s="9" t="str">
        <f t="shared" ca="1" si="24"/>
        <v>Sin fecha</v>
      </c>
      <c r="J1596" s="11">
        <v>60</v>
      </c>
      <c r="K1596" s="11">
        <v>16</v>
      </c>
      <c r="L1596" s="12">
        <v>45778</v>
      </c>
      <c r="M1596" t="s">
        <v>20</v>
      </c>
    </row>
    <row r="1597" spans="1:13" ht="30">
      <c r="A1597" s="6" t="s">
        <v>2741</v>
      </c>
      <c r="B1597" s="7" t="s">
        <v>1511</v>
      </c>
      <c r="C1597" s="7" t="s">
        <v>2690</v>
      </c>
      <c r="D1597" s="6" t="s">
        <v>18</v>
      </c>
      <c r="E1597" s="7" t="s">
        <v>2621</v>
      </c>
      <c r="F1597" s="13"/>
      <c r="G1597" s="9">
        <f>IFERROR(VLOOKUP(D1597,Listas!$A$2:$B$20,2,FALSE()),999)</f>
        <v>1</v>
      </c>
      <c r="H1597" s="9" t="str">
        <f t="shared" ca="1" si="24"/>
        <v>Sin fecha</v>
      </c>
      <c r="J1597" s="11">
        <v>60</v>
      </c>
      <c r="K1597" s="11">
        <v>16</v>
      </c>
      <c r="L1597" s="12">
        <v>45778</v>
      </c>
      <c r="M1597" t="s">
        <v>20</v>
      </c>
    </row>
    <row r="1598" spans="1:13" ht="30">
      <c r="A1598" s="6" t="s">
        <v>2742</v>
      </c>
      <c r="B1598" s="7" t="s">
        <v>1511</v>
      </c>
      <c r="C1598" s="7" t="s">
        <v>2690</v>
      </c>
      <c r="D1598" s="6" t="s">
        <v>1467</v>
      </c>
      <c r="E1598" s="7" t="s">
        <v>1535</v>
      </c>
      <c r="F1598" s="13"/>
      <c r="G1598" s="9">
        <f>IFERROR(VLOOKUP(D1598,Listas!$A$2:$B$20,2,FALSE()),999)</f>
        <v>2</v>
      </c>
      <c r="H1598" s="9" t="str">
        <f t="shared" ca="1" si="24"/>
        <v>Sin fecha</v>
      </c>
      <c r="J1598" s="11">
        <v>60</v>
      </c>
      <c r="K1598" s="11">
        <v>16</v>
      </c>
      <c r="L1598" s="12">
        <v>45778</v>
      </c>
      <c r="M1598" t="s">
        <v>20</v>
      </c>
    </row>
    <row r="1599" spans="1:13" ht="30">
      <c r="A1599" s="6" t="s">
        <v>2743</v>
      </c>
      <c r="B1599" s="7" t="s">
        <v>1511</v>
      </c>
      <c r="C1599" s="7" t="s">
        <v>2690</v>
      </c>
      <c r="D1599" s="6" t="s">
        <v>18</v>
      </c>
      <c r="E1599" s="7" t="s">
        <v>1521</v>
      </c>
      <c r="F1599" s="13"/>
      <c r="G1599" s="9">
        <f>IFERROR(VLOOKUP(D1599,Listas!$A$2:$B$20,2,FALSE()),999)</f>
        <v>1</v>
      </c>
      <c r="H1599" s="9" t="str">
        <f t="shared" ca="1" si="24"/>
        <v>Sin fecha</v>
      </c>
      <c r="J1599" s="11">
        <v>60</v>
      </c>
      <c r="K1599" s="11">
        <v>16</v>
      </c>
      <c r="L1599" s="12">
        <v>45778</v>
      </c>
      <c r="M1599" t="s">
        <v>20</v>
      </c>
    </row>
    <row r="1600" spans="1:13" ht="30">
      <c r="A1600" s="6" t="s">
        <v>2744</v>
      </c>
      <c r="B1600" s="7" t="s">
        <v>1511</v>
      </c>
      <c r="C1600" s="7" t="s">
        <v>2690</v>
      </c>
      <c r="D1600" s="6" t="s">
        <v>18</v>
      </c>
      <c r="E1600" s="7" t="s">
        <v>1959</v>
      </c>
      <c r="F1600" s="13"/>
      <c r="G1600" s="9">
        <f>IFERROR(VLOOKUP(D1600,Listas!$A$2:$B$20,2,FALSE()),999)</f>
        <v>1</v>
      </c>
      <c r="H1600" s="9" t="str">
        <f t="shared" ca="1" si="24"/>
        <v>Sin fecha</v>
      </c>
      <c r="J1600" s="11">
        <v>60</v>
      </c>
      <c r="K1600" s="11">
        <v>16</v>
      </c>
      <c r="L1600" s="12">
        <v>45778</v>
      </c>
      <c r="M1600" t="s">
        <v>20</v>
      </c>
    </row>
    <row r="1601" spans="1:13" ht="30">
      <c r="A1601" s="6" t="s">
        <v>2745</v>
      </c>
      <c r="B1601" s="7" t="s">
        <v>1511</v>
      </c>
      <c r="C1601" s="7" t="s">
        <v>2690</v>
      </c>
      <c r="D1601" s="6" t="s">
        <v>18</v>
      </c>
      <c r="E1601" s="7" t="s">
        <v>1601</v>
      </c>
      <c r="F1601" s="13"/>
      <c r="G1601" s="9">
        <f>IFERROR(VLOOKUP(D1601,Listas!$A$2:$B$20,2,FALSE()),999)</f>
        <v>1</v>
      </c>
      <c r="H1601" s="9" t="str">
        <f t="shared" ca="1" si="24"/>
        <v>Sin fecha</v>
      </c>
      <c r="J1601" s="11">
        <v>60</v>
      </c>
      <c r="K1601" s="11">
        <v>16</v>
      </c>
      <c r="L1601" s="12">
        <v>45778</v>
      </c>
      <c r="M1601" t="s">
        <v>20</v>
      </c>
    </row>
    <row r="1602" spans="1:13" ht="30">
      <c r="A1602" s="6" t="s">
        <v>2746</v>
      </c>
      <c r="B1602" s="7" t="s">
        <v>1511</v>
      </c>
      <c r="C1602" s="7" t="s">
        <v>2690</v>
      </c>
      <c r="D1602" s="6" t="s">
        <v>18</v>
      </c>
      <c r="E1602" s="7" t="s">
        <v>2747</v>
      </c>
      <c r="F1602" s="13"/>
      <c r="G1602" s="9">
        <f>IFERROR(VLOOKUP(D1602,Listas!$A$2:$B$20,2,FALSE()),999)</f>
        <v>1</v>
      </c>
      <c r="H1602" s="9" t="str">
        <f t="shared" ca="1" si="24"/>
        <v>Sin fecha</v>
      </c>
      <c r="J1602" s="11">
        <v>60</v>
      </c>
      <c r="K1602" s="11">
        <v>16</v>
      </c>
      <c r="L1602" s="12">
        <v>45778</v>
      </c>
      <c r="M1602" t="s">
        <v>20</v>
      </c>
    </row>
    <row r="1603" spans="1:13" ht="180">
      <c r="A1603" s="6" t="s">
        <v>2748</v>
      </c>
      <c r="B1603" s="7" t="s">
        <v>1412</v>
      </c>
      <c r="C1603" s="7" t="s">
        <v>2749</v>
      </c>
      <c r="D1603" s="6" t="s">
        <v>1467</v>
      </c>
      <c r="E1603" s="7" t="s">
        <v>1936</v>
      </c>
      <c r="F1603" s="13"/>
      <c r="G1603" s="9">
        <f>IFERROR(VLOOKUP(D1603,Listas!$A$2:$B$20,2,FALSE()),999)</f>
        <v>2</v>
      </c>
      <c r="H1603" s="9" t="str">
        <f t="shared" ca="1" si="24"/>
        <v>Sin fecha</v>
      </c>
      <c r="J1603" s="11">
        <v>60</v>
      </c>
      <c r="K1603" s="11">
        <v>14</v>
      </c>
      <c r="L1603" s="12">
        <v>45839</v>
      </c>
      <c r="M1603" t="s">
        <v>20</v>
      </c>
    </row>
    <row r="1604" spans="1:13" ht="180">
      <c r="A1604" s="6" t="s">
        <v>2750</v>
      </c>
      <c r="B1604" s="7" t="s">
        <v>1412</v>
      </c>
      <c r="C1604" s="7" t="s">
        <v>2749</v>
      </c>
      <c r="D1604" s="6" t="s">
        <v>1467</v>
      </c>
      <c r="E1604" s="7" t="s">
        <v>1936</v>
      </c>
      <c r="F1604" s="13"/>
      <c r="G1604" s="9">
        <f>IFERROR(VLOOKUP(D1604,Listas!$A$2:$B$20,2,FALSE()),999)</f>
        <v>2</v>
      </c>
      <c r="H1604" s="9" t="str">
        <f t="shared" ca="1" si="24"/>
        <v>Sin fecha</v>
      </c>
      <c r="J1604" s="11">
        <v>60</v>
      </c>
      <c r="K1604" s="11">
        <v>14</v>
      </c>
      <c r="L1604" s="12">
        <v>45839</v>
      </c>
      <c r="M1604" t="s">
        <v>20</v>
      </c>
    </row>
    <row r="1605" spans="1:13" ht="165">
      <c r="A1605" s="6" t="s">
        <v>2751</v>
      </c>
      <c r="B1605" s="7" t="s">
        <v>1412</v>
      </c>
      <c r="C1605" s="7" t="s">
        <v>2752</v>
      </c>
      <c r="D1605" s="6" t="s">
        <v>1467</v>
      </c>
      <c r="E1605" s="7" t="s">
        <v>1936</v>
      </c>
      <c r="F1605" s="13"/>
      <c r="G1605" s="9">
        <f>IFERROR(VLOOKUP(D1605,Listas!$A$2:$B$20,2,FALSE()),999)</f>
        <v>2</v>
      </c>
      <c r="H1605" s="9" t="str">
        <f t="shared" ref="H1605:H1668" ca="1" si="25">IF(F1605="","Sin fecha",IF(TODAY()-F1605&gt;180,"Revisar",IF(TODAY()-F1605&gt;90,"Próximo","Vigente")))</f>
        <v>Sin fecha</v>
      </c>
      <c r="J1605" s="11">
        <v>60</v>
      </c>
      <c r="K1605" s="11">
        <v>14</v>
      </c>
      <c r="L1605" s="12">
        <v>45839</v>
      </c>
      <c r="M1605" t="s">
        <v>20</v>
      </c>
    </row>
    <row r="1606" spans="1:13" ht="165">
      <c r="A1606" s="6" t="s">
        <v>2753</v>
      </c>
      <c r="B1606" s="7" t="s">
        <v>1412</v>
      </c>
      <c r="C1606" s="7" t="s">
        <v>2752</v>
      </c>
      <c r="D1606" s="6" t="s">
        <v>1467</v>
      </c>
      <c r="E1606" s="7" t="s">
        <v>1936</v>
      </c>
      <c r="F1606" s="13"/>
      <c r="G1606" s="9">
        <f>IFERROR(VLOOKUP(D1606,Listas!$A$2:$B$20,2,FALSE()),999)</f>
        <v>2</v>
      </c>
      <c r="H1606" s="9" t="str">
        <f t="shared" ca="1" si="25"/>
        <v>Sin fecha</v>
      </c>
      <c r="J1606" s="11">
        <v>60</v>
      </c>
      <c r="K1606" s="11">
        <v>14</v>
      </c>
      <c r="L1606" s="12">
        <v>45839</v>
      </c>
      <c r="M1606" t="s">
        <v>20</v>
      </c>
    </row>
    <row r="1607" spans="1:13">
      <c r="A1607" s="6" t="s">
        <v>2754</v>
      </c>
      <c r="B1607" s="7" t="s">
        <v>1511</v>
      </c>
      <c r="C1607" s="7" t="s">
        <v>2755</v>
      </c>
      <c r="D1607" s="6" t="s">
        <v>1467</v>
      </c>
      <c r="E1607" s="7" t="s">
        <v>1513</v>
      </c>
      <c r="F1607" s="13"/>
      <c r="G1607" s="9">
        <f>IFERROR(VLOOKUP(D1607,Listas!$A$2:$B$20,2,FALSE()),999)</f>
        <v>2</v>
      </c>
      <c r="H1607" s="9" t="str">
        <f t="shared" ca="1" si="25"/>
        <v>Sin fecha</v>
      </c>
      <c r="J1607" s="11">
        <v>60</v>
      </c>
      <c r="K1607" s="11">
        <v>14</v>
      </c>
      <c r="L1607" s="12">
        <v>45839</v>
      </c>
      <c r="M1607" t="s">
        <v>20</v>
      </c>
    </row>
    <row r="1608" spans="1:13" ht="285">
      <c r="A1608" s="6" t="s">
        <v>2756</v>
      </c>
      <c r="B1608" s="7" t="s">
        <v>1511</v>
      </c>
      <c r="C1608" s="7" t="s">
        <v>2757</v>
      </c>
      <c r="D1608" s="6" t="s">
        <v>18</v>
      </c>
      <c r="E1608" s="7" t="s">
        <v>2363</v>
      </c>
      <c r="F1608" s="13"/>
      <c r="G1608" s="9">
        <f>IFERROR(VLOOKUP(D1608,Listas!$A$2:$B$20,2,FALSE()),999)</f>
        <v>1</v>
      </c>
      <c r="H1608" s="9" t="str">
        <f t="shared" ca="1" si="25"/>
        <v>Sin fecha</v>
      </c>
      <c r="J1608" s="11">
        <v>60</v>
      </c>
      <c r="K1608" s="11">
        <v>11</v>
      </c>
      <c r="L1608" s="12">
        <v>45931</v>
      </c>
      <c r="M1608" t="s">
        <v>20</v>
      </c>
    </row>
    <row r="1609" spans="1:13" ht="285">
      <c r="A1609" s="6" t="s">
        <v>2758</v>
      </c>
      <c r="B1609" s="7" t="s">
        <v>1511</v>
      </c>
      <c r="C1609" s="7" t="s">
        <v>2757</v>
      </c>
      <c r="D1609" s="6" t="s">
        <v>18</v>
      </c>
      <c r="E1609" s="7" t="s">
        <v>1519</v>
      </c>
      <c r="F1609" s="13"/>
      <c r="G1609" s="9">
        <f>IFERROR(VLOOKUP(D1609,Listas!$A$2:$B$20,2,FALSE()),999)</f>
        <v>1</v>
      </c>
      <c r="H1609" s="9" t="str">
        <f t="shared" ca="1" si="25"/>
        <v>Sin fecha</v>
      </c>
      <c r="J1609" s="11">
        <v>60</v>
      </c>
      <c r="K1609" s="11">
        <v>11</v>
      </c>
      <c r="L1609" s="12">
        <v>45931</v>
      </c>
      <c r="M1609" t="s">
        <v>20</v>
      </c>
    </row>
    <row r="1610" spans="1:13" ht="285">
      <c r="A1610" s="6" t="s">
        <v>2759</v>
      </c>
      <c r="B1610" s="7" t="s">
        <v>1511</v>
      </c>
      <c r="C1610" s="7" t="s">
        <v>2757</v>
      </c>
      <c r="D1610" s="6" t="s">
        <v>18</v>
      </c>
      <c r="E1610" s="7" t="s">
        <v>1701</v>
      </c>
      <c r="F1610" s="13"/>
      <c r="G1610" s="9">
        <f>IFERROR(VLOOKUP(D1610,Listas!$A$2:$B$20,2,FALSE()),999)</f>
        <v>1</v>
      </c>
      <c r="H1610" s="9" t="str">
        <f t="shared" ca="1" si="25"/>
        <v>Sin fecha</v>
      </c>
      <c r="J1610" s="11">
        <v>60</v>
      </c>
      <c r="K1610" s="11">
        <v>11</v>
      </c>
      <c r="L1610" s="12">
        <v>45931</v>
      </c>
      <c r="M1610" t="s">
        <v>20</v>
      </c>
    </row>
    <row r="1611" spans="1:13" ht="285">
      <c r="A1611" s="6" t="s">
        <v>2760</v>
      </c>
      <c r="B1611" s="7" t="s">
        <v>1511</v>
      </c>
      <c r="C1611" s="7" t="s">
        <v>2757</v>
      </c>
      <c r="D1611" s="6" t="s">
        <v>18</v>
      </c>
      <c r="E1611" s="7" t="s">
        <v>1519</v>
      </c>
      <c r="F1611" s="13"/>
      <c r="G1611" s="9">
        <f>IFERROR(VLOOKUP(D1611,Listas!$A$2:$B$20,2,FALSE()),999)</f>
        <v>1</v>
      </c>
      <c r="H1611" s="9" t="str">
        <f t="shared" ca="1" si="25"/>
        <v>Sin fecha</v>
      </c>
      <c r="J1611" s="11">
        <v>60</v>
      </c>
      <c r="K1611" s="11">
        <v>11</v>
      </c>
      <c r="L1611" s="12">
        <v>45931</v>
      </c>
      <c r="M1611" t="s">
        <v>20</v>
      </c>
    </row>
    <row r="1612" spans="1:13" ht="150">
      <c r="A1612" s="6" t="s">
        <v>2761</v>
      </c>
      <c r="B1612" s="7" t="s">
        <v>1511</v>
      </c>
      <c r="C1612" s="7" t="s">
        <v>2762</v>
      </c>
      <c r="D1612" s="6" t="s">
        <v>1467</v>
      </c>
      <c r="E1612" s="7" t="s">
        <v>1468</v>
      </c>
      <c r="F1612" s="13"/>
      <c r="G1612" s="9">
        <f>IFERROR(VLOOKUP(D1612,Listas!$A$2:$B$20,2,FALSE()),999)</f>
        <v>2</v>
      </c>
      <c r="H1612" s="9" t="str">
        <f t="shared" ca="1" si="25"/>
        <v>Sin fecha</v>
      </c>
      <c r="J1612" s="11">
        <v>60</v>
      </c>
      <c r="K1612" s="11">
        <v>17</v>
      </c>
      <c r="L1612" s="12">
        <v>45748</v>
      </c>
      <c r="M1612" t="s">
        <v>20</v>
      </c>
    </row>
    <row r="1613" spans="1:13" ht="255">
      <c r="A1613" s="6" t="s">
        <v>2763</v>
      </c>
      <c r="B1613" s="7" t="s">
        <v>1511</v>
      </c>
      <c r="C1613" s="7" t="s">
        <v>2764</v>
      </c>
      <c r="D1613" s="6" t="s">
        <v>18</v>
      </c>
      <c r="E1613" s="7" t="s">
        <v>1603</v>
      </c>
      <c r="F1613" s="13"/>
      <c r="G1613" s="9">
        <f>IFERROR(VLOOKUP(D1613,Listas!$A$2:$B$20,2,FALSE()),999)</f>
        <v>1</v>
      </c>
      <c r="H1613" s="9" t="str">
        <f t="shared" ca="1" si="25"/>
        <v>Sin fecha</v>
      </c>
      <c r="J1613" s="11">
        <v>60</v>
      </c>
      <c r="K1613" s="11">
        <v>14</v>
      </c>
      <c r="L1613" s="12">
        <v>45839</v>
      </c>
      <c r="M1613" t="s">
        <v>20</v>
      </c>
    </row>
    <row r="1614" spans="1:13" ht="255">
      <c r="A1614" s="6" t="s">
        <v>2765</v>
      </c>
      <c r="B1614" s="7" t="s">
        <v>1511</v>
      </c>
      <c r="C1614" s="7" t="s">
        <v>2764</v>
      </c>
      <c r="D1614" s="6" t="s">
        <v>18</v>
      </c>
      <c r="E1614" s="7" t="s">
        <v>1603</v>
      </c>
      <c r="F1614" s="13"/>
      <c r="G1614" s="9">
        <f>IFERROR(VLOOKUP(D1614,Listas!$A$2:$B$20,2,FALSE()),999)</f>
        <v>1</v>
      </c>
      <c r="H1614" s="9" t="str">
        <f t="shared" ca="1" si="25"/>
        <v>Sin fecha</v>
      </c>
      <c r="J1614" s="11">
        <v>60</v>
      </c>
      <c r="K1614" s="11">
        <v>14</v>
      </c>
      <c r="L1614" s="12">
        <v>45839</v>
      </c>
      <c r="M1614" t="s">
        <v>20</v>
      </c>
    </row>
    <row r="1615" spans="1:13" ht="255">
      <c r="A1615" s="6" t="s">
        <v>2766</v>
      </c>
      <c r="B1615" s="7" t="s">
        <v>1511</v>
      </c>
      <c r="C1615" s="7" t="s">
        <v>2764</v>
      </c>
      <c r="D1615" s="6" t="s">
        <v>18</v>
      </c>
      <c r="E1615" s="7" t="s">
        <v>1603</v>
      </c>
      <c r="F1615" s="13"/>
      <c r="G1615" s="9">
        <f>IFERROR(VLOOKUP(D1615,Listas!$A$2:$B$20,2,FALSE()),999)</f>
        <v>1</v>
      </c>
      <c r="H1615" s="9" t="str">
        <f t="shared" ca="1" si="25"/>
        <v>Sin fecha</v>
      </c>
      <c r="J1615" s="11">
        <v>60</v>
      </c>
      <c r="K1615" s="11">
        <v>14</v>
      </c>
      <c r="L1615" s="12">
        <v>45839</v>
      </c>
      <c r="M1615" t="s">
        <v>20</v>
      </c>
    </row>
    <row r="1616" spans="1:13" ht="255">
      <c r="A1616" s="6" t="s">
        <v>2767</v>
      </c>
      <c r="B1616" s="7" t="s">
        <v>1511</v>
      </c>
      <c r="C1616" s="7" t="s">
        <v>2764</v>
      </c>
      <c r="D1616" s="6" t="s">
        <v>18</v>
      </c>
      <c r="E1616" s="7" t="s">
        <v>1603</v>
      </c>
      <c r="F1616" s="13"/>
      <c r="G1616" s="9">
        <f>IFERROR(VLOOKUP(D1616,Listas!$A$2:$B$20,2,FALSE()),999)</f>
        <v>1</v>
      </c>
      <c r="H1616" s="9" t="str">
        <f t="shared" ca="1" si="25"/>
        <v>Sin fecha</v>
      </c>
      <c r="J1616" s="11">
        <v>60</v>
      </c>
      <c r="K1616" s="11">
        <v>14</v>
      </c>
      <c r="L1616" s="12">
        <v>45839</v>
      </c>
      <c r="M1616" t="s">
        <v>20</v>
      </c>
    </row>
    <row r="1617" spans="1:13" ht="255">
      <c r="A1617" s="6" t="s">
        <v>2768</v>
      </c>
      <c r="B1617" s="7" t="s">
        <v>1511</v>
      </c>
      <c r="C1617" s="7" t="s">
        <v>2764</v>
      </c>
      <c r="D1617" s="6" t="s">
        <v>18</v>
      </c>
      <c r="E1617" s="7" t="s">
        <v>1603</v>
      </c>
      <c r="F1617" s="13"/>
      <c r="G1617" s="9">
        <f>IFERROR(VLOOKUP(D1617,Listas!$A$2:$B$20,2,FALSE()),999)</f>
        <v>1</v>
      </c>
      <c r="H1617" s="9" t="str">
        <f t="shared" ca="1" si="25"/>
        <v>Sin fecha</v>
      </c>
      <c r="J1617" s="11">
        <v>60</v>
      </c>
      <c r="K1617" s="11">
        <v>14</v>
      </c>
      <c r="L1617" s="12">
        <v>45839</v>
      </c>
      <c r="M1617" t="s">
        <v>20</v>
      </c>
    </row>
    <row r="1618" spans="1:13" ht="255">
      <c r="A1618" s="6" t="s">
        <v>2769</v>
      </c>
      <c r="B1618" s="7" t="s">
        <v>1511</v>
      </c>
      <c r="C1618" s="7" t="s">
        <v>2764</v>
      </c>
      <c r="D1618" s="6" t="s">
        <v>18</v>
      </c>
      <c r="E1618" s="7" t="s">
        <v>1603</v>
      </c>
      <c r="F1618" s="13"/>
      <c r="G1618" s="9">
        <f>IFERROR(VLOOKUP(D1618,Listas!$A$2:$B$20,2,FALSE()),999)</f>
        <v>1</v>
      </c>
      <c r="H1618" s="9" t="str">
        <f t="shared" ca="1" si="25"/>
        <v>Sin fecha</v>
      </c>
      <c r="J1618" s="11">
        <v>60</v>
      </c>
      <c r="K1618" s="11">
        <v>14</v>
      </c>
      <c r="L1618" s="12">
        <v>45839</v>
      </c>
      <c r="M1618" t="s">
        <v>20</v>
      </c>
    </row>
    <row r="1619" spans="1:13" ht="255">
      <c r="A1619" s="6" t="s">
        <v>2770</v>
      </c>
      <c r="B1619" s="7" t="s">
        <v>1511</v>
      </c>
      <c r="C1619" s="7" t="s">
        <v>2764</v>
      </c>
      <c r="D1619" s="6" t="s">
        <v>18</v>
      </c>
      <c r="E1619" s="7" t="s">
        <v>1603</v>
      </c>
      <c r="F1619" s="13"/>
      <c r="G1619" s="9">
        <f>IFERROR(VLOOKUP(D1619,Listas!$A$2:$B$20,2,FALSE()),999)</f>
        <v>1</v>
      </c>
      <c r="H1619" s="9" t="str">
        <f t="shared" ca="1" si="25"/>
        <v>Sin fecha</v>
      </c>
      <c r="J1619" s="11">
        <v>60</v>
      </c>
      <c r="K1619" s="11">
        <v>14</v>
      </c>
      <c r="L1619" s="12">
        <v>45839</v>
      </c>
      <c r="M1619" t="s">
        <v>20</v>
      </c>
    </row>
    <row r="1620" spans="1:13" ht="255">
      <c r="A1620" s="6" t="s">
        <v>2771</v>
      </c>
      <c r="B1620" s="7" t="s">
        <v>1511</v>
      </c>
      <c r="C1620" s="7" t="s">
        <v>2764</v>
      </c>
      <c r="D1620" s="6" t="s">
        <v>18</v>
      </c>
      <c r="E1620" s="7" t="s">
        <v>1603</v>
      </c>
      <c r="F1620" s="13"/>
      <c r="G1620" s="9">
        <f>IFERROR(VLOOKUP(D1620,Listas!$A$2:$B$20,2,FALSE()),999)</f>
        <v>1</v>
      </c>
      <c r="H1620" s="9" t="str">
        <f t="shared" ca="1" si="25"/>
        <v>Sin fecha</v>
      </c>
      <c r="J1620" s="11">
        <v>60</v>
      </c>
      <c r="K1620" s="11">
        <v>14</v>
      </c>
      <c r="L1620" s="12">
        <v>45839</v>
      </c>
      <c r="M1620" t="s">
        <v>20</v>
      </c>
    </row>
    <row r="1621" spans="1:13" ht="255">
      <c r="A1621" s="6" t="s">
        <v>2772</v>
      </c>
      <c r="B1621" s="7" t="s">
        <v>1511</v>
      </c>
      <c r="C1621" s="7" t="s">
        <v>2764</v>
      </c>
      <c r="D1621" s="6" t="s">
        <v>18</v>
      </c>
      <c r="E1621" s="7" t="s">
        <v>1603</v>
      </c>
      <c r="F1621" s="13"/>
      <c r="G1621" s="9">
        <f>IFERROR(VLOOKUP(D1621,Listas!$A$2:$B$20,2,FALSE()),999)</f>
        <v>1</v>
      </c>
      <c r="H1621" s="9" t="str">
        <f t="shared" ca="1" si="25"/>
        <v>Sin fecha</v>
      </c>
      <c r="J1621" s="11">
        <v>60</v>
      </c>
      <c r="K1621" s="11">
        <v>14</v>
      </c>
      <c r="L1621" s="12">
        <v>45839</v>
      </c>
      <c r="M1621" t="s">
        <v>20</v>
      </c>
    </row>
    <row r="1622" spans="1:13" ht="255">
      <c r="A1622" s="6" t="s">
        <v>2773</v>
      </c>
      <c r="B1622" s="7" t="s">
        <v>1511</v>
      </c>
      <c r="C1622" s="7" t="s">
        <v>2764</v>
      </c>
      <c r="D1622" s="6" t="s">
        <v>18</v>
      </c>
      <c r="E1622" s="7" t="s">
        <v>1603</v>
      </c>
      <c r="F1622" s="13"/>
      <c r="G1622" s="9">
        <f>IFERROR(VLOOKUP(D1622,Listas!$A$2:$B$20,2,FALSE()),999)</f>
        <v>1</v>
      </c>
      <c r="H1622" s="9" t="str">
        <f t="shared" ca="1" si="25"/>
        <v>Sin fecha</v>
      </c>
      <c r="J1622" s="11">
        <v>60</v>
      </c>
      <c r="K1622" s="11">
        <v>14</v>
      </c>
      <c r="L1622" s="12">
        <v>45839</v>
      </c>
      <c r="M1622" t="s">
        <v>20</v>
      </c>
    </row>
    <row r="1623" spans="1:13" ht="60">
      <c r="A1623" s="6" t="s">
        <v>2774</v>
      </c>
      <c r="B1623" s="7" t="s">
        <v>1511</v>
      </c>
      <c r="C1623" s="7" t="s">
        <v>2775</v>
      </c>
      <c r="D1623" s="6" t="s">
        <v>1467</v>
      </c>
      <c r="E1623" s="7" t="s">
        <v>1920</v>
      </c>
      <c r="F1623" s="13"/>
      <c r="G1623" s="9">
        <f>IFERROR(VLOOKUP(D1623,Listas!$A$2:$B$20,2,FALSE()),999)</f>
        <v>2</v>
      </c>
      <c r="H1623" s="9" t="str">
        <f t="shared" ca="1" si="25"/>
        <v>Sin fecha</v>
      </c>
      <c r="J1623" s="11">
        <v>60</v>
      </c>
      <c r="K1623" s="11">
        <v>13</v>
      </c>
      <c r="L1623" s="12">
        <v>45870</v>
      </c>
      <c r="M1623" t="s">
        <v>20</v>
      </c>
    </row>
    <row r="1624" spans="1:13" ht="150">
      <c r="A1624" s="6" t="s">
        <v>2776</v>
      </c>
      <c r="B1624" s="7" t="s">
        <v>1511</v>
      </c>
      <c r="C1624" s="7" t="s">
        <v>2777</v>
      </c>
      <c r="D1624" s="6" t="s">
        <v>18</v>
      </c>
      <c r="E1624" s="7" t="s">
        <v>1485</v>
      </c>
      <c r="F1624" s="13"/>
      <c r="G1624" s="9">
        <f>IFERROR(VLOOKUP(D1624,Listas!$A$2:$B$20,2,FALSE()),999)</f>
        <v>1</v>
      </c>
      <c r="H1624" s="9" t="str">
        <f t="shared" ca="1" si="25"/>
        <v>Sin fecha</v>
      </c>
      <c r="J1624" s="11">
        <v>60</v>
      </c>
      <c r="K1624" s="11">
        <v>13</v>
      </c>
      <c r="L1624" s="12">
        <v>45870</v>
      </c>
      <c r="M1624" t="s">
        <v>20</v>
      </c>
    </row>
    <row r="1625" spans="1:13" ht="195">
      <c r="A1625" s="6" t="s">
        <v>2778</v>
      </c>
      <c r="B1625" s="7" t="s">
        <v>1511</v>
      </c>
      <c r="C1625" s="7" t="s">
        <v>2779</v>
      </c>
      <c r="D1625" s="6" t="s">
        <v>1467</v>
      </c>
      <c r="E1625" s="7" t="s">
        <v>1561</v>
      </c>
      <c r="F1625" s="13"/>
      <c r="G1625" s="9">
        <f>IFERROR(VLOOKUP(D1625,Listas!$A$2:$B$20,2,FALSE()),999)</f>
        <v>2</v>
      </c>
      <c r="H1625" s="9" t="str">
        <f t="shared" ca="1" si="25"/>
        <v>Sin fecha</v>
      </c>
      <c r="J1625" s="11">
        <v>60</v>
      </c>
      <c r="K1625" s="11">
        <v>13</v>
      </c>
      <c r="L1625" s="12">
        <v>45870</v>
      </c>
      <c r="M1625" t="s">
        <v>20</v>
      </c>
    </row>
    <row r="1626" spans="1:13" ht="409.5">
      <c r="A1626" s="6" t="s">
        <v>2780</v>
      </c>
      <c r="B1626" s="7" t="s">
        <v>1511</v>
      </c>
      <c r="C1626" s="7" t="s">
        <v>2781</v>
      </c>
      <c r="D1626" s="6"/>
      <c r="E1626" s="7" t="s">
        <v>2782</v>
      </c>
      <c r="F1626" s="13"/>
      <c r="G1626" s="9">
        <f>IFERROR(VLOOKUP(D1626,Listas!$A$2:$B$20,2,FALSE()),999)</f>
        <v>999</v>
      </c>
      <c r="H1626" s="9" t="str">
        <f t="shared" ca="1" si="25"/>
        <v>Sin fecha</v>
      </c>
      <c r="J1626" s="11">
        <v>60</v>
      </c>
      <c r="K1626" s="11">
        <v>9</v>
      </c>
      <c r="L1626" s="12">
        <v>45992</v>
      </c>
      <c r="M1626" t="s">
        <v>20</v>
      </c>
    </row>
    <row r="1627" spans="1:13" ht="409.5">
      <c r="A1627" s="6" t="s">
        <v>2783</v>
      </c>
      <c r="B1627" s="7" t="s">
        <v>1511</v>
      </c>
      <c r="C1627" s="7" t="s">
        <v>2781</v>
      </c>
      <c r="D1627" s="6" t="s">
        <v>18</v>
      </c>
      <c r="E1627" s="7" t="s">
        <v>2621</v>
      </c>
      <c r="F1627" s="13"/>
      <c r="G1627" s="9">
        <f>IFERROR(VLOOKUP(D1627,Listas!$A$2:$B$20,2,FALSE()),999)</f>
        <v>1</v>
      </c>
      <c r="H1627" s="9" t="str">
        <f t="shared" ca="1" si="25"/>
        <v>Sin fecha</v>
      </c>
      <c r="J1627" s="11">
        <v>60</v>
      </c>
      <c r="K1627" s="11">
        <v>9</v>
      </c>
      <c r="L1627" s="12">
        <v>45992</v>
      </c>
      <c r="M1627" t="s">
        <v>20</v>
      </c>
    </row>
    <row r="1628" spans="1:13" ht="409.5">
      <c r="A1628" s="6" t="s">
        <v>2784</v>
      </c>
      <c r="B1628" s="7" t="s">
        <v>1511</v>
      </c>
      <c r="C1628" s="7" t="s">
        <v>2781</v>
      </c>
      <c r="D1628" s="6" t="s">
        <v>18</v>
      </c>
      <c r="E1628" s="7" t="s">
        <v>2621</v>
      </c>
      <c r="F1628" s="13"/>
      <c r="G1628" s="9">
        <f>IFERROR(VLOOKUP(D1628,Listas!$A$2:$B$20,2,FALSE()),999)</f>
        <v>1</v>
      </c>
      <c r="H1628" s="9" t="str">
        <f t="shared" ca="1" si="25"/>
        <v>Sin fecha</v>
      </c>
      <c r="J1628" s="11">
        <v>60</v>
      </c>
      <c r="K1628" s="11">
        <v>9</v>
      </c>
      <c r="L1628" s="12">
        <v>45992</v>
      </c>
      <c r="M1628" t="s">
        <v>20</v>
      </c>
    </row>
    <row r="1629" spans="1:13" ht="409.5">
      <c r="A1629" s="6" t="s">
        <v>2785</v>
      </c>
      <c r="B1629" s="7" t="s">
        <v>1511</v>
      </c>
      <c r="C1629" s="7" t="s">
        <v>2781</v>
      </c>
      <c r="D1629" s="6"/>
      <c r="E1629" s="7" t="s">
        <v>2782</v>
      </c>
      <c r="F1629" s="13"/>
      <c r="G1629" s="9">
        <f>IFERROR(VLOOKUP(D1629,Listas!$A$2:$B$20,2,FALSE()),999)</f>
        <v>999</v>
      </c>
      <c r="H1629" s="9" t="str">
        <f t="shared" ca="1" si="25"/>
        <v>Sin fecha</v>
      </c>
      <c r="J1629" s="11">
        <v>60</v>
      </c>
      <c r="K1629" s="11">
        <v>9</v>
      </c>
      <c r="L1629" s="12">
        <v>45992</v>
      </c>
      <c r="M1629" t="s">
        <v>20</v>
      </c>
    </row>
    <row r="1630" spans="1:13" ht="409.5">
      <c r="A1630" s="6" t="s">
        <v>2786</v>
      </c>
      <c r="B1630" s="7" t="s">
        <v>1511</v>
      </c>
      <c r="C1630" s="7" t="s">
        <v>2781</v>
      </c>
      <c r="D1630" s="6"/>
      <c r="E1630" s="7" t="s">
        <v>2782</v>
      </c>
      <c r="F1630" s="13"/>
      <c r="G1630" s="9">
        <f>IFERROR(VLOOKUP(D1630,Listas!$A$2:$B$20,2,FALSE()),999)</f>
        <v>999</v>
      </c>
      <c r="H1630" s="9" t="str">
        <f t="shared" ca="1" si="25"/>
        <v>Sin fecha</v>
      </c>
      <c r="J1630" s="11">
        <v>60</v>
      </c>
      <c r="K1630" s="11">
        <v>9</v>
      </c>
      <c r="L1630" s="12">
        <v>45992</v>
      </c>
      <c r="M1630" t="s">
        <v>20</v>
      </c>
    </row>
    <row r="1631" spans="1:13" ht="409.5">
      <c r="A1631" s="6" t="s">
        <v>2787</v>
      </c>
      <c r="B1631" s="7" t="s">
        <v>1511</v>
      </c>
      <c r="C1631" s="7" t="s">
        <v>2788</v>
      </c>
      <c r="D1631" s="6"/>
      <c r="E1631" s="7" t="s">
        <v>2782</v>
      </c>
      <c r="F1631" s="13"/>
      <c r="G1631" s="9">
        <f>IFERROR(VLOOKUP(D1631,Listas!$A$2:$B$20,2,FALSE()),999)</f>
        <v>999</v>
      </c>
      <c r="H1631" s="9" t="str">
        <f t="shared" ca="1" si="25"/>
        <v>Sin fecha</v>
      </c>
      <c r="J1631" s="11">
        <v>60</v>
      </c>
      <c r="K1631" s="11">
        <v>6</v>
      </c>
      <c r="L1631" s="12">
        <v>46082</v>
      </c>
      <c r="M1631" t="s">
        <v>20</v>
      </c>
    </row>
    <row r="1632" spans="1:13" ht="409.5">
      <c r="A1632" s="6" t="s">
        <v>2789</v>
      </c>
      <c r="B1632" s="7" t="s">
        <v>1511</v>
      </c>
      <c r="C1632" s="7" t="s">
        <v>2788</v>
      </c>
      <c r="D1632" s="6"/>
      <c r="E1632" s="7" t="s">
        <v>2782</v>
      </c>
      <c r="F1632" s="13"/>
      <c r="G1632" s="9">
        <f>IFERROR(VLOOKUP(D1632,Listas!$A$2:$B$20,2,FALSE()),999)</f>
        <v>999</v>
      </c>
      <c r="H1632" s="9" t="str">
        <f t="shared" ca="1" si="25"/>
        <v>Sin fecha</v>
      </c>
      <c r="J1632" s="11">
        <v>60</v>
      </c>
      <c r="K1632" s="11">
        <v>6</v>
      </c>
      <c r="L1632" s="12">
        <v>46082</v>
      </c>
      <c r="M1632" t="s">
        <v>20</v>
      </c>
    </row>
    <row r="1633" spans="1:13" ht="409.5">
      <c r="A1633" s="6" t="s">
        <v>2790</v>
      </c>
      <c r="B1633" s="7" t="s">
        <v>1511</v>
      </c>
      <c r="C1633" s="7" t="s">
        <v>2788</v>
      </c>
      <c r="D1633" s="6"/>
      <c r="E1633" s="7" t="s">
        <v>2782</v>
      </c>
      <c r="F1633" s="13"/>
      <c r="G1633" s="9">
        <f>IFERROR(VLOOKUP(D1633,Listas!$A$2:$B$20,2,FALSE()),999)</f>
        <v>999</v>
      </c>
      <c r="H1633" s="9" t="str">
        <f t="shared" ca="1" si="25"/>
        <v>Sin fecha</v>
      </c>
      <c r="J1633" s="11">
        <v>60</v>
      </c>
      <c r="K1633" s="11">
        <v>6</v>
      </c>
      <c r="L1633" s="12">
        <v>46082</v>
      </c>
      <c r="M1633" t="s">
        <v>20</v>
      </c>
    </row>
    <row r="1634" spans="1:13" ht="409.5">
      <c r="A1634" s="6" t="s">
        <v>2791</v>
      </c>
      <c r="B1634" s="7" t="s">
        <v>1511</v>
      </c>
      <c r="C1634" s="7" t="s">
        <v>2788</v>
      </c>
      <c r="D1634" s="6"/>
      <c r="E1634" s="7" t="s">
        <v>1547</v>
      </c>
      <c r="F1634" s="13"/>
      <c r="G1634" s="9">
        <f>IFERROR(VLOOKUP(D1634,Listas!$A$2:$B$20,2,FALSE()),999)</f>
        <v>999</v>
      </c>
      <c r="H1634" s="9" t="str">
        <f t="shared" ca="1" si="25"/>
        <v>Sin fecha</v>
      </c>
      <c r="J1634" s="11">
        <v>60</v>
      </c>
      <c r="K1634" s="11">
        <v>6</v>
      </c>
      <c r="L1634" s="12">
        <v>46082</v>
      </c>
      <c r="M1634" t="s">
        <v>20</v>
      </c>
    </row>
    <row r="1635" spans="1:13" ht="409.5">
      <c r="A1635" s="6" t="s">
        <v>2792</v>
      </c>
      <c r="B1635" s="7" t="s">
        <v>1511</v>
      </c>
      <c r="C1635" s="7" t="s">
        <v>2788</v>
      </c>
      <c r="D1635" s="6"/>
      <c r="E1635" s="7" t="s">
        <v>2782</v>
      </c>
      <c r="F1635" s="13"/>
      <c r="G1635" s="9">
        <f>IFERROR(VLOOKUP(D1635,Listas!$A$2:$B$20,2,FALSE()),999)</f>
        <v>999</v>
      </c>
      <c r="H1635" s="9" t="str">
        <f t="shared" ca="1" si="25"/>
        <v>Sin fecha</v>
      </c>
      <c r="J1635" s="11">
        <v>60</v>
      </c>
      <c r="K1635" s="11">
        <v>6</v>
      </c>
      <c r="L1635" s="12">
        <v>46082</v>
      </c>
      <c r="M1635" t="s">
        <v>20</v>
      </c>
    </row>
    <row r="1636" spans="1:13" ht="30">
      <c r="A1636" s="6" t="s">
        <v>2793</v>
      </c>
      <c r="B1636" s="7" t="s">
        <v>1511</v>
      </c>
      <c r="C1636" s="7" t="s">
        <v>2794</v>
      </c>
      <c r="D1636" s="6" t="s">
        <v>18</v>
      </c>
      <c r="E1636" s="7" t="s">
        <v>2795</v>
      </c>
      <c r="F1636" s="13"/>
      <c r="G1636" s="9">
        <f>IFERROR(VLOOKUP(D1636,Listas!$A$2:$B$20,2,FALSE()),999)</f>
        <v>1</v>
      </c>
      <c r="H1636" s="9" t="str">
        <f t="shared" ca="1" si="25"/>
        <v>Sin fecha</v>
      </c>
      <c r="J1636" s="11">
        <v>120</v>
      </c>
      <c r="K1636" s="11">
        <v>106</v>
      </c>
      <c r="L1636" s="12">
        <v>43069</v>
      </c>
      <c r="M1636" t="s">
        <v>20</v>
      </c>
    </row>
    <row r="1637" spans="1:13" ht="75">
      <c r="A1637" s="6" t="s">
        <v>2796</v>
      </c>
      <c r="B1637" s="7" t="s">
        <v>1412</v>
      </c>
      <c r="C1637" s="7" t="s">
        <v>2797</v>
      </c>
      <c r="D1637" s="6" t="s">
        <v>18</v>
      </c>
      <c r="E1637" s="7" t="s">
        <v>2286</v>
      </c>
      <c r="F1637" s="13"/>
      <c r="G1637" s="9">
        <f>IFERROR(VLOOKUP(D1637,Listas!$A$2:$B$20,2,FALSE()),999)</f>
        <v>1</v>
      </c>
      <c r="H1637" s="9" t="str">
        <f t="shared" ca="1" si="25"/>
        <v>Sin fecha</v>
      </c>
      <c r="J1637" s="11">
        <v>60</v>
      </c>
      <c r="K1637" s="11">
        <v>2</v>
      </c>
      <c r="L1637" s="12">
        <v>46204</v>
      </c>
      <c r="M1637" t="s">
        <v>20</v>
      </c>
    </row>
    <row r="1638" spans="1:13" ht="75">
      <c r="A1638" s="6" t="s">
        <v>2798</v>
      </c>
      <c r="B1638" s="7" t="s">
        <v>1412</v>
      </c>
      <c r="C1638" s="7" t="s">
        <v>2797</v>
      </c>
      <c r="D1638" s="6" t="s">
        <v>18</v>
      </c>
      <c r="E1638" s="7" t="s">
        <v>2286</v>
      </c>
      <c r="F1638" s="13"/>
      <c r="G1638" s="9">
        <f>IFERROR(VLOOKUP(D1638,Listas!$A$2:$B$20,2,FALSE()),999)</f>
        <v>1</v>
      </c>
      <c r="H1638" s="9" t="str">
        <f t="shared" ca="1" si="25"/>
        <v>Sin fecha</v>
      </c>
      <c r="J1638" s="11">
        <v>60</v>
      </c>
      <c r="K1638" s="11">
        <v>2</v>
      </c>
      <c r="L1638" s="12">
        <v>46204</v>
      </c>
      <c r="M1638" t="s">
        <v>20</v>
      </c>
    </row>
    <row r="1639" spans="1:13" ht="75">
      <c r="A1639" s="6" t="s">
        <v>2799</v>
      </c>
      <c r="B1639" s="7" t="s">
        <v>1412</v>
      </c>
      <c r="C1639" s="7" t="s">
        <v>2797</v>
      </c>
      <c r="D1639" s="6" t="s">
        <v>18</v>
      </c>
      <c r="E1639" s="7" t="s">
        <v>2286</v>
      </c>
      <c r="F1639" s="13"/>
      <c r="G1639" s="9">
        <f>IFERROR(VLOOKUP(D1639,Listas!$A$2:$B$20,2,FALSE()),999)</f>
        <v>1</v>
      </c>
      <c r="H1639" s="9" t="str">
        <f t="shared" ca="1" si="25"/>
        <v>Sin fecha</v>
      </c>
      <c r="J1639" s="11">
        <v>60</v>
      </c>
      <c r="K1639" s="11">
        <v>2</v>
      </c>
      <c r="L1639" s="12">
        <v>46204</v>
      </c>
      <c r="M1639" t="s">
        <v>20</v>
      </c>
    </row>
    <row r="1640" spans="1:13" ht="75">
      <c r="A1640" s="6" t="s">
        <v>2800</v>
      </c>
      <c r="B1640" s="7" t="s">
        <v>1412</v>
      </c>
      <c r="C1640" s="7" t="s">
        <v>2797</v>
      </c>
      <c r="D1640" s="6" t="s">
        <v>18</v>
      </c>
      <c r="E1640" s="7" t="s">
        <v>2286</v>
      </c>
      <c r="F1640" s="13"/>
      <c r="G1640" s="9">
        <f>IFERROR(VLOOKUP(D1640,Listas!$A$2:$B$20,2,FALSE()),999)</f>
        <v>1</v>
      </c>
      <c r="H1640" s="9" t="str">
        <f t="shared" ca="1" si="25"/>
        <v>Sin fecha</v>
      </c>
      <c r="J1640" s="11">
        <v>60</v>
      </c>
      <c r="K1640" s="11">
        <v>2</v>
      </c>
      <c r="L1640" s="12">
        <v>46204</v>
      </c>
      <c r="M1640" t="s">
        <v>20</v>
      </c>
    </row>
    <row r="1641" spans="1:13" ht="75">
      <c r="A1641" s="6" t="s">
        <v>2801</v>
      </c>
      <c r="B1641" s="7" t="s">
        <v>1412</v>
      </c>
      <c r="C1641" s="7" t="s">
        <v>2797</v>
      </c>
      <c r="D1641" s="6" t="s">
        <v>18</v>
      </c>
      <c r="E1641" s="7" t="s">
        <v>2286</v>
      </c>
      <c r="F1641" s="13"/>
      <c r="G1641" s="9">
        <f>IFERROR(VLOOKUP(D1641,Listas!$A$2:$B$20,2,FALSE()),999)</f>
        <v>1</v>
      </c>
      <c r="H1641" s="9" t="str">
        <f t="shared" ca="1" si="25"/>
        <v>Sin fecha</v>
      </c>
      <c r="J1641" s="11">
        <v>60</v>
      </c>
      <c r="K1641" s="11">
        <v>2</v>
      </c>
      <c r="L1641" s="12">
        <v>46204</v>
      </c>
      <c r="M1641" t="s">
        <v>20</v>
      </c>
    </row>
    <row r="1642" spans="1:13" ht="75">
      <c r="A1642" s="6" t="s">
        <v>2802</v>
      </c>
      <c r="B1642" s="7" t="s">
        <v>1412</v>
      </c>
      <c r="C1642" s="7" t="s">
        <v>2797</v>
      </c>
      <c r="D1642" s="6" t="s">
        <v>18</v>
      </c>
      <c r="E1642" s="7" t="s">
        <v>2286</v>
      </c>
      <c r="F1642" s="13"/>
      <c r="G1642" s="9">
        <f>IFERROR(VLOOKUP(D1642,Listas!$A$2:$B$20,2,FALSE()),999)</f>
        <v>1</v>
      </c>
      <c r="H1642" s="9" t="str">
        <f t="shared" ca="1" si="25"/>
        <v>Sin fecha</v>
      </c>
      <c r="J1642" s="11">
        <v>60</v>
      </c>
      <c r="K1642" s="11">
        <v>2</v>
      </c>
      <c r="L1642" s="12">
        <v>46204</v>
      </c>
      <c r="M1642" t="s">
        <v>20</v>
      </c>
    </row>
    <row r="1643" spans="1:13" ht="75">
      <c r="A1643" s="6" t="s">
        <v>2803</v>
      </c>
      <c r="B1643" s="7" t="s">
        <v>1412</v>
      </c>
      <c r="C1643" s="7" t="s">
        <v>2797</v>
      </c>
      <c r="D1643" s="6" t="s">
        <v>18</v>
      </c>
      <c r="E1643" s="7" t="s">
        <v>2286</v>
      </c>
      <c r="F1643" s="13"/>
      <c r="G1643" s="9">
        <f>IFERROR(VLOOKUP(D1643,Listas!$A$2:$B$20,2,FALSE()),999)</f>
        <v>1</v>
      </c>
      <c r="H1643" s="9" t="str">
        <f t="shared" ca="1" si="25"/>
        <v>Sin fecha</v>
      </c>
      <c r="J1643" s="11">
        <v>60</v>
      </c>
      <c r="K1643" s="11">
        <v>2</v>
      </c>
      <c r="L1643" s="12">
        <v>46204</v>
      </c>
      <c r="M1643" t="s">
        <v>20</v>
      </c>
    </row>
    <row r="1644" spans="1:13" ht="75">
      <c r="A1644" s="6" t="s">
        <v>2804</v>
      </c>
      <c r="B1644" s="7" t="s">
        <v>1412</v>
      </c>
      <c r="C1644" s="7" t="s">
        <v>2797</v>
      </c>
      <c r="D1644" s="6" t="s">
        <v>18</v>
      </c>
      <c r="E1644" s="7" t="s">
        <v>2286</v>
      </c>
      <c r="F1644" s="13"/>
      <c r="G1644" s="9">
        <f>IFERROR(VLOOKUP(D1644,Listas!$A$2:$B$20,2,FALSE()),999)</f>
        <v>1</v>
      </c>
      <c r="H1644" s="9" t="str">
        <f t="shared" ca="1" si="25"/>
        <v>Sin fecha</v>
      </c>
      <c r="J1644" s="11">
        <v>60</v>
      </c>
      <c r="K1644" s="11">
        <v>2</v>
      </c>
      <c r="L1644" s="12">
        <v>46204</v>
      </c>
      <c r="M1644" t="s">
        <v>20</v>
      </c>
    </row>
    <row r="1645" spans="1:13" ht="75">
      <c r="A1645" s="6" t="s">
        <v>2805</v>
      </c>
      <c r="B1645" s="7" t="s">
        <v>1412</v>
      </c>
      <c r="C1645" s="7" t="s">
        <v>2797</v>
      </c>
      <c r="D1645" s="6" t="s">
        <v>18</v>
      </c>
      <c r="E1645" s="7" t="s">
        <v>2286</v>
      </c>
      <c r="F1645" s="13"/>
      <c r="G1645" s="9">
        <f>IFERROR(VLOOKUP(D1645,Listas!$A$2:$B$20,2,FALSE()),999)</f>
        <v>1</v>
      </c>
      <c r="H1645" s="9" t="str">
        <f t="shared" ca="1" si="25"/>
        <v>Sin fecha</v>
      </c>
      <c r="J1645" s="11">
        <v>60</v>
      </c>
      <c r="K1645" s="11">
        <v>2</v>
      </c>
      <c r="L1645" s="12">
        <v>46204</v>
      </c>
      <c r="M1645" t="s">
        <v>20</v>
      </c>
    </row>
    <row r="1646" spans="1:13" ht="75">
      <c r="A1646" s="6" t="s">
        <v>2806</v>
      </c>
      <c r="B1646" s="7" t="s">
        <v>1412</v>
      </c>
      <c r="C1646" s="7" t="s">
        <v>2797</v>
      </c>
      <c r="D1646" s="6" t="s">
        <v>18</v>
      </c>
      <c r="E1646" s="7" t="s">
        <v>2286</v>
      </c>
      <c r="F1646" s="13"/>
      <c r="G1646" s="9">
        <f>IFERROR(VLOOKUP(D1646,Listas!$A$2:$B$20,2,FALSE()),999)</f>
        <v>1</v>
      </c>
      <c r="H1646" s="9" t="str">
        <f t="shared" ca="1" si="25"/>
        <v>Sin fecha</v>
      </c>
      <c r="J1646" s="11">
        <v>60</v>
      </c>
      <c r="K1646" s="11">
        <v>2</v>
      </c>
      <c r="L1646" s="12">
        <v>46204</v>
      </c>
      <c r="M1646" t="s">
        <v>20</v>
      </c>
    </row>
    <row r="1647" spans="1:13" ht="75">
      <c r="A1647" s="6" t="s">
        <v>2807</v>
      </c>
      <c r="B1647" s="7" t="s">
        <v>1412</v>
      </c>
      <c r="C1647" s="7" t="s">
        <v>2797</v>
      </c>
      <c r="D1647" s="6" t="s">
        <v>18</v>
      </c>
      <c r="E1647" s="7" t="s">
        <v>2286</v>
      </c>
      <c r="F1647" s="13"/>
      <c r="G1647" s="9">
        <f>IFERROR(VLOOKUP(D1647,Listas!$A$2:$B$20,2,FALSE()),999)</f>
        <v>1</v>
      </c>
      <c r="H1647" s="9" t="str">
        <f t="shared" ca="1" si="25"/>
        <v>Sin fecha</v>
      </c>
      <c r="J1647" s="11">
        <v>60</v>
      </c>
      <c r="K1647" s="11">
        <v>2</v>
      </c>
      <c r="L1647" s="12">
        <v>46204</v>
      </c>
      <c r="M1647" t="s">
        <v>20</v>
      </c>
    </row>
    <row r="1648" spans="1:13" ht="75">
      <c r="A1648" s="6" t="s">
        <v>2808</v>
      </c>
      <c r="B1648" s="7" t="s">
        <v>1412</v>
      </c>
      <c r="C1648" s="7" t="s">
        <v>2797</v>
      </c>
      <c r="D1648" s="6" t="s">
        <v>18</v>
      </c>
      <c r="E1648" s="7" t="s">
        <v>2286</v>
      </c>
      <c r="F1648" s="13"/>
      <c r="G1648" s="9">
        <f>IFERROR(VLOOKUP(D1648,Listas!$A$2:$B$20,2,FALSE()),999)</f>
        <v>1</v>
      </c>
      <c r="H1648" s="9" t="str">
        <f t="shared" ca="1" si="25"/>
        <v>Sin fecha</v>
      </c>
      <c r="J1648" s="11">
        <v>60</v>
      </c>
      <c r="K1648" s="11">
        <v>2</v>
      </c>
      <c r="L1648" s="12">
        <v>46204</v>
      </c>
      <c r="M1648" t="s">
        <v>20</v>
      </c>
    </row>
    <row r="1649" spans="1:13" ht="75">
      <c r="A1649" s="6" t="s">
        <v>2809</v>
      </c>
      <c r="B1649" s="7" t="s">
        <v>1412</v>
      </c>
      <c r="C1649" s="7" t="s">
        <v>2797</v>
      </c>
      <c r="D1649" s="6" t="s">
        <v>18</v>
      </c>
      <c r="E1649" s="7" t="s">
        <v>2286</v>
      </c>
      <c r="F1649" s="13"/>
      <c r="G1649" s="9">
        <f>IFERROR(VLOOKUP(D1649,Listas!$A$2:$B$20,2,FALSE()),999)</f>
        <v>1</v>
      </c>
      <c r="H1649" s="9" t="str">
        <f t="shared" ca="1" si="25"/>
        <v>Sin fecha</v>
      </c>
      <c r="J1649" s="11">
        <v>60</v>
      </c>
      <c r="K1649" s="11">
        <v>2</v>
      </c>
      <c r="L1649" s="12">
        <v>46204</v>
      </c>
      <c r="M1649" t="s">
        <v>20</v>
      </c>
    </row>
    <row r="1650" spans="1:13" ht="75">
      <c r="A1650" s="6" t="s">
        <v>2810</v>
      </c>
      <c r="B1650" s="7" t="s">
        <v>1412</v>
      </c>
      <c r="C1650" s="7" t="s">
        <v>2797</v>
      </c>
      <c r="D1650" s="6" t="s">
        <v>18</v>
      </c>
      <c r="E1650" s="7" t="s">
        <v>2286</v>
      </c>
      <c r="F1650" s="13"/>
      <c r="G1650" s="9">
        <f>IFERROR(VLOOKUP(D1650,Listas!$A$2:$B$20,2,FALSE()),999)</f>
        <v>1</v>
      </c>
      <c r="H1650" s="9" t="str">
        <f t="shared" ca="1" si="25"/>
        <v>Sin fecha</v>
      </c>
      <c r="J1650" s="11">
        <v>60</v>
      </c>
      <c r="K1650" s="11">
        <v>2</v>
      </c>
      <c r="L1650" s="12">
        <v>46204</v>
      </c>
      <c r="M1650" t="s">
        <v>20</v>
      </c>
    </row>
    <row r="1651" spans="1:13" ht="75">
      <c r="A1651" s="6" t="s">
        <v>2811</v>
      </c>
      <c r="B1651" s="7" t="s">
        <v>1412</v>
      </c>
      <c r="C1651" s="7" t="s">
        <v>2797</v>
      </c>
      <c r="D1651" s="6" t="s">
        <v>18</v>
      </c>
      <c r="E1651" s="7" t="s">
        <v>2286</v>
      </c>
      <c r="F1651" s="13"/>
      <c r="G1651" s="9">
        <f>IFERROR(VLOOKUP(D1651,Listas!$A$2:$B$20,2,FALSE()),999)</f>
        <v>1</v>
      </c>
      <c r="H1651" s="9" t="str">
        <f t="shared" ca="1" si="25"/>
        <v>Sin fecha</v>
      </c>
      <c r="J1651" s="11">
        <v>60</v>
      </c>
      <c r="K1651" s="11">
        <v>2</v>
      </c>
      <c r="L1651" s="12">
        <v>46204</v>
      </c>
      <c r="M1651" t="s">
        <v>20</v>
      </c>
    </row>
    <row r="1652" spans="1:13" ht="75">
      <c r="A1652" s="6" t="s">
        <v>2812</v>
      </c>
      <c r="B1652" s="7" t="s">
        <v>1412</v>
      </c>
      <c r="C1652" s="7" t="s">
        <v>2797</v>
      </c>
      <c r="D1652" s="6" t="s">
        <v>18</v>
      </c>
      <c r="E1652" s="7" t="s">
        <v>2286</v>
      </c>
      <c r="F1652" s="13"/>
      <c r="G1652" s="9">
        <f>IFERROR(VLOOKUP(D1652,Listas!$A$2:$B$20,2,FALSE()),999)</f>
        <v>1</v>
      </c>
      <c r="H1652" s="9" t="str">
        <f t="shared" ca="1" si="25"/>
        <v>Sin fecha</v>
      </c>
      <c r="J1652" s="11">
        <v>60</v>
      </c>
      <c r="K1652" s="11">
        <v>2</v>
      </c>
      <c r="L1652" s="12">
        <v>46204</v>
      </c>
      <c r="M1652" t="s">
        <v>20</v>
      </c>
    </row>
    <row r="1653" spans="1:13" ht="75">
      <c r="A1653" s="6" t="s">
        <v>2813</v>
      </c>
      <c r="B1653" s="7" t="s">
        <v>1412</v>
      </c>
      <c r="C1653" s="7" t="s">
        <v>2797</v>
      </c>
      <c r="D1653" s="6" t="s">
        <v>18</v>
      </c>
      <c r="E1653" s="7" t="s">
        <v>2286</v>
      </c>
      <c r="F1653" s="13"/>
      <c r="G1653" s="9">
        <f>IFERROR(VLOOKUP(D1653,Listas!$A$2:$B$20,2,FALSE()),999)</f>
        <v>1</v>
      </c>
      <c r="H1653" s="9" t="str">
        <f t="shared" ca="1" si="25"/>
        <v>Sin fecha</v>
      </c>
      <c r="J1653" s="11">
        <v>60</v>
      </c>
      <c r="K1653" s="11">
        <v>2</v>
      </c>
      <c r="L1653" s="12">
        <v>46204</v>
      </c>
      <c r="M1653" t="s">
        <v>20</v>
      </c>
    </row>
    <row r="1654" spans="1:13" ht="75">
      <c r="A1654" s="6" t="s">
        <v>2814</v>
      </c>
      <c r="B1654" s="7" t="s">
        <v>1412</v>
      </c>
      <c r="C1654" s="7" t="s">
        <v>2797</v>
      </c>
      <c r="D1654" s="6" t="s">
        <v>18</v>
      </c>
      <c r="E1654" s="7" t="s">
        <v>2286</v>
      </c>
      <c r="F1654" s="13"/>
      <c r="G1654" s="9">
        <f>IFERROR(VLOOKUP(D1654,Listas!$A$2:$B$20,2,FALSE()),999)</f>
        <v>1</v>
      </c>
      <c r="H1654" s="9" t="str">
        <f t="shared" ca="1" si="25"/>
        <v>Sin fecha</v>
      </c>
      <c r="J1654" s="11">
        <v>60</v>
      </c>
      <c r="K1654" s="11">
        <v>2</v>
      </c>
      <c r="L1654" s="12">
        <v>46204</v>
      </c>
      <c r="M1654" t="s">
        <v>20</v>
      </c>
    </row>
    <row r="1655" spans="1:13" ht="75">
      <c r="A1655" s="6" t="s">
        <v>2815</v>
      </c>
      <c r="B1655" s="7" t="s">
        <v>1412</v>
      </c>
      <c r="C1655" s="7" t="s">
        <v>2797</v>
      </c>
      <c r="D1655" s="6" t="s">
        <v>18</v>
      </c>
      <c r="E1655" s="7" t="s">
        <v>2286</v>
      </c>
      <c r="F1655" s="13"/>
      <c r="G1655" s="9">
        <f>IFERROR(VLOOKUP(D1655,Listas!$A$2:$B$20,2,FALSE()),999)</f>
        <v>1</v>
      </c>
      <c r="H1655" s="9" t="str">
        <f t="shared" ca="1" si="25"/>
        <v>Sin fecha</v>
      </c>
      <c r="J1655" s="11">
        <v>60</v>
      </c>
      <c r="K1655" s="11">
        <v>2</v>
      </c>
      <c r="L1655" s="12">
        <v>46204</v>
      </c>
      <c r="M1655" t="s">
        <v>20</v>
      </c>
    </row>
    <row r="1656" spans="1:13" ht="75">
      <c r="A1656" s="6" t="s">
        <v>2816</v>
      </c>
      <c r="B1656" s="7" t="s">
        <v>1412</v>
      </c>
      <c r="C1656" s="7" t="s">
        <v>2797</v>
      </c>
      <c r="D1656" s="6" t="s">
        <v>18</v>
      </c>
      <c r="E1656" s="7" t="s">
        <v>2286</v>
      </c>
      <c r="F1656" s="13"/>
      <c r="G1656" s="9">
        <f>IFERROR(VLOOKUP(D1656,Listas!$A$2:$B$20,2,FALSE()),999)</f>
        <v>1</v>
      </c>
      <c r="H1656" s="9" t="str">
        <f t="shared" ca="1" si="25"/>
        <v>Sin fecha</v>
      </c>
      <c r="J1656" s="11">
        <v>60</v>
      </c>
      <c r="K1656" s="11">
        <v>2</v>
      </c>
      <c r="L1656" s="12">
        <v>46204</v>
      </c>
      <c r="M1656" t="s">
        <v>20</v>
      </c>
    </row>
    <row r="1657" spans="1:13" ht="75">
      <c r="A1657" s="6" t="s">
        <v>2817</v>
      </c>
      <c r="B1657" s="7" t="s">
        <v>1412</v>
      </c>
      <c r="C1657" s="7" t="s">
        <v>2797</v>
      </c>
      <c r="D1657" s="6" t="s">
        <v>18</v>
      </c>
      <c r="E1657" s="7" t="s">
        <v>2286</v>
      </c>
      <c r="F1657" s="13"/>
      <c r="G1657" s="9">
        <f>IFERROR(VLOOKUP(D1657,Listas!$A$2:$B$20,2,FALSE()),999)</f>
        <v>1</v>
      </c>
      <c r="H1657" s="9" t="str">
        <f t="shared" ca="1" si="25"/>
        <v>Sin fecha</v>
      </c>
      <c r="J1657" s="11">
        <v>60</v>
      </c>
      <c r="K1657" s="11">
        <v>2</v>
      </c>
      <c r="L1657" s="12">
        <v>46204</v>
      </c>
      <c r="M1657" t="s">
        <v>20</v>
      </c>
    </row>
    <row r="1658" spans="1:13" ht="75">
      <c r="A1658" s="6" t="s">
        <v>2818</v>
      </c>
      <c r="B1658" s="7" t="s">
        <v>1412</v>
      </c>
      <c r="C1658" s="7" t="s">
        <v>2797</v>
      </c>
      <c r="D1658" s="6" t="s">
        <v>18</v>
      </c>
      <c r="E1658" s="7" t="s">
        <v>2286</v>
      </c>
      <c r="F1658" s="13"/>
      <c r="G1658" s="9">
        <f>IFERROR(VLOOKUP(D1658,Listas!$A$2:$B$20,2,FALSE()),999)</f>
        <v>1</v>
      </c>
      <c r="H1658" s="9" t="str">
        <f t="shared" ca="1" si="25"/>
        <v>Sin fecha</v>
      </c>
      <c r="J1658" s="11">
        <v>60</v>
      </c>
      <c r="K1658" s="11">
        <v>2</v>
      </c>
      <c r="L1658" s="12">
        <v>46204</v>
      </c>
      <c r="M1658" t="s">
        <v>20</v>
      </c>
    </row>
    <row r="1659" spans="1:13" ht="75">
      <c r="A1659" s="6" t="s">
        <v>2819</v>
      </c>
      <c r="B1659" s="7" t="s">
        <v>1412</v>
      </c>
      <c r="C1659" s="7" t="s">
        <v>2797</v>
      </c>
      <c r="D1659" s="6" t="s">
        <v>18</v>
      </c>
      <c r="E1659" s="7" t="s">
        <v>2286</v>
      </c>
      <c r="F1659" s="13"/>
      <c r="G1659" s="9">
        <f>IFERROR(VLOOKUP(D1659,Listas!$A$2:$B$20,2,FALSE()),999)</f>
        <v>1</v>
      </c>
      <c r="H1659" s="9" t="str">
        <f t="shared" ca="1" si="25"/>
        <v>Sin fecha</v>
      </c>
      <c r="J1659" s="11">
        <v>60</v>
      </c>
      <c r="K1659" s="11">
        <v>2</v>
      </c>
      <c r="L1659" s="12">
        <v>46204</v>
      </c>
      <c r="M1659" t="s">
        <v>20</v>
      </c>
    </row>
    <row r="1660" spans="1:13" ht="75">
      <c r="A1660" s="6" t="s">
        <v>2820</v>
      </c>
      <c r="B1660" s="7" t="s">
        <v>1412</v>
      </c>
      <c r="C1660" s="7" t="s">
        <v>2797</v>
      </c>
      <c r="D1660" s="6" t="s">
        <v>18</v>
      </c>
      <c r="E1660" s="7" t="s">
        <v>2286</v>
      </c>
      <c r="F1660" s="13"/>
      <c r="G1660" s="9">
        <f>IFERROR(VLOOKUP(D1660,Listas!$A$2:$B$20,2,FALSE()),999)</f>
        <v>1</v>
      </c>
      <c r="H1660" s="9" t="str">
        <f t="shared" ca="1" si="25"/>
        <v>Sin fecha</v>
      </c>
      <c r="J1660" s="11">
        <v>60</v>
      </c>
      <c r="K1660" s="11">
        <v>2</v>
      </c>
      <c r="L1660" s="12">
        <v>46204</v>
      </c>
      <c r="M1660" t="s">
        <v>20</v>
      </c>
    </row>
    <row r="1661" spans="1:13" ht="75">
      <c r="A1661" s="6" t="s">
        <v>2821</v>
      </c>
      <c r="B1661" s="7" t="s">
        <v>1412</v>
      </c>
      <c r="C1661" s="7" t="s">
        <v>2797</v>
      </c>
      <c r="D1661" s="6" t="s">
        <v>18</v>
      </c>
      <c r="E1661" s="7" t="s">
        <v>2286</v>
      </c>
      <c r="F1661" s="13"/>
      <c r="G1661" s="9">
        <f>IFERROR(VLOOKUP(D1661,Listas!$A$2:$B$20,2,FALSE()),999)</f>
        <v>1</v>
      </c>
      <c r="H1661" s="9" t="str">
        <f t="shared" ca="1" si="25"/>
        <v>Sin fecha</v>
      </c>
      <c r="J1661" s="11">
        <v>60</v>
      </c>
      <c r="K1661" s="11">
        <v>2</v>
      </c>
      <c r="L1661" s="12">
        <v>46204</v>
      </c>
      <c r="M1661" t="s">
        <v>20</v>
      </c>
    </row>
    <row r="1662" spans="1:13" ht="75">
      <c r="A1662" s="6" t="s">
        <v>2822</v>
      </c>
      <c r="B1662" s="7" t="s">
        <v>1412</v>
      </c>
      <c r="C1662" s="7" t="s">
        <v>2797</v>
      </c>
      <c r="D1662" s="6" t="s">
        <v>18</v>
      </c>
      <c r="E1662" s="7" t="s">
        <v>2286</v>
      </c>
      <c r="F1662" s="13"/>
      <c r="G1662" s="9">
        <f>IFERROR(VLOOKUP(D1662,Listas!$A$2:$B$20,2,FALSE()),999)</f>
        <v>1</v>
      </c>
      <c r="H1662" s="9" t="str">
        <f t="shared" ca="1" si="25"/>
        <v>Sin fecha</v>
      </c>
      <c r="J1662" s="11">
        <v>60</v>
      </c>
      <c r="K1662" s="11">
        <v>2</v>
      </c>
      <c r="L1662" s="12">
        <v>46204</v>
      </c>
      <c r="M1662" t="s">
        <v>20</v>
      </c>
    </row>
    <row r="1663" spans="1:13" ht="75">
      <c r="A1663" s="6" t="s">
        <v>2823</v>
      </c>
      <c r="B1663" s="7" t="s">
        <v>1412</v>
      </c>
      <c r="C1663" s="7" t="s">
        <v>2797</v>
      </c>
      <c r="D1663" s="6" t="s">
        <v>18</v>
      </c>
      <c r="E1663" s="7" t="s">
        <v>2286</v>
      </c>
      <c r="F1663" s="13"/>
      <c r="G1663" s="9">
        <f>IFERROR(VLOOKUP(D1663,Listas!$A$2:$B$20,2,FALSE()),999)</f>
        <v>1</v>
      </c>
      <c r="H1663" s="9" t="str">
        <f t="shared" ca="1" si="25"/>
        <v>Sin fecha</v>
      </c>
      <c r="J1663" s="11">
        <v>60</v>
      </c>
      <c r="K1663" s="11">
        <v>2</v>
      </c>
      <c r="L1663" s="12">
        <v>46204</v>
      </c>
      <c r="M1663" t="s">
        <v>20</v>
      </c>
    </row>
    <row r="1664" spans="1:13" ht="75">
      <c r="A1664" s="6" t="s">
        <v>2824</v>
      </c>
      <c r="B1664" s="7" t="s">
        <v>1412</v>
      </c>
      <c r="C1664" s="7" t="s">
        <v>2797</v>
      </c>
      <c r="D1664" s="6" t="s">
        <v>18</v>
      </c>
      <c r="E1664" s="7" t="s">
        <v>2286</v>
      </c>
      <c r="F1664" s="13"/>
      <c r="G1664" s="9">
        <f>IFERROR(VLOOKUP(D1664,Listas!$A$2:$B$20,2,FALSE()),999)</f>
        <v>1</v>
      </c>
      <c r="H1664" s="9" t="str">
        <f t="shared" ca="1" si="25"/>
        <v>Sin fecha</v>
      </c>
      <c r="J1664" s="11">
        <v>60</v>
      </c>
      <c r="K1664" s="11">
        <v>2</v>
      </c>
      <c r="L1664" s="12">
        <v>46204</v>
      </c>
      <c r="M1664" t="s">
        <v>20</v>
      </c>
    </row>
    <row r="1665" spans="1:13" ht="75">
      <c r="A1665" s="6" t="s">
        <v>2825</v>
      </c>
      <c r="B1665" s="7" t="s">
        <v>1412</v>
      </c>
      <c r="C1665" s="7" t="s">
        <v>2797</v>
      </c>
      <c r="D1665" s="6" t="s">
        <v>18</v>
      </c>
      <c r="E1665" s="7" t="s">
        <v>2286</v>
      </c>
      <c r="F1665" s="13"/>
      <c r="G1665" s="9">
        <f>IFERROR(VLOOKUP(D1665,Listas!$A$2:$B$20,2,FALSE()),999)</f>
        <v>1</v>
      </c>
      <c r="H1665" s="9" t="str">
        <f t="shared" ca="1" si="25"/>
        <v>Sin fecha</v>
      </c>
      <c r="J1665" s="11">
        <v>60</v>
      </c>
      <c r="K1665" s="11">
        <v>2</v>
      </c>
      <c r="L1665" s="12">
        <v>46204</v>
      </c>
      <c r="M1665" t="s">
        <v>20</v>
      </c>
    </row>
    <row r="1666" spans="1:13" ht="75">
      <c r="A1666" s="6" t="s">
        <v>2826</v>
      </c>
      <c r="B1666" s="7" t="s">
        <v>1412</v>
      </c>
      <c r="C1666" s="7" t="s">
        <v>2797</v>
      </c>
      <c r="D1666" s="6" t="s">
        <v>18</v>
      </c>
      <c r="E1666" s="7" t="s">
        <v>2286</v>
      </c>
      <c r="F1666" s="13"/>
      <c r="G1666" s="9">
        <f>IFERROR(VLOOKUP(D1666,Listas!$A$2:$B$20,2,FALSE()),999)</f>
        <v>1</v>
      </c>
      <c r="H1666" s="9" t="str">
        <f t="shared" ca="1" si="25"/>
        <v>Sin fecha</v>
      </c>
      <c r="J1666" s="11">
        <v>60</v>
      </c>
      <c r="K1666" s="11">
        <v>2</v>
      </c>
      <c r="L1666" s="12">
        <v>46204</v>
      </c>
      <c r="M1666" t="s">
        <v>20</v>
      </c>
    </row>
    <row r="1667" spans="1:13" ht="75">
      <c r="A1667" s="6" t="s">
        <v>2827</v>
      </c>
      <c r="B1667" s="7" t="s">
        <v>1412</v>
      </c>
      <c r="C1667" s="7" t="s">
        <v>2797</v>
      </c>
      <c r="D1667" s="6" t="s">
        <v>18</v>
      </c>
      <c r="E1667" s="7" t="s">
        <v>2286</v>
      </c>
      <c r="F1667" s="13"/>
      <c r="G1667" s="9">
        <f>IFERROR(VLOOKUP(D1667,Listas!$A$2:$B$20,2,FALSE()),999)</f>
        <v>1</v>
      </c>
      <c r="H1667" s="9" t="str">
        <f t="shared" ca="1" si="25"/>
        <v>Sin fecha</v>
      </c>
      <c r="J1667" s="11">
        <v>60</v>
      </c>
      <c r="K1667" s="11">
        <v>2</v>
      </c>
      <c r="L1667" s="12">
        <v>46204</v>
      </c>
      <c r="M1667" t="s">
        <v>20</v>
      </c>
    </row>
    <row r="1668" spans="1:13" ht="75">
      <c r="A1668" s="6" t="s">
        <v>2828</v>
      </c>
      <c r="B1668" s="7" t="s">
        <v>1412</v>
      </c>
      <c r="C1668" s="7" t="s">
        <v>2797</v>
      </c>
      <c r="D1668" s="6" t="s">
        <v>18</v>
      </c>
      <c r="E1668" s="7" t="s">
        <v>2286</v>
      </c>
      <c r="F1668" s="13"/>
      <c r="G1668" s="9">
        <f>IFERROR(VLOOKUP(D1668,Listas!$A$2:$B$20,2,FALSE()),999)</f>
        <v>1</v>
      </c>
      <c r="H1668" s="9" t="str">
        <f t="shared" ca="1" si="25"/>
        <v>Sin fecha</v>
      </c>
      <c r="J1668" s="11">
        <v>60</v>
      </c>
      <c r="K1668" s="11">
        <v>2</v>
      </c>
      <c r="L1668" s="12">
        <v>46204</v>
      </c>
      <c r="M1668" t="s">
        <v>20</v>
      </c>
    </row>
    <row r="1669" spans="1:13" ht="75">
      <c r="A1669" s="6" t="s">
        <v>2829</v>
      </c>
      <c r="B1669" s="7" t="s">
        <v>1412</v>
      </c>
      <c r="C1669" s="7" t="s">
        <v>2797</v>
      </c>
      <c r="D1669" s="6" t="s">
        <v>18</v>
      </c>
      <c r="E1669" s="7" t="s">
        <v>2286</v>
      </c>
      <c r="F1669" s="13"/>
      <c r="G1669" s="9">
        <f>IFERROR(VLOOKUP(D1669,Listas!$A$2:$B$20,2,FALSE()),999)</f>
        <v>1</v>
      </c>
      <c r="H1669" s="9" t="str">
        <f t="shared" ref="H1669:H1732" ca="1" si="26">IF(F1669="","Sin fecha",IF(TODAY()-F1669&gt;180,"Revisar",IF(TODAY()-F1669&gt;90,"Próximo","Vigente")))</f>
        <v>Sin fecha</v>
      </c>
      <c r="J1669" s="11">
        <v>60</v>
      </c>
      <c r="K1669" s="11">
        <v>2</v>
      </c>
      <c r="L1669" s="12">
        <v>46204</v>
      </c>
      <c r="M1669" t="s">
        <v>20</v>
      </c>
    </row>
    <row r="1670" spans="1:13" ht="75">
      <c r="A1670" s="6" t="s">
        <v>2830</v>
      </c>
      <c r="B1670" s="7" t="s">
        <v>1412</v>
      </c>
      <c r="C1670" s="7" t="s">
        <v>2797</v>
      </c>
      <c r="D1670" s="6" t="s">
        <v>18</v>
      </c>
      <c r="E1670" s="7" t="s">
        <v>2286</v>
      </c>
      <c r="F1670" s="13"/>
      <c r="G1670" s="9">
        <f>IFERROR(VLOOKUP(D1670,Listas!$A$2:$B$20,2,FALSE()),999)</f>
        <v>1</v>
      </c>
      <c r="H1670" s="9" t="str">
        <f t="shared" ca="1" si="26"/>
        <v>Sin fecha</v>
      </c>
      <c r="J1670" s="11">
        <v>60</v>
      </c>
      <c r="K1670" s="11">
        <v>2</v>
      </c>
      <c r="L1670" s="12">
        <v>46204</v>
      </c>
      <c r="M1670" t="s">
        <v>20</v>
      </c>
    </row>
    <row r="1671" spans="1:13" ht="75">
      <c r="A1671" s="6" t="s">
        <v>2831</v>
      </c>
      <c r="B1671" s="7" t="s">
        <v>1412</v>
      </c>
      <c r="C1671" s="7" t="s">
        <v>2797</v>
      </c>
      <c r="D1671" s="6" t="s">
        <v>18</v>
      </c>
      <c r="E1671" s="7" t="s">
        <v>2286</v>
      </c>
      <c r="F1671" s="13"/>
      <c r="G1671" s="9">
        <f>IFERROR(VLOOKUP(D1671,Listas!$A$2:$B$20,2,FALSE()),999)</f>
        <v>1</v>
      </c>
      <c r="H1671" s="9" t="str">
        <f t="shared" ca="1" si="26"/>
        <v>Sin fecha</v>
      </c>
      <c r="J1671" s="11">
        <v>60</v>
      </c>
      <c r="K1671" s="11">
        <v>2</v>
      </c>
      <c r="L1671" s="12">
        <v>46204</v>
      </c>
      <c r="M1671" t="s">
        <v>20</v>
      </c>
    </row>
    <row r="1672" spans="1:13" ht="75">
      <c r="A1672" s="6" t="s">
        <v>2832</v>
      </c>
      <c r="B1672" s="7" t="s">
        <v>1412</v>
      </c>
      <c r="C1672" s="7" t="s">
        <v>2797</v>
      </c>
      <c r="D1672" s="6" t="s">
        <v>18</v>
      </c>
      <c r="E1672" s="7" t="s">
        <v>2286</v>
      </c>
      <c r="F1672" s="13"/>
      <c r="G1672" s="9">
        <f>IFERROR(VLOOKUP(D1672,Listas!$A$2:$B$20,2,FALSE()),999)</f>
        <v>1</v>
      </c>
      <c r="H1672" s="9" t="str">
        <f t="shared" ca="1" si="26"/>
        <v>Sin fecha</v>
      </c>
      <c r="J1672" s="11">
        <v>60</v>
      </c>
      <c r="K1672" s="11">
        <v>2</v>
      </c>
      <c r="L1672" s="12">
        <v>46204</v>
      </c>
      <c r="M1672" t="s">
        <v>20</v>
      </c>
    </row>
    <row r="1673" spans="1:13" ht="75">
      <c r="A1673" s="6" t="s">
        <v>2833</v>
      </c>
      <c r="B1673" s="7" t="s">
        <v>1412</v>
      </c>
      <c r="C1673" s="7" t="s">
        <v>2797</v>
      </c>
      <c r="D1673" s="6" t="s">
        <v>18</v>
      </c>
      <c r="E1673" s="7" t="s">
        <v>2286</v>
      </c>
      <c r="F1673" s="13"/>
      <c r="G1673" s="9">
        <f>IFERROR(VLOOKUP(D1673,Listas!$A$2:$B$20,2,FALSE()),999)</f>
        <v>1</v>
      </c>
      <c r="H1673" s="9" t="str">
        <f t="shared" ca="1" si="26"/>
        <v>Sin fecha</v>
      </c>
      <c r="J1673" s="11">
        <v>60</v>
      </c>
      <c r="K1673" s="11">
        <v>2</v>
      </c>
      <c r="L1673" s="12">
        <v>46204</v>
      </c>
      <c r="M1673" t="s">
        <v>20</v>
      </c>
    </row>
    <row r="1674" spans="1:13" ht="75">
      <c r="A1674" s="6" t="s">
        <v>2834</v>
      </c>
      <c r="B1674" s="7" t="s">
        <v>1412</v>
      </c>
      <c r="C1674" s="7" t="s">
        <v>2797</v>
      </c>
      <c r="D1674" s="6" t="s">
        <v>18</v>
      </c>
      <c r="E1674" s="7" t="s">
        <v>2286</v>
      </c>
      <c r="F1674" s="13"/>
      <c r="G1674" s="9">
        <f>IFERROR(VLOOKUP(D1674,Listas!$A$2:$B$20,2,FALSE()),999)</f>
        <v>1</v>
      </c>
      <c r="H1674" s="9" t="str">
        <f t="shared" ca="1" si="26"/>
        <v>Sin fecha</v>
      </c>
      <c r="J1674" s="11">
        <v>60</v>
      </c>
      <c r="K1674" s="11">
        <v>2</v>
      </c>
      <c r="L1674" s="12">
        <v>46204</v>
      </c>
      <c r="M1674" t="s">
        <v>20</v>
      </c>
    </row>
    <row r="1675" spans="1:13" ht="75">
      <c r="A1675" s="6" t="s">
        <v>2835</v>
      </c>
      <c r="B1675" s="7" t="s">
        <v>1412</v>
      </c>
      <c r="C1675" s="7" t="s">
        <v>2797</v>
      </c>
      <c r="D1675" s="6" t="s">
        <v>18</v>
      </c>
      <c r="E1675" s="7" t="s">
        <v>2286</v>
      </c>
      <c r="F1675" s="13"/>
      <c r="G1675" s="9">
        <f>IFERROR(VLOOKUP(D1675,Listas!$A$2:$B$20,2,FALSE()),999)</f>
        <v>1</v>
      </c>
      <c r="H1675" s="9" t="str">
        <f t="shared" ca="1" si="26"/>
        <v>Sin fecha</v>
      </c>
      <c r="J1675" s="11">
        <v>60</v>
      </c>
      <c r="K1675" s="11">
        <v>2</v>
      </c>
      <c r="L1675" s="12">
        <v>46204</v>
      </c>
      <c r="M1675" t="s">
        <v>20</v>
      </c>
    </row>
    <row r="1676" spans="1:13" ht="75">
      <c r="A1676" s="6" t="s">
        <v>2836</v>
      </c>
      <c r="B1676" s="7" t="s">
        <v>1412</v>
      </c>
      <c r="C1676" s="7" t="s">
        <v>2797</v>
      </c>
      <c r="D1676" s="6" t="s">
        <v>18</v>
      </c>
      <c r="E1676" s="7" t="s">
        <v>2286</v>
      </c>
      <c r="F1676" s="13"/>
      <c r="G1676" s="9">
        <f>IFERROR(VLOOKUP(D1676,Listas!$A$2:$B$20,2,FALSE()),999)</f>
        <v>1</v>
      </c>
      <c r="H1676" s="9" t="str">
        <f t="shared" ca="1" si="26"/>
        <v>Sin fecha</v>
      </c>
      <c r="J1676" s="11">
        <v>60</v>
      </c>
      <c r="K1676" s="11">
        <v>2</v>
      </c>
      <c r="L1676" s="12">
        <v>46204</v>
      </c>
      <c r="M1676" t="s">
        <v>20</v>
      </c>
    </row>
    <row r="1677" spans="1:13" ht="75">
      <c r="A1677" s="6" t="s">
        <v>2837</v>
      </c>
      <c r="B1677" s="7" t="s">
        <v>1412</v>
      </c>
      <c r="C1677" s="7" t="s">
        <v>2797</v>
      </c>
      <c r="D1677" s="6" t="s">
        <v>18</v>
      </c>
      <c r="E1677" s="7" t="s">
        <v>2286</v>
      </c>
      <c r="F1677" s="13"/>
      <c r="G1677" s="9">
        <f>IFERROR(VLOOKUP(D1677,Listas!$A$2:$B$20,2,FALSE()),999)</f>
        <v>1</v>
      </c>
      <c r="H1677" s="9" t="str">
        <f t="shared" ca="1" si="26"/>
        <v>Sin fecha</v>
      </c>
      <c r="J1677" s="11">
        <v>60</v>
      </c>
      <c r="K1677" s="11">
        <v>2</v>
      </c>
      <c r="L1677" s="12">
        <v>46204</v>
      </c>
      <c r="M1677" t="s">
        <v>20</v>
      </c>
    </row>
    <row r="1678" spans="1:13" ht="75">
      <c r="A1678" s="6" t="s">
        <v>2838</v>
      </c>
      <c r="B1678" s="7" t="s">
        <v>1412</v>
      </c>
      <c r="C1678" s="7" t="s">
        <v>2797</v>
      </c>
      <c r="D1678" s="6" t="s">
        <v>18</v>
      </c>
      <c r="E1678" s="7" t="s">
        <v>2286</v>
      </c>
      <c r="F1678" s="13"/>
      <c r="G1678" s="9">
        <f>IFERROR(VLOOKUP(D1678,Listas!$A$2:$B$20,2,FALSE()),999)</f>
        <v>1</v>
      </c>
      <c r="H1678" s="9" t="str">
        <f t="shared" ca="1" si="26"/>
        <v>Sin fecha</v>
      </c>
      <c r="J1678" s="11">
        <v>60</v>
      </c>
      <c r="K1678" s="11">
        <v>2</v>
      </c>
      <c r="L1678" s="12">
        <v>46204</v>
      </c>
      <c r="M1678" t="s">
        <v>20</v>
      </c>
    </row>
    <row r="1679" spans="1:13" ht="75">
      <c r="A1679" s="6" t="s">
        <v>2839</v>
      </c>
      <c r="B1679" s="7" t="s">
        <v>1412</v>
      </c>
      <c r="C1679" s="7" t="s">
        <v>2797</v>
      </c>
      <c r="D1679" s="6" t="s">
        <v>18</v>
      </c>
      <c r="E1679" s="7" t="s">
        <v>2286</v>
      </c>
      <c r="F1679" s="13"/>
      <c r="G1679" s="9">
        <f>IFERROR(VLOOKUP(D1679,Listas!$A$2:$B$20,2,FALSE()),999)</f>
        <v>1</v>
      </c>
      <c r="H1679" s="9" t="str">
        <f t="shared" ca="1" si="26"/>
        <v>Sin fecha</v>
      </c>
      <c r="J1679" s="11">
        <v>60</v>
      </c>
      <c r="K1679" s="11">
        <v>2</v>
      </c>
      <c r="L1679" s="12">
        <v>46204</v>
      </c>
      <c r="M1679" t="s">
        <v>20</v>
      </c>
    </row>
    <row r="1680" spans="1:13" ht="75">
      <c r="A1680" s="6" t="s">
        <v>2840</v>
      </c>
      <c r="B1680" s="7" t="s">
        <v>1412</v>
      </c>
      <c r="C1680" s="7" t="s">
        <v>2797</v>
      </c>
      <c r="D1680" s="6" t="s">
        <v>18</v>
      </c>
      <c r="E1680" s="7" t="s">
        <v>2286</v>
      </c>
      <c r="F1680" s="13"/>
      <c r="G1680" s="9">
        <f>IFERROR(VLOOKUP(D1680,Listas!$A$2:$B$20,2,FALSE()),999)</f>
        <v>1</v>
      </c>
      <c r="H1680" s="9" t="str">
        <f t="shared" ca="1" si="26"/>
        <v>Sin fecha</v>
      </c>
      <c r="J1680" s="11">
        <v>60</v>
      </c>
      <c r="K1680" s="11">
        <v>2</v>
      </c>
      <c r="L1680" s="12">
        <v>46204</v>
      </c>
      <c r="M1680" t="s">
        <v>20</v>
      </c>
    </row>
    <row r="1681" spans="1:13" ht="75">
      <c r="A1681" s="6" t="s">
        <v>2841</v>
      </c>
      <c r="B1681" s="7" t="s">
        <v>1412</v>
      </c>
      <c r="C1681" s="7" t="s">
        <v>2797</v>
      </c>
      <c r="D1681" s="6" t="s">
        <v>18</v>
      </c>
      <c r="E1681" s="7" t="s">
        <v>2286</v>
      </c>
      <c r="F1681" s="13"/>
      <c r="G1681" s="9">
        <f>IFERROR(VLOOKUP(D1681,Listas!$A$2:$B$20,2,FALSE()),999)</f>
        <v>1</v>
      </c>
      <c r="H1681" s="9" t="str">
        <f t="shared" ca="1" si="26"/>
        <v>Sin fecha</v>
      </c>
      <c r="J1681" s="11">
        <v>60</v>
      </c>
      <c r="K1681" s="11">
        <v>2</v>
      </c>
      <c r="L1681" s="12">
        <v>46204</v>
      </c>
      <c r="M1681" t="s">
        <v>20</v>
      </c>
    </row>
    <row r="1682" spans="1:13" ht="75">
      <c r="A1682" s="6" t="s">
        <v>2842</v>
      </c>
      <c r="B1682" s="7" t="s">
        <v>1412</v>
      </c>
      <c r="C1682" s="7" t="s">
        <v>2797</v>
      </c>
      <c r="D1682" s="6" t="s">
        <v>18</v>
      </c>
      <c r="E1682" s="7" t="s">
        <v>2286</v>
      </c>
      <c r="F1682" s="13"/>
      <c r="G1682" s="9">
        <f>IFERROR(VLOOKUP(D1682,Listas!$A$2:$B$20,2,FALSE()),999)</f>
        <v>1</v>
      </c>
      <c r="H1682" s="9" t="str">
        <f t="shared" ca="1" si="26"/>
        <v>Sin fecha</v>
      </c>
      <c r="J1682" s="11">
        <v>60</v>
      </c>
      <c r="K1682" s="11">
        <v>2</v>
      </c>
      <c r="L1682" s="12">
        <v>46204</v>
      </c>
      <c r="M1682" t="s">
        <v>20</v>
      </c>
    </row>
    <row r="1683" spans="1:13" ht="75">
      <c r="A1683" s="6" t="s">
        <v>2843</v>
      </c>
      <c r="B1683" s="7" t="s">
        <v>1412</v>
      </c>
      <c r="C1683" s="7" t="s">
        <v>2797</v>
      </c>
      <c r="D1683" s="6" t="s">
        <v>18</v>
      </c>
      <c r="E1683" s="7" t="s">
        <v>2286</v>
      </c>
      <c r="F1683" s="13"/>
      <c r="G1683" s="9">
        <f>IFERROR(VLOOKUP(D1683,Listas!$A$2:$B$20,2,FALSE()),999)</f>
        <v>1</v>
      </c>
      <c r="H1683" s="9" t="str">
        <f t="shared" ca="1" si="26"/>
        <v>Sin fecha</v>
      </c>
      <c r="J1683" s="11">
        <v>60</v>
      </c>
      <c r="K1683" s="11">
        <v>2</v>
      </c>
      <c r="L1683" s="12">
        <v>46204</v>
      </c>
      <c r="M1683" t="s">
        <v>20</v>
      </c>
    </row>
    <row r="1684" spans="1:13" ht="75">
      <c r="A1684" s="6" t="s">
        <v>2844</v>
      </c>
      <c r="B1684" s="7" t="s">
        <v>1412</v>
      </c>
      <c r="C1684" s="7" t="s">
        <v>2797</v>
      </c>
      <c r="D1684" s="6" t="s">
        <v>18</v>
      </c>
      <c r="E1684" s="7" t="s">
        <v>2286</v>
      </c>
      <c r="F1684" s="13"/>
      <c r="G1684" s="9">
        <f>IFERROR(VLOOKUP(D1684,Listas!$A$2:$B$20,2,FALSE()),999)</f>
        <v>1</v>
      </c>
      <c r="H1684" s="9" t="str">
        <f t="shared" ca="1" si="26"/>
        <v>Sin fecha</v>
      </c>
      <c r="J1684" s="11">
        <v>60</v>
      </c>
      <c r="K1684" s="11">
        <v>2</v>
      </c>
      <c r="L1684" s="12">
        <v>46204</v>
      </c>
      <c r="M1684" t="s">
        <v>20</v>
      </c>
    </row>
    <row r="1685" spans="1:13" ht="75">
      <c r="A1685" s="6" t="s">
        <v>2845</v>
      </c>
      <c r="B1685" s="7" t="s">
        <v>1412</v>
      </c>
      <c r="C1685" s="7" t="s">
        <v>2797</v>
      </c>
      <c r="D1685" s="6" t="s">
        <v>18</v>
      </c>
      <c r="E1685" s="7" t="s">
        <v>2286</v>
      </c>
      <c r="F1685" s="13"/>
      <c r="G1685" s="9">
        <f>IFERROR(VLOOKUP(D1685,Listas!$A$2:$B$20,2,FALSE()),999)</f>
        <v>1</v>
      </c>
      <c r="H1685" s="9" t="str">
        <f t="shared" ca="1" si="26"/>
        <v>Sin fecha</v>
      </c>
      <c r="J1685" s="11">
        <v>60</v>
      </c>
      <c r="K1685" s="11">
        <v>2</v>
      </c>
      <c r="L1685" s="12">
        <v>46204</v>
      </c>
      <c r="M1685" t="s">
        <v>20</v>
      </c>
    </row>
    <row r="1686" spans="1:13" ht="75">
      <c r="A1686" s="6" t="s">
        <v>2846</v>
      </c>
      <c r="B1686" s="7" t="s">
        <v>1412</v>
      </c>
      <c r="C1686" s="7" t="s">
        <v>2797</v>
      </c>
      <c r="D1686" s="6" t="s">
        <v>18</v>
      </c>
      <c r="E1686" s="7" t="s">
        <v>2286</v>
      </c>
      <c r="F1686" s="13"/>
      <c r="G1686" s="9">
        <f>IFERROR(VLOOKUP(D1686,Listas!$A$2:$B$20,2,FALSE()),999)</f>
        <v>1</v>
      </c>
      <c r="H1686" s="9" t="str">
        <f t="shared" ca="1" si="26"/>
        <v>Sin fecha</v>
      </c>
      <c r="J1686" s="11">
        <v>60</v>
      </c>
      <c r="K1686" s="11">
        <v>2</v>
      </c>
      <c r="L1686" s="12">
        <v>46204</v>
      </c>
      <c r="M1686" t="s">
        <v>20</v>
      </c>
    </row>
    <row r="1687" spans="1:13" ht="75">
      <c r="A1687" s="6" t="s">
        <v>2847</v>
      </c>
      <c r="B1687" s="7" t="s">
        <v>1412</v>
      </c>
      <c r="C1687" s="7" t="s">
        <v>2797</v>
      </c>
      <c r="D1687" s="6" t="s">
        <v>18</v>
      </c>
      <c r="E1687" s="7" t="s">
        <v>2286</v>
      </c>
      <c r="F1687" s="13"/>
      <c r="G1687" s="9">
        <f>IFERROR(VLOOKUP(D1687,Listas!$A$2:$B$20,2,FALSE()),999)</f>
        <v>1</v>
      </c>
      <c r="H1687" s="9" t="str">
        <f t="shared" ca="1" si="26"/>
        <v>Sin fecha</v>
      </c>
      <c r="J1687" s="11">
        <v>60</v>
      </c>
      <c r="K1687" s="11">
        <v>2</v>
      </c>
      <c r="L1687" s="12">
        <v>46204</v>
      </c>
      <c r="M1687" t="s">
        <v>20</v>
      </c>
    </row>
    <row r="1688" spans="1:13" ht="75">
      <c r="A1688" s="6" t="s">
        <v>2848</v>
      </c>
      <c r="B1688" s="7" t="s">
        <v>1412</v>
      </c>
      <c r="C1688" s="7" t="s">
        <v>2797</v>
      </c>
      <c r="D1688" s="6" t="s">
        <v>18</v>
      </c>
      <c r="E1688" s="7" t="s">
        <v>2286</v>
      </c>
      <c r="F1688" s="13"/>
      <c r="G1688" s="9">
        <f>IFERROR(VLOOKUP(D1688,Listas!$A$2:$B$20,2,FALSE()),999)</f>
        <v>1</v>
      </c>
      <c r="H1688" s="9" t="str">
        <f t="shared" ca="1" si="26"/>
        <v>Sin fecha</v>
      </c>
      <c r="J1688" s="11">
        <v>60</v>
      </c>
      <c r="K1688" s="11">
        <v>2</v>
      </c>
      <c r="L1688" s="12">
        <v>46204</v>
      </c>
      <c r="M1688" t="s">
        <v>20</v>
      </c>
    </row>
    <row r="1689" spans="1:13" ht="75">
      <c r="A1689" s="6" t="s">
        <v>2849</v>
      </c>
      <c r="B1689" s="7" t="s">
        <v>1412</v>
      </c>
      <c r="C1689" s="7" t="s">
        <v>2797</v>
      </c>
      <c r="D1689" s="6" t="s">
        <v>18</v>
      </c>
      <c r="E1689" s="7" t="s">
        <v>2286</v>
      </c>
      <c r="F1689" s="13"/>
      <c r="G1689" s="9">
        <f>IFERROR(VLOOKUP(D1689,Listas!$A$2:$B$20,2,FALSE()),999)</f>
        <v>1</v>
      </c>
      <c r="H1689" s="9" t="str">
        <f t="shared" ca="1" si="26"/>
        <v>Sin fecha</v>
      </c>
      <c r="J1689" s="11">
        <v>60</v>
      </c>
      <c r="K1689" s="11">
        <v>2</v>
      </c>
      <c r="L1689" s="12">
        <v>46204</v>
      </c>
      <c r="M1689" t="s">
        <v>20</v>
      </c>
    </row>
    <row r="1690" spans="1:13" ht="75">
      <c r="A1690" s="6" t="s">
        <v>2850</v>
      </c>
      <c r="B1690" s="7" t="s">
        <v>1412</v>
      </c>
      <c r="C1690" s="7" t="s">
        <v>2797</v>
      </c>
      <c r="D1690" s="6" t="s">
        <v>18</v>
      </c>
      <c r="E1690" s="7" t="s">
        <v>2286</v>
      </c>
      <c r="F1690" s="13"/>
      <c r="G1690" s="9">
        <f>IFERROR(VLOOKUP(D1690,Listas!$A$2:$B$20,2,FALSE()),999)</f>
        <v>1</v>
      </c>
      <c r="H1690" s="9" t="str">
        <f t="shared" ca="1" si="26"/>
        <v>Sin fecha</v>
      </c>
      <c r="J1690" s="11">
        <v>60</v>
      </c>
      <c r="K1690" s="11">
        <v>2</v>
      </c>
      <c r="L1690" s="12">
        <v>46204</v>
      </c>
      <c r="M1690" t="s">
        <v>20</v>
      </c>
    </row>
    <row r="1691" spans="1:13" ht="75">
      <c r="A1691" s="6" t="s">
        <v>2851</v>
      </c>
      <c r="B1691" s="7" t="s">
        <v>1412</v>
      </c>
      <c r="C1691" s="7" t="s">
        <v>2797</v>
      </c>
      <c r="D1691" s="6" t="s">
        <v>18</v>
      </c>
      <c r="E1691" s="7" t="s">
        <v>2286</v>
      </c>
      <c r="F1691" s="13"/>
      <c r="G1691" s="9">
        <f>IFERROR(VLOOKUP(D1691,Listas!$A$2:$B$20,2,FALSE()),999)</f>
        <v>1</v>
      </c>
      <c r="H1691" s="9" t="str">
        <f t="shared" ca="1" si="26"/>
        <v>Sin fecha</v>
      </c>
      <c r="J1691" s="11">
        <v>60</v>
      </c>
      <c r="K1691" s="11">
        <v>2</v>
      </c>
      <c r="L1691" s="12">
        <v>46204</v>
      </c>
      <c r="M1691" t="s">
        <v>20</v>
      </c>
    </row>
    <row r="1692" spans="1:13" ht="75">
      <c r="A1692" s="6" t="s">
        <v>2852</v>
      </c>
      <c r="B1692" s="7" t="s">
        <v>1412</v>
      </c>
      <c r="C1692" s="7" t="s">
        <v>2797</v>
      </c>
      <c r="D1692" s="6" t="s">
        <v>18</v>
      </c>
      <c r="E1692" s="7" t="s">
        <v>2286</v>
      </c>
      <c r="F1692" s="13"/>
      <c r="G1692" s="9">
        <f>IFERROR(VLOOKUP(D1692,Listas!$A$2:$B$20,2,FALSE()),999)</f>
        <v>1</v>
      </c>
      <c r="H1692" s="9" t="str">
        <f t="shared" ca="1" si="26"/>
        <v>Sin fecha</v>
      </c>
      <c r="J1692" s="11">
        <v>60</v>
      </c>
      <c r="K1692" s="11">
        <v>2</v>
      </c>
      <c r="L1692" s="12">
        <v>46204</v>
      </c>
      <c r="M1692" t="s">
        <v>20</v>
      </c>
    </row>
    <row r="1693" spans="1:13" ht="75">
      <c r="A1693" s="6" t="s">
        <v>2853</v>
      </c>
      <c r="B1693" s="7" t="s">
        <v>1412</v>
      </c>
      <c r="C1693" s="7" t="s">
        <v>2797</v>
      </c>
      <c r="D1693" s="6" t="s">
        <v>18</v>
      </c>
      <c r="E1693" s="7" t="s">
        <v>2286</v>
      </c>
      <c r="F1693" s="13"/>
      <c r="G1693" s="9">
        <f>IFERROR(VLOOKUP(D1693,Listas!$A$2:$B$20,2,FALSE()),999)</f>
        <v>1</v>
      </c>
      <c r="H1693" s="9" t="str">
        <f t="shared" ca="1" si="26"/>
        <v>Sin fecha</v>
      </c>
      <c r="J1693" s="11">
        <v>60</v>
      </c>
      <c r="K1693" s="11">
        <v>2</v>
      </c>
      <c r="L1693" s="12">
        <v>46204</v>
      </c>
      <c r="M1693" t="s">
        <v>20</v>
      </c>
    </row>
    <row r="1694" spans="1:13" ht="75">
      <c r="A1694" s="6" t="s">
        <v>2854</v>
      </c>
      <c r="B1694" s="7" t="s">
        <v>1412</v>
      </c>
      <c r="C1694" s="7" t="s">
        <v>2797</v>
      </c>
      <c r="D1694" s="6" t="s">
        <v>18</v>
      </c>
      <c r="E1694" s="7" t="s">
        <v>2286</v>
      </c>
      <c r="F1694" s="13"/>
      <c r="G1694" s="9">
        <f>IFERROR(VLOOKUP(D1694,Listas!$A$2:$B$20,2,FALSE()),999)</f>
        <v>1</v>
      </c>
      <c r="H1694" s="9" t="str">
        <f t="shared" ca="1" si="26"/>
        <v>Sin fecha</v>
      </c>
      <c r="J1694" s="11">
        <v>60</v>
      </c>
      <c r="K1694" s="11">
        <v>2</v>
      </c>
      <c r="L1694" s="12">
        <v>46204</v>
      </c>
      <c r="M1694" t="s">
        <v>20</v>
      </c>
    </row>
    <row r="1695" spans="1:13" ht="75">
      <c r="A1695" s="6" t="s">
        <v>2855</v>
      </c>
      <c r="B1695" s="7" t="s">
        <v>1412</v>
      </c>
      <c r="C1695" s="7" t="s">
        <v>2797</v>
      </c>
      <c r="D1695" s="6" t="s">
        <v>18</v>
      </c>
      <c r="E1695" s="7" t="s">
        <v>2286</v>
      </c>
      <c r="F1695" s="13"/>
      <c r="G1695" s="9">
        <f>IFERROR(VLOOKUP(D1695,Listas!$A$2:$B$20,2,FALSE()),999)</f>
        <v>1</v>
      </c>
      <c r="H1695" s="9" t="str">
        <f t="shared" ca="1" si="26"/>
        <v>Sin fecha</v>
      </c>
      <c r="J1695" s="11">
        <v>60</v>
      </c>
      <c r="K1695" s="11">
        <v>2</v>
      </c>
      <c r="L1695" s="12">
        <v>46204</v>
      </c>
      <c r="M1695" t="s">
        <v>20</v>
      </c>
    </row>
    <row r="1696" spans="1:13" ht="75">
      <c r="A1696" s="6" t="s">
        <v>2856</v>
      </c>
      <c r="B1696" s="7" t="s">
        <v>1412</v>
      </c>
      <c r="C1696" s="7" t="s">
        <v>2797</v>
      </c>
      <c r="D1696" s="6" t="s">
        <v>18</v>
      </c>
      <c r="E1696" s="7" t="s">
        <v>2286</v>
      </c>
      <c r="F1696" s="13"/>
      <c r="G1696" s="9">
        <f>IFERROR(VLOOKUP(D1696,Listas!$A$2:$B$20,2,FALSE()),999)</f>
        <v>1</v>
      </c>
      <c r="H1696" s="9" t="str">
        <f t="shared" ca="1" si="26"/>
        <v>Sin fecha</v>
      </c>
      <c r="J1696" s="11">
        <v>60</v>
      </c>
      <c r="K1696" s="11">
        <v>2</v>
      </c>
      <c r="L1696" s="12">
        <v>46204</v>
      </c>
      <c r="M1696" t="s">
        <v>20</v>
      </c>
    </row>
    <row r="1697" spans="1:13" ht="75">
      <c r="A1697" s="6" t="s">
        <v>2857</v>
      </c>
      <c r="B1697" s="7" t="s">
        <v>1412</v>
      </c>
      <c r="C1697" s="7" t="s">
        <v>2797</v>
      </c>
      <c r="D1697" s="6" t="s">
        <v>18</v>
      </c>
      <c r="E1697" s="7" t="s">
        <v>2286</v>
      </c>
      <c r="F1697" s="13"/>
      <c r="G1697" s="9">
        <f>IFERROR(VLOOKUP(D1697,Listas!$A$2:$B$20,2,FALSE()),999)</f>
        <v>1</v>
      </c>
      <c r="H1697" s="9" t="str">
        <f t="shared" ca="1" si="26"/>
        <v>Sin fecha</v>
      </c>
      <c r="J1697" s="11">
        <v>60</v>
      </c>
      <c r="K1697" s="11">
        <v>2</v>
      </c>
      <c r="L1697" s="12">
        <v>46204</v>
      </c>
      <c r="M1697" t="s">
        <v>20</v>
      </c>
    </row>
    <row r="1698" spans="1:13" ht="75">
      <c r="A1698" s="6" t="s">
        <v>2858</v>
      </c>
      <c r="B1698" s="7" t="s">
        <v>1412</v>
      </c>
      <c r="C1698" s="7" t="s">
        <v>2797</v>
      </c>
      <c r="D1698" s="6" t="s">
        <v>18</v>
      </c>
      <c r="E1698" s="7" t="s">
        <v>2286</v>
      </c>
      <c r="F1698" s="13"/>
      <c r="G1698" s="9">
        <f>IFERROR(VLOOKUP(D1698,Listas!$A$2:$B$20,2,FALSE()),999)</f>
        <v>1</v>
      </c>
      <c r="H1698" s="9" t="str">
        <f t="shared" ca="1" si="26"/>
        <v>Sin fecha</v>
      </c>
      <c r="J1698" s="11">
        <v>60</v>
      </c>
      <c r="K1698" s="11">
        <v>2</v>
      </c>
      <c r="L1698" s="12">
        <v>46204</v>
      </c>
      <c r="M1698" t="s">
        <v>20</v>
      </c>
    </row>
    <row r="1699" spans="1:13" ht="75">
      <c r="A1699" s="6" t="s">
        <v>2859</v>
      </c>
      <c r="B1699" s="7" t="s">
        <v>1412</v>
      </c>
      <c r="C1699" s="7" t="s">
        <v>2797</v>
      </c>
      <c r="D1699" s="6" t="s">
        <v>18</v>
      </c>
      <c r="E1699" s="7" t="s">
        <v>2286</v>
      </c>
      <c r="F1699" s="13"/>
      <c r="G1699" s="9">
        <f>IFERROR(VLOOKUP(D1699,Listas!$A$2:$B$20,2,FALSE()),999)</f>
        <v>1</v>
      </c>
      <c r="H1699" s="9" t="str">
        <f t="shared" ca="1" si="26"/>
        <v>Sin fecha</v>
      </c>
      <c r="J1699" s="11">
        <v>60</v>
      </c>
      <c r="K1699" s="11">
        <v>2</v>
      </c>
      <c r="L1699" s="12">
        <v>46204</v>
      </c>
      <c r="M1699" t="s">
        <v>20</v>
      </c>
    </row>
    <row r="1700" spans="1:13" ht="75">
      <c r="A1700" s="6" t="s">
        <v>2860</v>
      </c>
      <c r="B1700" s="7" t="s">
        <v>1412</v>
      </c>
      <c r="C1700" s="7" t="s">
        <v>2797</v>
      </c>
      <c r="D1700" s="6" t="s">
        <v>18</v>
      </c>
      <c r="E1700" s="7" t="s">
        <v>2286</v>
      </c>
      <c r="F1700" s="13"/>
      <c r="G1700" s="9">
        <f>IFERROR(VLOOKUP(D1700,Listas!$A$2:$B$20,2,FALSE()),999)</f>
        <v>1</v>
      </c>
      <c r="H1700" s="9" t="str">
        <f t="shared" ca="1" si="26"/>
        <v>Sin fecha</v>
      </c>
      <c r="J1700" s="11">
        <v>60</v>
      </c>
      <c r="K1700" s="11">
        <v>2</v>
      </c>
      <c r="L1700" s="12">
        <v>46204</v>
      </c>
      <c r="M1700" t="s">
        <v>20</v>
      </c>
    </row>
    <row r="1701" spans="1:13" ht="75">
      <c r="A1701" s="6" t="s">
        <v>2861</v>
      </c>
      <c r="B1701" s="7" t="s">
        <v>1412</v>
      </c>
      <c r="C1701" s="7" t="s">
        <v>2797</v>
      </c>
      <c r="D1701" s="6" t="s">
        <v>18</v>
      </c>
      <c r="E1701" s="7" t="s">
        <v>2286</v>
      </c>
      <c r="F1701" s="13"/>
      <c r="G1701" s="9">
        <f>IFERROR(VLOOKUP(D1701,Listas!$A$2:$B$20,2,FALSE()),999)</f>
        <v>1</v>
      </c>
      <c r="H1701" s="9" t="str">
        <f t="shared" ca="1" si="26"/>
        <v>Sin fecha</v>
      </c>
      <c r="J1701" s="11">
        <v>60</v>
      </c>
      <c r="K1701" s="11">
        <v>2</v>
      </c>
      <c r="L1701" s="12">
        <v>46204</v>
      </c>
      <c r="M1701" t="s">
        <v>20</v>
      </c>
    </row>
    <row r="1702" spans="1:13" ht="75">
      <c r="A1702" s="6" t="s">
        <v>2862</v>
      </c>
      <c r="B1702" s="7" t="s">
        <v>1412</v>
      </c>
      <c r="C1702" s="7" t="s">
        <v>2797</v>
      </c>
      <c r="D1702" s="6" t="s">
        <v>18</v>
      </c>
      <c r="E1702" s="7" t="s">
        <v>2286</v>
      </c>
      <c r="F1702" s="13"/>
      <c r="G1702" s="9">
        <f>IFERROR(VLOOKUP(D1702,Listas!$A$2:$B$20,2,FALSE()),999)</f>
        <v>1</v>
      </c>
      <c r="H1702" s="9" t="str">
        <f t="shared" ca="1" si="26"/>
        <v>Sin fecha</v>
      </c>
      <c r="J1702" s="11">
        <v>60</v>
      </c>
      <c r="K1702" s="11">
        <v>2</v>
      </c>
      <c r="L1702" s="12">
        <v>46204</v>
      </c>
      <c r="M1702" t="s">
        <v>20</v>
      </c>
    </row>
    <row r="1703" spans="1:13" ht="75">
      <c r="A1703" s="6" t="s">
        <v>2863</v>
      </c>
      <c r="B1703" s="7" t="s">
        <v>1412</v>
      </c>
      <c r="C1703" s="7" t="s">
        <v>2797</v>
      </c>
      <c r="D1703" s="6" t="s">
        <v>18</v>
      </c>
      <c r="E1703" s="7" t="s">
        <v>2286</v>
      </c>
      <c r="F1703" s="13"/>
      <c r="G1703" s="9">
        <f>IFERROR(VLOOKUP(D1703,Listas!$A$2:$B$20,2,FALSE()),999)</f>
        <v>1</v>
      </c>
      <c r="H1703" s="9" t="str">
        <f t="shared" ca="1" si="26"/>
        <v>Sin fecha</v>
      </c>
      <c r="J1703" s="11">
        <v>60</v>
      </c>
      <c r="K1703" s="11">
        <v>2</v>
      </c>
      <c r="L1703" s="12">
        <v>46204</v>
      </c>
      <c r="M1703" t="s">
        <v>20</v>
      </c>
    </row>
    <row r="1704" spans="1:13" ht="75">
      <c r="A1704" s="6" t="s">
        <v>2864</v>
      </c>
      <c r="B1704" s="7" t="s">
        <v>1412</v>
      </c>
      <c r="C1704" s="7" t="s">
        <v>2797</v>
      </c>
      <c r="D1704" s="6" t="s">
        <v>18</v>
      </c>
      <c r="E1704" s="7" t="s">
        <v>2286</v>
      </c>
      <c r="F1704" s="13"/>
      <c r="G1704" s="9">
        <f>IFERROR(VLOOKUP(D1704,Listas!$A$2:$B$20,2,FALSE()),999)</f>
        <v>1</v>
      </c>
      <c r="H1704" s="9" t="str">
        <f t="shared" ca="1" si="26"/>
        <v>Sin fecha</v>
      </c>
      <c r="J1704" s="11">
        <v>60</v>
      </c>
      <c r="K1704" s="11">
        <v>2</v>
      </c>
      <c r="L1704" s="12">
        <v>46204</v>
      </c>
      <c r="M1704" t="s">
        <v>20</v>
      </c>
    </row>
    <row r="1705" spans="1:13" ht="75">
      <c r="A1705" s="6" t="s">
        <v>2865</v>
      </c>
      <c r="B1705" s="7" t="s">
        <v>1412</v>
      </c>
      <c r="C1705" s="7" t="s">
        <v>2797</v>
      </c>
      <c r="D1705" s="6" t="s">
        <v>18</v>
      </c>
      <c r="E1705" s="7" t="s">
        <v>2286</v>
      </c>
      <c r="F1705" s="13"/>
      <c r="G1705" s="9">
        <f>IFERROR(VLOOKUP(D1705,Listas!$A$2:$B$20,2,FALSE()),999)</f>
        <v>1</v>
      </c>
      <c r="H1705" s="9" t="str">
        <f t="shared" ca="1" si="26"/>
        <v>Sin fecha</v>
      </c>
      <c r="J1705" s="11">
        <v>60</v>
      </c>
      <c r="K1705" s="11">
        <v>2</v>
      </c>
      <c r="L1705" s="12">
        <v>46204</v>
      </c>
      <c r="M1705" t="s">
        <v>20</v>
      </c>
    </row>
    <row r="1706" spans="1:13" ht="75">
      <c r="A1706" s="6" t="s">
        <v>2866</v>
      </c>
      <c r="B1706" s="7" t="s">
        <v>1412</v>
      </c>
      <c r="C1706" s="7" t="s">
        <v>2797</v>
      </c>
      <c r="D1706" s="6" t="s">
        <v>18</v>
      </c>
      <c r="E1706" s="7" t="s">
        <v>2286</v>
      </c>
      <c r="F1706" s="13"/>
      <c r="G1706" s="9">
        <f>IFERROR(VLOOKUP(D1706,Listas!$A$2:$B$20,2,FALSE()),999)</f>
        <v>1</v>
      </c>
      <c r="H1706" s="9" t="str">
        <f t="shared" ca="1" si="26"/>
        <v>Sin fecha</v>
      </c>
      <c r="J1706" s="11">
        <v>60</v>
      </c>
      <c r="K1706" s="11">
        <v>2</v>
      </c>
      <c r="L1706" s="12">
        <v>46204</v>
      </c>
      <c r="M1706" t="s">
        <v>20</v>
      </c>
    </row>
    <row r="1707" spans="1:13" ht="75">
      <c r="A1707" s="6" t="s">
        <v>2867</v>
      </c>
      <c r="B1707" s="7" t="s">
        <v>1412</v>
      </c>
      <c r="C1707" s="7" t="s">
        <v>2797</v>
      </c>
      <c r="D1707" s="6" t="s">
        <v>18</v>
      </c>
      <c r="E1707" s="7" t="s">
        <v>2286</v>
      </c>
      <c r="F1707" s="13"/>
      <c r="G1707" s="9">
        <f>IFERROR(VLOOKUP(D1707,Listas!$A$2:$B$20,2,FALSE()),999)</f>
        <v>1</v>
      </c>
      <c r="H1707" s="9" t="str">
        <f t="shared" ca="1" si="26"/>
        <v>Sin fecha</v>
      </c>
      <c r="J1707" s="11">
        <v>60</v>
      </c>
      <c r="K1707" s="11">
        <v>2</v>
      </c>
      <c r="L1707" s="12">
        <v>46204</v>
      </c>
      <c r="M1707" t="s">
        <v>20</v>
      </c>
    </row>
    <row r="1708" spans="1:13" ht="75">
      <c r="A1708" s="6" t="s">
        <v>2868</v>
      </c>
      <c r="B1708" s="7" t="s">
        <v>1412</v>
      </c>
      <c r="C1708" s="7" t="s">
        <v>2797</v>
      </c>
      <c r="D1708" s="6" t="s">
        <v>18</v>
      </c>
      <c r="E1708" s="7" t="s">
        <v>2286</v>
      </c>
      <c r="F1708" s="13"/>
      <c r="G1708" s="9">
        <f>IFERROR(VLOOKUP(D1708,Listas!$A$2:$B$20,2,FALSE()),999)</f>
        <v>1</v>
      </c>
      <c r="H1708" s="9" t="str">
        <f t="shared" ca="1" si="26"/>
        <v>Sin fecha</v>
      </c>
      <c r="J1708" s="11">
        <v>60</v>
      </c>
      <c r="K1708" s="11">
        <v>2</v>
      </c>
      <c r="L1708" s="12">
        <v>46204</v>
      </c>
      <c r="M1708" t="s">
        <v>20</v>
      </c>
    </row>
    <row r="1709" spans="1:13" ht="75">
      <c r="A1709" s="6" t="s">
        <v>2869</v>
      </c>
      <c r="B1709" s="7" t="s">
        <v>1412</v>
      </c>
      <c r="C1709" s="7" t="s">
        <v>2797</v>
      </c>
      <c r="D1709" s="6" t="s">
        <v>18</v>
      </c>
      <c r="E1709" s="7" t="s">
        <v>2286</v>
      </c>
      <c r="F1709" s="13"/>
      <c r="G1709" s="9">
        <f>IFERROR(VLOOKUP(D1709,Listas!$A$2:$B$20,2,FALSE()),999)</f>
        <v>1</v>
      </c>
      <c r="H1709" s="9" t="str">
        <f t="shared" ca="1" si="26"/>
        <v>Sin fecha</v>
      </c>
      <c r="J1709" s="11">
        <v>60</v>
      </c>
      <c r="K1709" s="11">
        <v>2</v>
      </c>
      <c r="L1709" s="12">
        <v>46204</v>
      </c>
      <c r="M1709" t="s">
        <v>20</v>
      </c>
    </row>
    <row r="1710" spans="1:13" ht="75">
      <c r="A1710" s="6" t="s">
        <v>2870</v>
      </c>
      <c r="B1710" s="7" t="s">
        <v>1412</v>
      </c>
      <c r="C1710" s="7" t="s">
        <v>2797</v>
      </c>
      <c r="D1710" s="6" t="s">
        <v>18</v>
      </c>
      <c r="E1710" s="7" t="s">
        <v>2286</v>
      </c>
      <c r="F1710" s="13"/>
      <c r="G1710" s="9">
        <f>IFERROR(VLOOKUP(D1710,Listas!$A$2:$B$20,2,FALSE()),999)</f>
        <v>1</v>
      </c>
      <c r="H1710" s="9" t="str">
        <f t="shared" ca="1" si="26"/>
        <v>Sin fecha</v>
      </c>
      <c r="J1710" s="11">
        <v>60</v>
      </c>
      <c r="K1710" s="11">
        <v>2</v>
      </c>
      <c r="L1710" s="12">
        <v>46204</v>
      </c>
      <c r="M1710" t="s">
        <v>20</v>
      </c>
    </row>
    <row r="1711" spans="1:13" ht="75">
      <c r="A1711" s="6" t="s">
        <v>2871</v>
      </c>
      <c r="B1711" s="7" t="s">
        <v>1412</v>
      </c>
      <c r="C1711" s="7" t="s">
        <v>2797</v>
      </c>
      <c r="D1711" s="6" t="s">
        <v>18</v>
      </c>
      <c r="E1711" s="7" t="s">
        <v>2286</v>
      </c>
      <c r="F1711" s="13"/>
      <c r="G1711" s="9">
        <f>IFERROR(VLOOKUP(D1711,Listas!$A$2:$B$20,2,FALSE()),999)</f>
        <v>1</v>
      </c>
      <c r="H1711" s="9" t="str">
        <f t="shared" ca="1" si="26"/>
        <v>Sin fecha</v>
      </c>
      <c r="J1711" s="11">
        <v>60</v>
      </c>
      <c r="K1711" s="11">
        <v>2</v>
      </c>
      <c r="L1711" s="12">
        <v>46204</v>
      </c>
      <c r="M1711" t="s">
        <v>20</v>
      </c>
    </row>
    <row r="1712" spans="1:13" ht="75">
      <c r="A1712" s="6" t="s">
        <v>2872</v>
      </c>
      <c r="B1712" s="7" t="s">
        <v>1412</v>
      </c>
      <c r="C1712" s="7" t="s">
        <v>2797</v>
      </c>
      <c r="D1712" s="6" t="s">
        <v>18</v>
      </c>
      <c r="E1712" s="7" t="s">
        <v>2286</v>
      </c>
      <c r="F1712" s="13"/>
      <c r="G1712" s="9">
        <f>IFERROR(VLOOKUP(D1712,Listas!$A$2:$B$20,2,FALSE()),999)</f>
        <v>1</v>
      </c>
      <c r="H1712" s="9" t="str">
        <f t="shared" ca="1" si="26"/>
        <v>Sin fecha</v>
      </c>
      <c r="J1712" s="11">
        <v>60</v>
      </c>
      <c r="K1712" s="11">
        <v>2</v>
      </c>
      <c r="L1712" s="12">
        <v>46204</v>
      </c>
      <c r="M1712" t="s">
        <v>20</v>
      </c>
    </row>
    <row r="1713" spans="1:13" ht="75">
      <c r="A1713" s="6" t="s">
        <v>2873</v>
      </c>
      <c r="B1713" s="7" t="s">
        <v>1412</v>
      </c>
      <c r="C1713" s="7" t="s">
        <v>2797</v>
      </c>
      <c r="D1713" s="6" t="s">
        <v>18</v>
      </c>
      <c r="E1713" s="7" t="s">
        <v>2286</v>
      </c>
      <c r="F1713" s="13"/>
      <c r="G1713" s="9">
        <f>IFERROR(VLOOKUP(D1713,Listas!$A$2:$B$20,2,FALSE()),999)</f>
        <v>1</v>
      </c>
      <c r="H1713" s="9" t="str">
        <f t="shared" ca="1" si="26"/>
        <v>Sin fecha</v>
      </c>
      <c r="J1713" s="11">
        <v>60</v>
      </c>
      <c r="K1713" s="11">
        <v>2</v>
      </c>
      <c r="L1713" s="12">
        <v>46204</v>
      </c>
      <c r="M1713" t="s">
        <v>20</v>
      </c>
    </row>
    <row r="1714" spans="1:13" ht="75">
      <c r="A1714" s="6" t="s">
        <v>2874</v>
      </c>
      <c r="B1714" s="7" t="s">
        <v>1412</v>
      </c>
      <c r="C1714" s="7" t="s">
        <v>2797</v>
      </c>
      <c r="D1714" s="6" t="s">
        <v>18</v>
      </c>
      <c r="E1714" s="7" t="s">
        <v>2286</v>
      </c>
      <c r="F1714" s="13"/>
      <c r="G1714" s="9">
        <f>IFERROR(VLOOKUP(D1714,Listas!$A$2:$B$20,2,FALSE()),999)</f>
        <v>1</v>
      </c>
      <c r="H1714" s="9" t="str">
        <f t="shared" ca="1" si="26"/>
        <v>Sin fecha</v>
      </c>
      <c r="J1714" s="11">
        <v>60</v>
      </c>
      <c r="K1714" s="11">
        <v>2</v>
      </c>
      <c r="L1714" s="12">
        <v>46204</v>
      </c>
      <c r="M1714" t="s">
        <v>20</v>
      </c>
    </row>
    <row r="1715" spans="1:13" ht="75">
      <c r="A1715" s="6" t="s">
        <v>2875</v>
      </c>
      <c r="B1715" s="7" t="s">
        <v>1412</v>
      </c>
      <c r="C1715" s="7" t="s">
        <v>2797</v>
      </c>
      <c r="D1715" s="6" t="s">
        <v>18</v>
      </c>
      <c r="E1715" s="7" t="s">
        <v>2286</v>
      </c>
      <c r="F1715" s="13"/>
      <c r="G1715" s="9">
        <f>IFERROR(VLOOKUP(D1715,Listas!$A$2:$B$20,2,FALSE()),999)</f>
        <v>1</v>
      </c>
      <c r="H1715" s="9" t="str">
        <f t="shared" ca="1" si="26"/>
        <v>Sin fecha</v>
      </c>
      <c r="J1715" s="11">
        <v>60</v>
      </c>
      <c r="K1715" s="11">
        <v>2</v>
      </c>
      <c r="L1715" s="12">
        <v>46204</v>
      </c>
      <c r="M1715" t="s">
        <v>20</v>
      </c>
    </row>
    <row r="1716" spans="1:13" ht="75">
      <c r="A1716" s="6" t="s">
        <v>2876</v>
      </c>
      <c r="B1716" s="7" t="s">
        <v>1412</v>
      </c>
      <c r="C1716" s="7" t="s">
        <v>2797</v>
      </c>
      <c r="D1716" s="6" t="s">
        <v>18</v>
      </c>
      <c r="E1716" s="7" t="s">
        <v>2286</v>
      </c>
      <c r="F1716" s="13"/>
      <c r="G1716" s="9">
        <f>IFERROR(VLOOKUP(D1716,Listas!$A$2:$B$20,2,FALSE()),999)</f>
        <v>1</v>
      </c>
      <c r="H1716" s="9" t="str">
        <f t="shared" ca="1" si="26"/>
        <v>Sin fecha</v>
      </c>
      <c r="J1716" s="11">
        <v>60</v>
      </c>
      <c r="K1716" s="11">
        <v>2</v>
      </c>
      <c r="L1716" s="12">
        <v>46204</v>
      </c>
      <c r="M1716" t="s">
        <v>20</v>
      </c>
    </row>
    <row r="1717" spans="1:13" ht="75">
      <c r="A1717" s="6" t="s">
        <v>2877</v>
      </c>
      <c r="B1717" s="7" t="s">
        <v>1412</v>
      </c>
      <c r="C1717" s="7" t="s">
        <v>2797</v>
      </c>
      <c r="D1717" s="6" t="s">
        <v>18</v>
      </c>
      <c r="E1717" s="7" t="s">
        <v>2286</v>
      </c>
      <c r="F1717" s="13"/>
      <c r="G1717" s="9">
        <f>IFERROR(VLOOKUP(D1717,Listas!$A$2:$B$20,2,FALSE()),999)</f>
        <v>1</v>
      </c>
      <c r="H1717" s="9" t="str">
        <f t="shared" ca="1" si="26"/>
        <v>Sin fecha</v>
      </c>
      <c r="J1717" s="11">
        <v>60</v>
      </c>
      <c r="K1717" s="11">
        <v>2</v>
      </c>
      <c r="L1717" s="12">
        <v>46204</v>
      </c>
      <c r="M1717" t="s">
        <v>20</v>
      </c>
    </row>
    <row r="1718" spans="1:13" ht="75">
      <c r="A1718" s="6" t="s">
        <v>2878</v>
      </c>
      <c r="B1718" s="7" t="s">
        <v>1412</v>
      </c>
      <c r="C1718" s="7" t="s">
        <v>2797</v>
      </c>
      <c r="D1718" s="6" t="s">
        <v>18</v>
      </c>
      <c r="E1718" s="7" t="s">
        <v>2286</v>
      </c>
      <c r="F1718" s="13"/>
      <c r="G1718" s="9">
        <f>IFERROR(VLOOKUP(D1718,Listas!$A$2:$B$20,2,FALSE()),999)</f>
        <v>1</v>
      </c>
      <c r="H1718" s="9" t="str">
        <f t="shared" ca="1" si="26"/>
        <v>Sin fecha</v>
      </c>
      <c r="J1718" s="11">
        <v>60</v>
      </c>
      <c r="K1718" s="11">
        <v>2</v>
      </c>
      <c r="L1718" s="12">
        <v>46204</v>
      </c>
      <c r="M1718" t="s">
        <v>20</v>
      </c>
    </row>
    <row r="1719" spans="1:13" ht="75">
      <c r="A1719" s="6" t="s">
        <v>2879</v>
      </c>
      <c r="B1719" s="7" t="s">
        <v>1412</v>
      </c>
      <c r="C1719" s="7" t="s">
        <v>2797</v>
      </c>
      <c r="D1719" s="6" t="s">
        <v>18</v>
      </c>
      <c r="E1719" s="7" t="s">
        <v>2286</v>
      </c>
      <c r="F1719" s="13"/>
      <c r="G1719" s="9">
        <f>IFERROR(VLOOKUP(D1719,Listas!$A$2:$B$20,2,FALSE()),999)</f>
        <v>1</v>
      </c>
      <c r="H1719" s="9" t="str">
        <f t="shared" ca="1" si="26"/>
        <v>Sin fecha</v>
      </c>
      <c r="J1719" s="11">
        <v>60</v>
      </c>
      <c r="K1719" s="11">
        <v>2</v>
      </c>
      <c r="L1719" s="12">
        <v>46204</v>
      </c>
      <c r="M1719" t="s">
        <v>20</v>
      </c>
    </row>
    <row r="1720" spans="1:13" ht="75">
      <c r="A1720" s="6" t="s">
        <v>2880</v>
      </c>
      <c r="B1720" s="7" t="s">
        <v>1412</v>
      </c>
      <c r="C1720" s="7" t="s">
        <v>2797</v>
      </c>
      <c r="D1720" s="6" t="s">
        <v>18</v>
      </c>
      <c r="E1720" s="7" t="s">
        <v>2286</v>
      </c>
      <c r="F1720" s="13"/>
      <c r="G1720" s="9">
        <f>IFERROR(VLOOKUP(D1720,Listas!$A$2:$B$20,2,FALSE()),999)</f>
        <v>1</v>
      </c>
      <c r="H1720" s="9" t="str">
        <f t="shared" ca="1" si="26"/>
        <v>Sin fecha</v>
      </c>
      <c r="J1720" s="11">
        <v>60</v>
      </c>
      <c r="K1720" s="11">
        <v>2</v>
      </c>
      <c r="L1720" s="12">
        <v>46204</v>
      </c>
      <c r="M1720" t="s">
        <v>20</v>
      </c>
    </row>
    <row r="1721" spans="1:13" ht="75">
      <c r="A1721" s="6" t="s">
        <v>2881</v>
      </c>
      <c r="B1721" s="7" t="s">
        <v>1412</v>
      </c>
      <c r="C1721" s="7" t="s">
        <v>2797</v>
      </c>
      <c r="D1721" s="6" t="s">
        <v>18</v>
      </c>
      <c r="E1721" s="7" t="s">
        <v>2286</v>
      </c>
      <c r="F1721" s="13"/>
      <c r="G1721" s="9">
        <f>IFERROR(VLOOKUP(D1721,Listas!$A$2:$B$20,2,FALSE()),999)</f>
        <v>1</v>
      </c>
      <c r="H1721" s="9" t="str">
        <f t="shared" ca="1" si="26"/>
        <v>Sin fecha</v>
      </c>
      <c r="J1721" s="11">
        <v>60</v>
      </c>
      <c r="K1721" s="11">
        <v>2</v>
      </c>
      <c r="L1721" s="12">
        <v>46204</v>
      </c>
      <c r="M1721" t="s">
        <v>20</v>
      </c>
    </row>
    <row r="1722" spans="1:13" ht="75">
      <c r="A1722" s="6" t="s">
        <v>2882</v>
      </c>
      <c r="B1722" s="7" t="s">
        <v>1412</v>
      </c>
      <c r="C1722" s="7" t="s">
        <v>2797</v>
      </c>
      <c r="D1722" s="6" t="s">
        <v>18</v>
      </c>
      <c r="E1722" s="7" t="s">
        <v>2286</v>
      </c>
      <c r="F1722" s="13"/>
      <c r="G1722" s="9">
        <f>IFERROR(VLOOKUP(D1722,Listas!$A$2:$B$20,2,FALSE()),999)</f>
        <v>1</v>
      </c>
      <c r="H1722" s="9" t="str">
        <f t="shared" ca="1" si="26"/>
        <v>Sin fecha</v>
      </c>
      <c r="J1722" s="11">
        <v>60</v>
      </c>
      <c r="K1722" s="11">
        <v>2</v>
      </c>
      <c r="L1722" s="12">
        <v>46204</v>
      </c>
      <c r="M1722" t="s">
        <v>20</v>
      </c>
    </row>
    <row r="1723" spans="1:13" ht="75">
      <c r="A1723" s="6" t="s">
        <v>2883</v>
      </c>
      <c r="B1723" s="7" t="s">
        <v>1412</v>
      </c>
      <c r="C1723" s="7" t="s">
        <v>2797</v>
      </c>
      <c r="D1723" s="6" t="s">
        <v>18</v>
      </c>
      <c r="E1723" s="7" t="s">
        <v>2286</v>
      </c>
      <c r="F1723" s="13"/>
      <c r="G1723" s="9">
        <f>IFERROR(VLOOKUP(D1723,Listas!$A$2:$B$20,2,FALSE()),999)</f>
        <v>1</v>
      </c>
      <c r="H1723" s="9" t="str">
        <f t="shared" ca="1" si="26"/>
        <v>Sin fecha</v>
      </c>
      <c r="J1723" s="11">
        <v>60</v>
      </c>
      <c r="K1723" s="11">
        <v>2</v>
      </c>
      <c r="L1723" s="12">
        <v>46204</v>
      </c>
      <c r="M1723" t="s">
        <v>20</v>
      </c>
    </row>
    <row r="1724" spans="1:13" ht="75">
      <c r="A1724" s="6" t="s">
        <v>2884</v>
      </c>
      <c r="B1724" s="7" t="s">
        <v>1412</v>
      </c>
      <c r="C1724" s="7" t="s">
        <v>2797</v>
      </c>
      <c r="D1724" s="6" t="s">
        <v>18</v>
      </c>
      <c r="E1724" s="7" t="s">
        <v>2286</v>
      </c>
      <c r="F1724" s="13"/>
      <c r="G1724" s="9">
        <f>IFERROR(VLOOKUP(D1724,Listas!$A$2:$B$20,2,FALSE()),999)</f>
        <v>1</v>
      </c>
      <c r="H1724" s="9" t="str">
        <f t="shared" ca="1" si="26"/>
        <v>Sin fecha</v>
      </c>
      <c r="J1724" s="11">
        <v>60</v>
      </c>
      <c r="K1724" s="11">
        <v>2</v>
      </c>
      <c r="L1724" s="12">
        <v>46204</v>
      </c>
      <c r="M1724" t="s">
        <v>20</v>
      </c>
    </row>
    <row r="1725" spans="1:13" ht="75">
      <c r="A1725" s="6" t="s">
        <v>2885</v>
      </c>
      <c r="B1725" s="7" t="s">
        <v>1412</v>
      </c>
      <c r="C1725" s="7" t="s">
        <v>2797</v>
      </c>
      <c r="D1725" s="6" t="s">
        <v>18</v>
      </c>
      <c r="E1725" s="7" t="s">
        <v>2286</v>
      </c>
      <c r="F1725" s="13"/>
      <c r="G1725" s="9">
        <f>IFERROR(VLOOKUP(D1725,Listas!$A$2:$B$20,2,FALSE()),999)</f>
        <v>1</v>
      </c>
      <c r="H1725" s="9" t="str">
        <f t="shared" ca="1" si="26"/>
        <v>Sin fecha</v>
      </c>
      <c r="J1725" s="11">
        <v>60</v>
      </c>
      <c r="K1725" s="11">
        <v>2</v>
      </c>
      <c r="L1725" s="12">
        <v>46204</v>
      </c>
      <c r="M1725" t="s">
        <v>20</v>
      </c>
    </row>
    <row r="1726" spans="1:13" ht="75">
      <c r="A1726" s="6" t="s">
        <v>2886</v>
      </c>
      <c r="B1726" s="7" t="s">
        <v>1412</v>
      </c>
      <c r="C1726" s="7" t="s">
        <v>2797</v>
      </c>
      <c r="D1726" s="6" t="s">
        <v>18</v>
      </c>
      <c r="E1726" s="7" t="s">
        <v>2286</v>
      </c>
      <c r="F1726" s="13"/>
      <c r="G1726" s="9">
        <f>IFERROR(VLOOKUP(D1726,Listas!$A$2:$B$20,2,FALSE()),999)</f>
        <v>1</v>
      </c>
      <c r="H1726" s="9" t="str">
        <f t="shared" ca="1" si="26"/>
        <v>Sin fecha</v>
      </c>
      <c r="J1726" s="11">
        <v>60</v>
      </c>
      <c r="K1726" s="11">
        <v>2</v>
      </c>
      <c r="L1726" s="12">
        <v>46204</v>
      </c>
      <c r="M1726" t="s">
        <v>20</v>
      </c>
    </row>
    <row r="1727" spans="1:13" ht="75">
      <c r="A1727" s="6" t="s">
        <v>2887</v>
      </c>
      <c r="B1727" s="7" t="s">
        <v>1412</v>
      </c>
      <c r="C1727" s="7" t="s">
        <v>2797</v>
      </c>
      <c r="D1727" s="6" t="s">
        <v>18</v>
      </c>
      <c r="E1727" s="7" t="s">
        <v>2286</v>
      </c>
      <c r="F1727" s="13"/>
      <c r="G1727" s="9">
        <f>IFERROR(VLOOKUP(D1727,Listas!$A$2:$B$20,2,FALSE()),999)</f>
        <v>1</v>
      </c>
      <c r="H1727" s="9" t="str">
        <f t="shared" ca="1" si="26"/>
        <v>Sin fecha</v>
      </c>
      <c r="J1727" s="11">
        <v>60</v>
      </c>
      <c r="K1727" s="11">
        <v>2</v>
      </c>
      <c r="L1727" s="12">
        <v>46204</v>
      </c>
      <c r="M1727" t="s">
        <v>20</v>
      </c>
    </row>
    <row r="1728" spans="1:13" ht="75">
      <c r="A1728" s="6" t="s">
        <v>2888</v>
      </c>
      <c r="B1728" s="7" t="s">
        <v>1412</v>
      </c>
      <c r="C1728" s="7" t="s">
        <v>2797</v>
      </c>
      <c r="D1728" s="6" t="s">
        <v>18</v>
      </c>
      <c r="E1728" s="7" t="s">
        <v>2286</v>
      </c>
      <c r="F1728" s="13"/>
      <c r="G1728" s="9">
        <f>IFERROR(VLOOKUP(D1728,Listas!$A$2:$B$20,2,FALSE()),999)</f>
        <v>1</v>
      </c>
      <c r="H1728" s="9" t="str">
        <f t="shared" ca="1" si="26"/>
        <v>Sin fecha</v>
      </c>
      <c r="J1728" s="11">
        <v>60</v>
      </c>
      <c r="K1728" s="11">
        <v>2</v>
      </c>
      <c r="L1728" s="12">
        <v>46204</v>
      </c>
      <c r="M1728" t="s">
        <v>20</v>
      </c>
    </row>
    <row r="1729" spans="1:13" ht="75">
      <c r="A1729" s="6" t="s">
        <v>2889</v>
      </c>
      <c r="B1729" s="7" t="s">
        <v>1412</v>
      </c>
      <c r="C1729" s="7" t="s">
        <v>2797</v>
      </c>
      <c r="D1729" s="6" t="s">
        <v>18</v>
      </c>
      <c r="E1729" s="7" t="s">
        <v>2286</v>
      </c>
      <c r="F1729" s="13"/>
      <c r="G1729" s="9">
        <f>IFERROR(VLOOKUP(D1729,Listas!$A$2:$B$20,2,FALSE()),999)</f>
        <v>1</v>
      </c>
      <c r="H1729" s="9" t="str">
        <f t="shared" ca="1" si="26"/>
        <v>Sin fecha</v>
      </c>
      <c r="J1729" s="11">
        <v>60</v>
      </c>
      <c r="K1729" s="11">
        <v>2</v>
      </c>
      <c r="L1729" s="12">
        <v>46204</v>
      </c>
      <c r="M1729" t="s">
        <v>20</v>
      </c>
    </row>
    <row r="1730" spans="1:13" ht="75">
      <c r="A1730" s="6" t="s">
        <v>2890</v>
      </c>
      <c r="B1730" s="7" t="s">
        <v>1412</v>
      </c>
      <c r="C1730" s="7" t="s">
        <v>2797</v>
      </c>
      <c r="D1730" s="6" t="s">
        <v>18</v>
      </c>
      <c r="E1730" s="7" t="s">
        <v>2286</v>
      </c>
      <c r="F1730" s="13"/>
      <c r="G1730" s="9">
        <f>IFERROR(VLOOKUP(D1730,Listas!$A$2:$B$20,2,FALSE()),999)</f>
        <v>1</v>
      </c>
      <c r="H1730" s="9" t="str">
        <f t="shared" ca="1" si="26"/>
        <v>Sin fecha</v>
      </c>
      <c r="J1730" s="11">
        <v>60</v>
      </c>
      <c r="K1730" s="11">
        <v>2</v>
      </c>
      <c r="L1730" s="12">
        <v>46204</v>
      </c>
      <c r="M1730" t="s">
        <v>20</v>
      </c>
    </row>
    <row r="1731" spans="1:13" ht="75">
      <c r="A1731" s="6" t="s">
        <v>2891</v>
      </c>
      <c r="B1731" s="7" t="s">
        <v>1412</v>
      </c>
      <c r="C1731" s="7" t="s">
        <v>2797</v>
      </c>
      <c r="D1731" s="6" t="s">
        <v>18</v>
      </c>
      <c r="E1731" s="7" t="s">
        <v>2286</v>
      </c>
      <c r="F1731" s="13"/>
      <c r="G1731" s="9">
        <f>IFERROR(VLOOKUP(D1731,Listas!$A$2:$B$20,2,FALSE()),999)</f>
        <v>1</v>
      </c>
      <c r="H1731" s="9" t="str">
        <f t="shared" ca="1" si="26"/>
        <v>Sin fecha</v>
      </c>
      <c r="J1731" s="11">
        <v>60</v>
      </c>
      <c r="K1731" s="11">
        <v>2</v>
      </c>
      <c r="L1731" s="12">
        <v>46204</v>
      </c>
      <c r="M1731" t="s">
        <v>20</v>
      </c>
    </row>
    <row r="1732" spans="1:13" ht="75">
      <c r="A1732" s="6" t="s">
        <v>2892</v>
      </c>
      <c r="B1732" s="7" t="s">
        <v>1412</v>
      </c>
      <c r="C1732" s="7" t="s">
        <v>2797</v>
      </c>
      <c r="D1732" s="6" t="s">
        <v>18</v>
      </c>
      <c r="E1732" s="7" t="s">
        <v>2286</v>
      </c>
      <c r="F1732" s="13"/>
      <c r="G1732" s="9">
        <f>IFERROR(VLOOKUP(D1732,Listas!$A$2:$B$20,2,FALSE()),999)</f>
        <v>1</v>
      </c>
      <c r="H1732" s="9" t="str">
        <f t="shared" ca="1" si="26"/>
        <v>Sin fecha</v>
      </c>
      <c r="J1732" s="11">
        <v>60</v>
      </c>
      <c r="K1732" s="11">
        <v>2</v>
      </c>
      <c r="L1732" s="12">
        <v>46204</v>
      </c>
      <c r="M1732" t="s">
        <v>20</v>
      </c>
    </row>
    <row r="1733" spans="1:13" ht="75">
      <c r="A1733" s="6" t="s">
        <v>2893</v>
      </c>
      <c r="B1733" s="7" t="s">
        <v>1412</v>
      </c>
      <c r="C1733" s="7" t="s">
        <v>2797</v>
      </c>
      <c r="D1733" s="6" t="s">
        <v>18</v>
      </c>
      <c r="E1733" s="7" t="s">
        <v>2286</v>
      </c>
      <c r="F1733" s="13"/>
      <c r="G1733" s="9">
        <f>IFERROR(VLOOKUP(D1733,Listas!$A$2:$B$20,2,FALSE()),999)</f>
        <v>1</v>
      </c>
      <c r="H1733" s="9" t="str">
        <f t="shared" ref="H1733:H1796" ca="1" si="27">IF(F1733="","Sin fecha",IF(TODAY()-F1733&gt;180,"Revisar",IF(TODAY()-F1733&gt;90,"Próximo","Vigente")))</f>
        <v>Sin fecha</v>
      </c>
      <c r="J1733" s="11">
        <v>60</v>
      </c>
      <c r="K1733" s="11">
        <v>2</v>
      </c>
      <c r="L1733" s="12">
        <v>46204</v>
      </c>
      <c r="M1733" t="s">
        <v>20</v>
      </c>
    </row>
    <row r="1734" spans="1:13" ht="75">
      <c r="A1734" s="6" t="s">
        <v>2894</v>
      </c>
      <c r="B1734" s="7" t="s">
        <v>1412</v>
      </c>
      <c r="C1734" s="7" t="s">
        <v>2797</v>
      </c>
      <c r="D1734" s="6" t="s">
        <v>18</v>
      </c>
      <c r="E1734" s="7" t="s">
        <v>2286</v>
      </c>
      <c r="F1734" s="13"/>
      <c r="G1734" s="9">
        <f>IFERROR(VLOOKUP(D1734,Listas!$A$2:$B$20,2,FALSE()),999)</f>
        <v>1</v>
      </c>
      <c r="H1734" s="9" t="str">
        <f t="shared" ca="1" si="27"/>
        <v>Sin fecha</v>
      </c>
      <c r="J1734" s="11">
        <v>60</v>
      </c>
      <c r="K1734" s="11">
        <v>2</v>
      </c>
      <c r="L1734" s="12">
        <v>46204</v>
      </c>
      <c r="M1734" t="s">
        <v>20</v>
      </c>
    </row>
    <row r="1735" spans="1:13" ht="75">
      <c r="A1735" s="6" t="s">
        <v>2895</v>
      </c>
      <c r="B1735" s="7" t="s">
        <v>1412</v>
      </c>
      <c r="C1735" s="7" t="s">
        <v>2797</v>
      </c>
      <c r="D1735" s="6" t="s">
        <v>18</v>
      </c>
      <c r="E1735" s="7" t="s">
        <v>2286</v>
      </c>
      <c r="F1735" s="13"/>
      <c r="G1735" s="9">
        <f>IFERROR(VLOOKUP(D1735,Listas!$A$2:$B$20,2,FALSE()),999)</f>
        <v>1</v>
      </c>
      <c r="H1735" s="9" t="str">
        <f t="shared" ca="1" si="27"/>
        <v>Sin fecha</v>
      </c>
      <c r="J1735" s="11">
        <v>60</v>
      </c>
      <c r="K1735" s="11">
        <v>2</v>
      </c>
      <c r="L1735" s="12">
        <v>46204</v>
      </c>
      <c r="M1735" t="s">
        <v>20</v>
      </c>
    </row>
    <row r="1736" spans="1:13" ht="75">
      <c r="A1736" s="6" t="s">
        <v>2896</v>
      </c>
      <c r="B1736" s="7" t="s">
        <v>1412</v>
      </c>
      <c r="C1736" s="7" t="s">
        <v>2797</v>
      </c>
      <c r="D1736" s="6" t="s">
        <v>18</v>
      </c>
      <c r="E1736" s="7" t="s">
        <v>2286</v>
      </c>
      <c r="F1736" s="13"/>
      <c r="G1736" s="9">
        <f>IFERROR(VLOOKUP(D1736,Listas!$A$2:$B$20,2,FALSE()),999)</f>
        <v>1</v>
      </c>
      <c r="H1736" s="9" t="str">
        <f t="shared" ca="1" si="27"/>
        <v>Sin fecha</v>
      </c>
      <c r="J1736" s="11">
        <v>60</v>
      </c>
      <c r="K1736" s="11">
        <v>2</v>
      </c>
      <c r="L1736" s="12">
        <v>46204</v>
      </c>
      <c r="M1736" t="s">
        <v>20</v>
      </c>
    </row>
    <row r="1737" spans="1:13" ht="75">
      <c r="A1737" s="6" t="s">
        <v>2897</v>
      </c>
      <c r="B1737" s="7" t="s">
        <v>1412</v>
      </c>
      <c r="C1737" s="7" t="s">
        <v>2797</v>
      </c>
      <c r="D1737" s="6" t="s">
        <v>18</v>
      </c>
      <c r="E1737" s="7" t="s">
        <v>2286</v>
      </c>
      <c r="F1737" s="13"/>
      <c r="G1737" s="9">
        <f>IFERROR(VLOOKUP(D1737,Listas!$A$2:$B$20,2,FALSE()),999)</f>
        <v>1</v>
      </c>
      <c r="H1737" s="9" t="str">
        <f t="shared" ca="1" si="27"/>
        <v>Sin fecha</v>
      </c>
      <c r="J1737" s="11">
        <v>60</v>
      </c>
      <c r="K1737" s="11">
        <v>2</v>
      </c>
      <c r="L1737" s="12">
        <v>46204</v>
      </c>
      <c r="M1737" t="s">
        <v>20</v>
      </c>
    </row>
    <row r="1738" spans="1:13" ht="75">
      <c r="A1738" s="6" t="s">
        <v>2898</v>
      </c>
      <c r="B1738" s="7" t="s">
        <v>1412</v>
      </c>
      <c r="C1738" s="7" t="s">
        <v>2797</v>
      </c>
      <c r="D1738" s="6" t="s">
        <v>18</v>
      </c>
      <c r="E1738" s="7" t="s">
        <v>2286</v>
      </c>
      <c r="F1738" s="13"/>
      <c r="G1738" s="9">
        <f>IFERROR(VLOOKUP(D1738,Listas!$A$2:$B$20,2,FALSE()),999)</f>
        <v>1</v>
      </c>
      <c r="H1738" s="9" t="str">
        <f t="shared" ca="1" si="27"/>
        <v>Sin fecha</v>
      </c>
      <c r="J1738" s="11">
        <v>60</v>
      </c>
      <c r="K1738" s="11">
        <v>2</v>
      </c>
      <c r="L1738" s="12">
        <v>46204</v>
      </c>
      <c r="M1738" t="s">
        <v>20</v>
      </c>
    </row>
    <row r="1739" spans="1:13" ht="75">
      <c r="A1739" s="6" t="s">
        <v>2899</v>
      </c>
      <c r="B1739" s="7" t="s">
        <v>1412</v>
      </c>
      <c r="C1739" s="7" t="s">
        <v>2797</v>
      </c>
      <c r="D1739" s="6" t="s">
        <v>18</v>
      </c>
      <c r="E1739" s="7" t="s">
        <v>2286</v>
      </c>
      <c r="F1739" s="13"/>
      <c r="G1739" s="9">
        <f>IFERROR(VLOOKUP(D1739,Listas!$A$2:$B$20,2,FALSE()),999)</f>
        <v>1</v>
      </c>
      <c r="H1739" s="9" t="str">
        <f t="shared" ca="1" si="27"/>
        <v>Sin fecha</v>
      </c>
      <c r="J1739" s="11">
        <v>60</v>
      </c>
      <c r="K1739" s="11">
        <v>2</v>
      </c>
      <c r="L1739" s="12">
        <v>46204</v>
      </c>
      <c r="M1739" t="s">
        <v>20</v>
      </c>
    </row>
    <row r="1740" spans="1:13" ht="75">
      <c r="A1740" s="6" t="s">
        <v>2900</v>
      </c>
      <c r="B1740" s="7" t="s">
        <v>1412</v>
      </c>
      <c r="C1740" s="7" t="s">
        <v>2797</v>
      </c>
      <c r="D1740" s="6" t="s">
        <v>18</v>
      </c>
      <c r="E1740" s="7" t="s">
        <v>2286</v>
      </c>
      <c r="F1740" s="13"/>
      <c r="G1740" s="9">
        <f>IFERROR(VLOOKUP(D1740,Listas!$A$2:$B$20,2,FALSE()),999)</f>
        <v>1</v>
      </c>
      <c r="H1740" s="9" t="str">
        <f t="shared" ca="1" si="27"/>
        <v>Sin fecha</v>
      </c>
      <c r="J1740" s="11">
        <v>60</v>
      </c>
      <c r="K1740" s="11">
        <v>2</v>
      </c>
      <c r="L1740" s="12">
        <v>46204</v>
      </c>
      <c r="M1740" t="s">
        <v>20</v>
      </c>
    </row>
    <row r="1741" spans="1:13" ht="75">
      <c r="A1741" s="6" t="s">
        <v>2901</v>
      </c>
      <c r="B1741" s="7" t="s">
        <v>1412</v>
      </c>
      <c r="C1741" s="7" t="s">
        <v>2797</v>
      </c>
      <c r="D1741" s="6" t="s">
        <v>18</v>
      </c>
      <c r="E1741" s="7" t="s">
        <v>2286</v>
      </c>
      <c r="F1741" s="13"/>
      <c r="G1741" s="9">
        <f>IFERROR(VLOOKUP(D1741,Listas!$A$2:$B$20,2,FALSE()),999)</f>
        <v>1</v>
      </c>
      <c r="H1741" s="9" t="str">
        <f t="shared" ca="1" si="27"/>
        <v>Sin fecha</v>
      </c>
      <c r="J1741" s="11">
        <v>60</v>
      </c>
      <c r="K1741" s="11">
        <v>2</v>
      </c>
      <c r="L1741" s="12">
        <v>46204</v>
      </c>
      <c r="M1741" t="s">
        <v>20</v>
      </c>
    </row>
    <row r="1742" spans="1:13" ht="75">
      <c r="A1742" s="6" t="s">
        <v>2902</v>
      </c>
      <c r="B1742" s="7" t="s">
        <v>1412</v>
      </c>
      <c r="C1742" s="7" t="s">
        <v>2797</v>
      </c>
      <c r="D1742" s="6" t="s">
        <v>18</v>
      </c>
      <c r="E1742" s="7" t="s">
        <v>2286</v>
      </c>
      <c r="F1742" s="13"/>
      <c r="G1742" s="9">
        <f>IFERROR(VLOOKUP(D1742,Listas!$A$2:$B$20,2,FALSE()),999)</f>
        <v>1</v>
      </c>
      <c r="H1742" s="9" t="str">
        <f t="shared" ca="1" si="27"/>
        <v>Sin fecha</v>
      </c>
      <c r="J1742" s="11">
        <v>60</v>
      </c>
      <c r="K1742" s="11">
        <v>2</v>
      </c>
      <c r="L1742" s="12">
        <v>46204</v>
      </c>
      <c r="M1742" t="s">
        <v>20</v>
      </c>
    </row>
    <row r="1743" spans="1:13" ht="75">
      <c r="A1743" s="6" t="s">
        <v>2903</v>
      </c>
      <c r="B1743" s="7" t="s">
        <v>1412</v>
      </c>
      <c r="C1743" s="7" t="s">
        <v>2797</v>
      </c>
      <c r="D1743" s="6" t="s">
        <v>18</v>
      </c>
      <c r="E1743" s="7" t="s">
        <v>2286</v>
      </c>
      <c r="F1743" s="13"/>
      <c r="G1743" s="9">
        <f>IFERROR(VLOOKUP(D1743,Listas!$A$2:$B$20,2,FALSE()),999)</f>
        <v>1</v>
      </c>
      <c r="H1743" s="9" t="str">
        <f t="shared" ca="1" si="27"/>
        <v>Sin fecha</v>
      </c>
      <c r="J1743" s="11">
        <v>60</v>
      </c>
      <c r="K1743" s="11">
        <v>2</v>
      </c>
      <c r="L1743" s="12">
        <v>46204</v>
      </c>
      <c r="M1743" t="s">
        <v>20</v>
      </c>
    </row>
    <row r="1744" spans="1:13" ht="75">
      <c r="A1744" s="6" t="s">
        <v>2904</v>
      </c>
      <c r="B1744" s="7" t="s">
        <v>1412</v>
      </c>
      <c r="C1744" s="7" t="s">
        <v>2797</v>
      </c>
      <c r="D1744" s="6" t="s">
        <v>18</v>
      </c>
      <c r="E1744" s="7" t="s">
        <v>2286</v>
      </c>
      <c r="F1744" s="13"/>
      <c r="G1744" s="9">
        <f>IFERROR(VLOOKUP(D1744,Listas!$A$2:$B$20,2,FALSE()),999)</f>
        <v>1</v>
      </c>
      <c r="H1744" s="9" t="str">
        <f t="shared" ca="1" si="27"/>
        <v>Sin fecha</v>
      </c>
      <c r="J1744" s="11">
        <v>60</v>
      </c>
      <c r="K1744" s="11">
        <v>2</v>
      </c>
      <c r="L1744" s="12">
        <v>46204</v>
      </c>
      <c r="M1744" t="s">
        <v>20</v>
      </c>
    </row>
    <row r="1745" spans="1:13" ht="75">
      <c r="A1745" s="6" t="s">
        <v>2905</v>
      </c>
      <c r="B1745" s="7" t="s">
        <v>1412</v>
      </c>
      <c r="C1745" s="7" t="s">
        <v>2797</v>
      </c>
      <c r="D1745" s="6" t="s">
        <v>18</v>
      </c>
      <c r="E1745" s="7" t="s">
        <v>2286</v>
      </c>
      <c r="F1745" s="13"/>
      <c r="G1745" s="9">
        <f>IFERROR(VLOOKUP(D1745,Listas!$A$2:$B$20,2,FALSE()),999)</f>
        <v>1</v>
      </c>
      <c r="H1745" s="9" t="str">
        <f t="shared" ca="1" si="27"/>
        <v>Sin fecha</v>
      </c>
      <c r="J1745" s="11">
        <v>60</v>
      </c>
      <c r="K1745" s="11">
        <v>2</v>
      </c>
      <c r="L1745" s="12">
        <v>46204</v>
      </c>
      <c r="M1745" t="s">
        <v>20</v>
      </c>
    </row>
    <row r="1746" spans="1:13" ht="75">
      <c r="A1746" s="6" t="s">
        <v>2906</v>
      </c>
      <c r="B1746" s="7" t="s">
        <v>1412</v>
      </c>
      <c r="C1746" s="7" t="s">
        <v>2797</v>
      </c>
      <c r="D1746" s="6" t="s">
        <v>18</v>
      </c>
      <c r="E1746" s="7" t="s">
        <v>2286</v>
      </c>
      <c r="F1746" s="13"/>
      <c r="G1746" s="9">
        <f>IFERROR(VLOOKUP(D1746,Listas!$A$2:$B$20,2,FALSE()),999)</f>
        <v>1</v>
      </c>
      <c r="H1746" s="9" t="str">
        <f t="shared" ca="1" si="27"/>
        <v>Sin fecha</v>
      </c>
      <c r="J1746" s="11">
        <v>60</v>
      </c>
      <c r="K1746" s="11">
        <v>2</v>
      </c>
      <c r="L1746" s="12">
        <v>46204</v>
      </c>
      <c r="M1746" t="s">
        <v>20</v>
      </c>
    </row>
    <row r="1747" spans="1:13" ht="75">
      <c r="A1747" s="6" t="s">
        <v>2907</v>
      </c>
      <c r="B1747" s="7" t="s">
        <v>1412</v>
      </c>
      <c r="C1747" s="7" t="s">
        <v>2797</v>
      </c>
      <c r="D1747" s="6" t="s">
        <v>18</v>
      </c>
      <c r="E1747" s="7" t="s">
        <v>2286</v>
      </c>
      <c r="F1747" s="13"/>
      <c r="G1747" s="9">
        <f>IFERROR(VLOOKUP(D1747,Listas!$A$2:$B$20,2,FALSE()),999)</f>
        <v>1</v>
      </c>
      <c r="H1747" s="9" t="str">
        <f t="shared" ca="1" si="27"/>
        <v>Sin fecha</v>
      </c>
      <c r="J1747" s="11">
        <v>60</v>
      </c>
      <c r="K1747" s="11">
        <v>2</v>
      </c>
      <c r="L1747" s="12">
        <v>46204</v>
      </c>
      <c r="M1747" t="s">
        <v>20</v>
      </c>
    </row>
    <row r="1748" spans="1:13" ht="75">
      <c r="A1748" s="6" t="s">
        <v>2908</v>
      </c>
      <c r="B1748" s="7" t="s">
        <v>1412</v>
      </c>
      <c r="C1748" s="7" t="s">
        <v>2797</v>
      </c>
      <c r="D1748" s="6" t="s">
        <v>18</v>
      </c>
      <c r="E1748" s="7" t="s">
        <v>2286</v>
      </c>
      <c r="F1748" s="13"/>
      <c r="G1748" s="9">
        <f>IFERROR(VLOOKUP(D1748,Listas!$A$2:$B$20,2,FALSE()),999)</f>
        <v>1</v>
      </c>
      <c r="H1748" s="9" t="str">
        <f t="shared" ca="1" si="27"/>
        <v>Sin fecha</v>
      </c>
      <c r="J1748" s="11">
        <v>60</v>
      </c>
      <c r="K1748" s="11">
        <v>2</v>
      </c>
      <c r="L1748" s="12">
        <v>46204</v>
      </c>
      <c r="M1748" t="s">
        <v>20</v>
      </c>
    </row>
    <row r="1749" spans="1:13" ht="75">
      <c r="A1749" s="6" t="s">
        <v>2909</v>
      </c>
      <c r="B1749" s="7" t="s">
        <v>1412</v>
      </c>
      <c r="C1749" s="7" t="s">
        <v>2797</v>
      </c>
      <c r="D1749" s="6" t="s">
        <v>18</v>
      </c>
      <c r="E1749" s="7" t="s">
        <v>2286</v>
      </c>
      <c r="F1749" s="13"/>
      <c r="G1749" s="9">
        <f>IFERROR(VLOOKUP(D1749,Listas!$A$2:$B$20,2,FALSE()),999)</f>
        <v>1</v>
      </c>
      <c r="H1749" s="9" t="str">
        <f t="shared" ca="1" si="27"/>
        <v>Sin fecha</v>
      </c>
      <c r="J1749" s="11">
        <v>60</v>
      </c>
      <c r="K1749" s="11">
        <v>2</v>
      </c>
      <c r="L1749" s="12">
        <v>46204</v>
      </c>
      <c r="M1749" t="s">
        <v>20</v>
      </c>
    </row>
    <row r="1750" spans="1:13" ht="75">
      <c r="A1750" s="6" t="s">
        <v>2910</v>
      </c>
      <c r="B1750" s="7" t="s">
        <v>1412</v>
      </c>
      <c r="C1750" s="7" t="s">
        <v>2797</v>
      </c>
      <c r="D1750" s="6" t="s">
        <v>18</v>
      </c>
      <c r="E1750" s="7" t="s">
        <v>2286</v>
      </c>
      <c r="F1750" s="13"/>
      <c r="G1750" s="9">
        <f>IFERROR(VLOOKUP(D1750,Listas!$A$2:$B$20,2,FALSE()),999)</f>
        <v>1</v>
      </c>
      <c r="H1750" s="9" t="str">
        <f t="shared" ca="1" si="27"/>
        <v>Sin fecha</v>
      </c>
      <c r="J1750" s="11">
        <v>60</v>
      </c>
      <c r="K1750" s="11">
        <v>2</v>
      </c>
      <c r="L1750" s="12">
        <v>46204</v>
      </c>
      <c r="M1750" t="s">
        <v>20</v>
      </c>
    </row>
    <row r="1751" spans="1:13" ht="75">
      <c r="A1751" s="6" t="s">
        <v>2911</v>
      </c>
      <c r="B1751" s="7" t="s">
        <v>1412</v>
      </c>
      <c r="C1751" s="7" t="s">
        <v>2797</v>
      </c>
      <c r="D1751" s="6" t="s">
        <v>18</v>
      </c>
      <c r="E1751" s="7" t="s">
        <v>2286</v>
      </c>
      <c r="F1751" s="13"/>
      <c r="G1751" s="9">
        <f>IFERROR(VLOOKUP(D1751,Listas!$A$2:$B$20,2,FALSE()),999)</f>
        <v>1</v>
      </c>
      <c r="H1751" s="9" t="str">
        <f t="shared" ca="1" si="27"/>
        <v>Sin fecha</v>
      </c>
      <c r="J1751" s="11">
        <v>60</v>
      </c>
      <c r="K1751" s="11">
        <v>2</v>
      </c>
      <c r="L1751" s="12">
        <v>46204</v>
      </c>
      <c r="M1751" t="s">
        <v>20</v>
      </c>
    </row>
    <row r="1752" spans="1:13" ht="75">
      <c r="A1752" s="6" t="s">
        <v>2912</v>
      </c>
      <c r="B1752" s="7" t="s">
        <v>1412</v>
      </c>
      <c r="C1752" s="7" t="s">
        <v>2797</v>
      </c>
      <c r="D1752" s="6" t="s">
        <v>18</v>
      </c>
      <c r="E1752" s="7" t="s">
        <v>2286</v>
      </c>
      <c r="F1752" s="13"/>
      <c r="G1752" s="9">
        <f>IFERROR(VLOOKUP(D1752,Listas!$A$2:$B$20,2,FALSE()),999)</f>
        <v>1</v>
      </c>
      <c r="H1752" s="9" t="str">
        <f t="shared" ca="1" si="27"/>
        <v>Sin fecha</v>
      </c>
      <c r="J1752" s="11">
        <v>60</v>
      </c>
      <c r="K1752" s="11">
        <v>2</v>
      </c>
      <c r="L1752" s="12">
        <v>46204</v>
      </c>
      <c r="M1752" t="s">
        <v>20</v>
      </c>
    </row>
    <row r="1753" spans="1:13" ht="75">
      <c r="A1753" s="6" t="s">
        <v>2913</v>
      </c>
      <c r="B1753" s="7" t="s">
        <v>1412</v>
      </c>
      <c r="C1753" s="7" t="s">
        <v>2797</v>
      </c>
      <c r="D1753" s="6" t="s">
        <v>18</v>
      </c>
      <c r="E1753" s="7" t="s">
        <v>2286</v>
      </c>
      <c r="F1753" s="13"/>
      <c r="G1753" s="9">
        <f>IFERROR(VLOOKUP(D1753,Listas!$A$2:$B$20,2,FALSE()),999)</f>
        <v>1</v>
      </c>
      <c r="H1753" s="9" t="str">
        <f t="shared" ca="1" si="27"/>
        <v>Sin fecha</v>
      </c>
      <c r="J1753" s="11">
        <v>60</v>
      </c>
      <c r="K1753" s="11">
        <v>2</v>
      </c>
      <c r="L1753" s="12">
        <v>46204</v>
      </c>
      <c r="M1753" t="s">
        <v>20</v>
      </c>
    </row>
    <row r="1754" spans="1:13" ht="75">
      <c r="A1754" s="6" t="s">
        <v>2914</v>
      </c>
      <c r="B1754" s="7" t="s">
        <v>1412</v>
      </c>
      <c r="C1754" s="7" t="s">
        <v>2797</v>
      </c>
      <c r="D1754" s="6" t="s">
        <v>18</v>
      </c>
      <c r="E1754" s="7" t="s">
        <v>2286</v>
      </c>
      <c r="F1754" s="13"/>
      <c r="G1754" s="9">
        <f>IFERROR(VLOOKUP(D1754,Listas!$A$2:$B$20,2,FALSE()),999)</f>
        <v>1</v>
      </c>
      <c r="H1754" s="9" t="str">
        <f t="shared" ca="1" si="27"/>
        <v>Sin fecha</v>
      </c>
      <c r="J1754" s="11">
        <v>60</v>
      </c>
      <c r="K1754" s="11">
        <v>2</v>
      </c>
      <c r="L1754" s="12">
        <v>46204</v>
      </c>
      <c r="M1754" t="s">
        <v>20</v>
      </c>
    </row>
    <row r="1755" spans="1:13" ht="75">
      <c r="A1755" s="6" t="s">
        <v>2915</v>
      </c>
      <c r="B1755" s="7" t="s">
        <v>1412</v>
      </c>
      <c r="C1755" s="7" t="s">
        <v>2797</v>
      </c>
      <c r="D1755" s="6" t="s">
        <v>18</v>
      </c>
      <c r="E1755" s="7" t="s">
        <v>2286</v>
      </c>
      <c r="F1755" s="13"/>
      <c r="G1755" s="9">
        <f>IFERROR(VLOOKUP(D1755,Listas!$A$2:$B$20,2,FALSE()),999)</f>
        <v>1</v>
      </c>
      <c r="H1755" s="9" t="str">
        <f t="shared" ca="1" si="27"/>
        <v>Sin fecha</v>
      </c>
      <c r="J1755" s="11">
        <v>60</v>
      </c>
      <c r="K1755" s="11">
        <v>2</v>
      </c>
      <c r="L1755" s="12">
        <v>46204</v>
      </c>
      <c r="M1755" t="s">
        <v>20</v>
      </c>
    </row>
    <row r="1756" spans="1:13" ht="75">
      <c r="A1756" s="6" t="s">
        <v>2916</v>
      </c>
      <c r="B1756" s="7" t="s">
        <v>1412</v>
      </c>
      <c r="C1756" s="7" t="s">
        <v>2797</v>
      </c>
      <c r="D1756" s="6" t="s">
        <v>18</v>
      </c>
      <c r="E1756" s="7" t="s">
        <v>2286</v>
      </c>
      <c r="F1756" s="13"/>
      <c r="G1756" s="9">
        <f>IFERROR(VLOOKUP(D1756,Listas!$A$2:$B$20,2,FALSE()),999)</f>
        <v>1</v>
      </c>
      <c r="H1756" s="9" t="str">
        <f t="shared" ca="1" si="27"/>
        <v>Sin fecha</v>
      </c>
      <c r="J1756" s="11">
        <v>60</v>
      </c>
      <c r="K1756" s="11">
        <v>2</v>
      </c>
      <c r="L1756" s="12">
        <v>46204</v>
      </c>
      <c r="M1756" t="s">
        <v>20</v>
      </c>
    </row>
    <row r="1757" spans="1:13" ht="75">
      <c r="A1757" s="6" t="s">
        <v>2917</v>
      </c>
      <c r="B1757" s="7" t="s">
        <v>1412</v>
      </c>
      <c r="C1757" s="7" t="s">
        <v>2797</v>
      </c>
      <c r="D1757" s="6" t="s">
        <v>18</v>
      </c>
      <c r="E1757" s="7" t="s">
        <v>2286</v>
      </c>
      <c r="F1757" s="13"/>
      <c r="G1757" s="9">
        <f>IFERROR(VLOOKUP(D1757,Listas!$A$2:$B$20,2,FALSE()),999)</f>
        <v>1</v>
      </c>
      <c r="H1757" s="9" t="str">
        <f t="shared" ca="1" si="27"/>
        <v>Sin fecha</v>
      </c>
      <c r="J1757" s="11">
        <v>60</v>
      </c>
      <c r="K1757" s="11">
        <v>2</v>
      </c>
      <c r="L1757" s="12">
        <v>46204</v>
      </c>
      <c r="M1757" t="s">
        <v>20</v>
      </c>
    </row>
    <row r="1758" spans="1:13" ht="75">
      <c r="A1758" s="6" t="s">
        <v>2918</v>
      </c>
      <c r="B1758" s="7" t="s">
        <v>1412</v>
      </c>
      <c r="C1758" s="7" t="s">
        <v>2797</v>
      </c>
      <c r="D1758" s="6" t="s">
        <v>18</v>
      </c>
      <c r="E1758" s="7" t="s">
        <v>2286</v>
      </c>
      <c r="F1758" s="13"/>
      <c r="G1758" s="9">
        <f>IFERROR(VLOOKUP(D1758,Listas!$A$2:$B$20,2,FALSE()),999)</f>
        <v>1</v>
      </c>
      <c r="H1758" s="9" t="str">
        <f t="shared" ca="1" si="27"/>
        <v>Sin fecha</v>
      </c>
      <c r="J1758" s="11">
        <v>60</v>
      </c>
      <c r="K1758" s="11">
        <v>2</v>
      </c>
      <c r="L1758" s="12">
        <v>46204</v>
      </c>
      <c r="M1758" t="s">
        <v>20</v>
      </c>
    </row>
    <row r="1759" spans="1:13" ht="75">
      <c r="A1759" s="6" t="s">
        <v>2919</v>
      </c>
      <c r="B1759" s="7" t="s">
        <v>1412</v>
      </c>
      <c r="C1759" s="7" t="s">
        <v>2797</v>
      </c>
      <c r="D1759" s="6" t="s">
        <v>18</v>
      </c>
      <c r="E1759" s="7" t="s">
        <v>2286</v>
      </c>
      <c r="F1759" s="13"/>
      <c r="G1759" s="9">
        <f>IFERROR(VLOOKUP(D1759,Listas!$A$2:$B$20,2,FALSE()),999)</f>
        <v>1</v>
      </c>
      <c r="H1759" s="9" t="str">
        <f t="shared" ca="1" si="27"/>
        <v>Sin fecha</v>
      </c>
      <c r="J1759" s="11">
        <v>60</v>
      </c>
      <c r="K1759" s="11">
        <v>2</v>
      </c>
      <c r="L1759" s="12">
        <v>46204</v>
      </c>
      <c r="M1759" t="s">
        <v>20</v>
      </c>
    </row>
    <row r="1760" spans="1:13" ht="75">
      <c r="A1760" s="6" t="s">
        <v>2920</v>
      </c>
      <c r="B1760" s="7" t="s">
        <v>1412</v>
      </c>
      <c r="C1760" s="7" t="s">
        <v>2797</v>
      </c>
      <c r="D1760" s="6" t="s">
        <v>18</v>
      </c>
      <c r="E1760" s="7" t="s">
        <v>2286</v>
      </c>
      <c r="F1760" s="13"/>
      <c r="G1760" s="9">
        <f>IFERROR(VLOOKUP(D1760,Listas!$A$2:$B$20,2,FALSE()),999)</f>
        <v>1</v>
      </c>
      <c r="H1760" s="9" t="str">
        <f t="shared" ca="1" si="27"/>
        <v>Sin fecha</v>
      </c>
      <c r="J1760" s="11">
        <v>60</v>
      </c>
      <c r="K1760" s="11">
        <v>2</v>
      </c>
      <c r="L1760" s="12">
        <v>46204</v>
      </c>
      <c r="M1760" t="s">
        <v>20</v>
      </c>
    </row>
    <row r="1761" spans="1:13" ht="75">
      <c r="A1761" s="6" t="s">
        <v>2921</v>
      </c>
      <c r="B1761" s="7" t="s">
        <v>1412</v>
      </c>
      <c r="C1761" s="7" t="s">
        <v>2797</v>
      </c>
      <c r="D1761" s="6" t="s">
        <v>18</v>
      </c>
      <c r="E1761" s="7" t="s">
        <v>2286</v>
      </c>
      <c r="F1761" s="13"/>
      <c r="G1761" s="9">
        <f>IFERROR(VLOOKUP(D1761,Listas!$A$2:$B$20,2,FALSE()),999)</f>
        <v>1</v>
      </c>
      <c r="H1761" s="9" t="str">
        <f t="shared" ca="1" si="27"/>
        <v>Sin fecha</v>
      </c>
      <c r="J1761" s="11">
        <v>60</v>
      </c>
      <c r="K1761" s="11">
        <v>2</v>
      </c>
      <c r="L1761" s="12">
        <v>46204</v>
      </c>
      <c r="M1761" t="s">
        <v>20</v>
      </c>
    </row>
    <row r="1762" spans="1:13" ht="75">
      <c r="A1762" s="6" t="s">
        <v>2922</v>
      </c>
      <c r="B1762" s="7" t="s">
        <v>1412</v>
      </c>
      <c r="C1762" s="7" t="s">
        <v>2797</v>
      </c>
      <c r="D1762" s="6" t="s">
        <v>18</v>
      </c>
      <c r="E1762" s="7" t="s">
        <v>2286</v>
      </c>
      <c r="F1762" s="13"/>
      <c r="G1762" s="9">
        <f>IFERROR(VLOOKUP(D1762,Listas!$A$2:$B$20,2,FALSE()),999)</f>
        <v>1</v>
      </c>
      <c r="H1762" s="9" t="str">
        <f t="shared" ca="1" si="27"/>
        <v>Sin fecha</v>
      </c>
      <c r="J1762" s="11">
        <v>60</v>
      </c>
      <c r="K1762" s="11">
        <v>2</v>
      </c>
      <c r="L1762" s="12">
        <v>46204</v>
      </c>
      <c r="M1762" t="s">
        <v>20</v>
      </c>
    </row>
    <row r="1763" spans="1:13" ht="75">
      <c r="A1763" s="6" t="s">
        <v>2923</v>
      </c>
      <c r="B1763" s="7" t="s">
        <v>1412</v>
      </c>
      <c r="C1763" s="7" t="s">
        <v>2797</v>
      </c>
      <c r="D1763" s="6" t="s">
        <v>18</v>
      </c>
      <c r="E1763" s="7" t="s">
        <v>2286</v>
      </c>
      <c r="F1763" s="13"/>
      <c r="G1763" s="9">
        <f>IFERROR(VLOOKUP(D1763,Listas!$A$2:$B$20,2,FALSE()),999)</f>
        <v>1</v>
      </c>
      <c r="H1763" s="9" t="str">
        <f t="shared" ca="1" si="27"/>
        <v>Sin fecha</v>
      </c>
      <c r="J1763" s="11">
        <v>60</v>
      </c>
      <c r="K1763" s="11">
        <v>2</v>
      </c>
      <c r="L1763" s="12">
        <v>46204</v>
      </c>
      <c r="M1763" t="s">
        <v>20</v>
      </c>
    </row>
    <row r="1764" spans="1:13" ht="75">
      <c r="A1764" s="6" t="s">
        <v>2924</v>
      </c>
      <c r="B1764" s="7" t="s">
        <v>1412</v>
      </c>
      <c r="C1764" s="7" t="s">
        <v>2797</v>
      </c>
      <c r="D1764" s="6" t="s">
        <v>18</v>
      </c>
      <c r="E1764" s="7" t="s">
        <v>2286</v>
      </c>
      <c r="F1764" s="13"/>
      <c r="G1764" s="9">
        <f>IFERROR(VLOOKUP(D1764,Listas!$A$2:$B$20,2,FALSE()),999)</f>
        <v>1</v>
      </c>
      <c r="H1764" s="9" t="str">
        <f t="shared" ca="1" si="27"/>
        <v>Sin fecha</v>
      </c>
      <c r="J1764" s="11">
        <v>60</v>
      </c>
      <c r="K1764" s="11">
        <v>2</v>
      </c>
      <c r="L1764" s="12">
        <v>46204</v>
      </c>
      <c r="M1764" t="s">
        <v>20</v>
      </c>
    </row>
    <row r="1765" spans="1:13" ht="75">
      <c r="A1765" s="6" t="s">
        <v>2925</v>
      </c>
      <c r="B1765" s="7" t="s">
        <v>1412</v>
      </c>
      <c r="C1765" s="7" t="s">
        <v>2797</v>
      </c>
      <c r="D1765" s="6" t="s">
        <v>18</v>
      </c>
      <c r="E1765" s="7" t="s">
        <v>2286</v>
      </c>
      <c r="F1765" s="13"/>
      <c r="G1765" s="9">
        <f>IFERROR(VLOOKUP(D1765,Listas!$A$2:$B$20,2,FALSE()),999)</f>
        <v>1</v>
      </c>
      <c r="H1765" s="9" t="str">
        <f t="shared" ca="1" si="27"/>
        <v>Sin fecha</v>
      </c>
      <c r="J1765" s="11">
        <v>60</v>
      </c>
      <c r="K1765" s="11">
        <v>2</v>
      </c>
      <c r="L1765" s="12">
        <v>46204</v>
      </c>
      <c r="M1765" t="s">
        <v>20</v>
      </c>
    </row>
    <row r="1766" spans="1:13" ht="75">
      <c r="A1766" s="6" t="s">
        <v>2926</v>
      </c>
      <c r="B1766" s="7" t="s">
        <v>1412</v>
      </c>
      <c r="C1766" s="7" t="s">
        <v>2797</v>
      </c>
      <c r="D1766" s="6" t="s">
        <v>18</v>
      </c>
      <c r="E1766" s="7" t="s">
        <v>2286</v>
      </c>
      <c r="F1766" s="13"/>
      <c r="G1766" s="9">
        <f>IFERROR(VLOOKUP(D1766,Listas!$A$2:$B$20,2,FALSE()),999)</f>
        <v>1</v>
      </c>
      <c r="H1766" s="9" t="str">
        <f t="shared" ca="1" si="27"/>
        <v>Sin fecha</v>
      </c>
      <c r="J1766" s="11">
        <v>60</v>
      </c>
      <c r="K1766" s="11">
        <v>2</v>
      </c>
      <c r="L1766" s="12">
        <v>46204</v>
      </c>
      <c r="M1766" t="s">
        <v>20</v>
      </c>
    </row>
    <row r="1767" spans="1:13" ht="75">
      <c r="A1767" s="6" t="s">
        <v>2927</v>
      </c>
      <c r="B1767" s="7" t="s">
        <v>1412</v>
      </c>
      <c r="C1767" s="7" t="s">
        <v>2797</v>
      </c>
      <c r="D1767" s="6" t="s">
        <v>18</v>
      </c>
      <c r="E1767" s="7" t="s">
        <v>2286</v>
      </c>
      <c r="F1767" s="13"/>
      <c r="G1767" s="9">
        <f>IFERROR(VLOOKUP(D1767,Listas!$A$2:$B$20,2,FALSE()),999)</f>
        <v>1</v>
      </c>
      <c r="H1767" s="9" t="str">
        <f t="shared" ca="1" si="27"/>
        <v>Sin fecha</v>
      </c>
      <c r="J1767" s="11">
        <v>60</v>
      </c>
      <c r="K1767" s="11">
        <v>2</v>
      </c>
      <c r="L1767" s="12">
        <v>46204</v>
      </c>
      <c r="M1767" t="s">
        <v>20</v>
      </c>
    </row>
    <row r="1768" spans="1:13" ht="75">
      <c r="A1768" s="6" t="s">
        <v>2928</v>
      </c>
      <c r="B1768" s="7" t="s">
        <v>1412</v>
      </c>
      <c r="C1768" s="7" t="s">
        <v>2797</v>
      </c>
      <c r="D1768" s="6" t="s">
        <v>18</v>
      </c>
      <c r="E1768" s="7" t="s">
        <v>2286</v>
      </c>
      <c r="F1768" s="13"/>
      <c r="G1768" s="9">
        <f>IFERROR(VLOOKUP(D1768,Listas!$A$2:$B$20,2,FALSE()),999)</f>
        <v>1</v>
      </c>
      <c r="H1768" s="9" t="str">
        <f t="shared" ca="1" si="27"/>
        <v>Sin fecha</v>
      </c>
      <c r="J1768" s="11">
        <v>60</v>
      </c>
      <c r="K1768" s="11">
        <v>2</v>
      </c>
      <c r="L1768" s="12">
        <v>46204</v>
      </c>
      <c r="M1768" t="s">
        <v>20</v>
      </c>
    </row>
    <row r="1769" spans="1:13" ht="75">
      <c r="A1769" s="6" t="s">
        <v>2929</v>
      </c>
      <c r="B1769" s="7" t="s">
        <v>1412</v>
      </c>
      <c r="C1769" s="7" t="s">
        <v>2797</v>
      </c>
      <c r="D1769" s="6" t="s">
        <v>18</v>
      </c>
      <c r="E1769" s="7" t="s">
        <v>2286</v>
      </c>
      <c r="F1769" s="13"/>
      <c r="G1769" s="9">
        <f>IFERROR(VLOOKUP(D1769,Listas!$A$2:$B$20,2,FALSE()),999)</f>
        <v>1</v>
      </c>
      <c r="H1769" s="9" t="str">
        <f t="shared" ca="1" si="27"/>
        <v>Sin fecha</v>
      </c>
      <c r="J1769" s="11">
        <v>60</v>
      </c>
      <c r="K1769" s="11">
        <v>2</v>
      </c>
      <c r="L1769" s="12">
        <v>46204</v>
      </c>
      <c r="M1769" t="s">
        <v>20</v>
      </c>
    </row>
    <row r="1770" spans="1:13" ht="75">
      <c r="A1770" s="6" t="s">
        <v>2930</v>
      </c>
      <c r="B1770" s="7" t="s">
        <v>1412</v>
      </c>
      <c r="C1770" s="7" t="s">
        <v>2797</v>
      </c>
      <c r="D1770" s="6" t="s">
        <v>18</v>
      </c>
      <c r="E1770" s="7" t="s">
        <v>2286</v>
      </c>
      <c r="F1770" s="13"/>
      <c r="G1770" s="9">
        <f>IFERROR(VLOOKUP(D1770,Listas!$A$2:$B$20,2,FALSE()),999)</f>
        <v>1</v>
      </c>
      <c r="H1770" s="9" t="str">
        <f t="shared" ca="1" si="27"/>
        <v>Sin fecha</v>
      </c>
      <c r="J1770" s="11">
        <v>60</v>
      </c>
      <c r="K1770" s="11">
        <v>2</v>
      </c>
      <c r="L1770" s="12">
        <v>46204</v>
      </c>
      <c r="M1770" t="s">
        <v>20</v>
      </c>
    </row>
    <row r="1771" spans="1:13" ht="75">
      <c r="A1771" s="6" t="s">
        <v>2931</v>
      </c>
      <c r="B1771" s="7" t="s">
        <v>1412</v>
      </c>
      <c r="C1771" s="7" t="s">
        <v>2797</v>
      </c>
      <c r="D1771" s="6" t="s">
        <v>18</v>
      </c>
      <c r="E1771" s="7" t="s">
        <v>2286</v>
      </c>
      <c r="F1771" s="13"/>
      <c r="G1771" s="9">
        <f>IFERROR(VLOOKUP(D1771,Listas!$A$2:$B$20,2,FALSE()),999)</f>
        <v>1</v>
      </c>
      <c r="H1771" s="9" t="str">
        <f t="shared" ca="1" si="27"/>
        <v>Sin fecha</v>
      </c>
      <c r="J1771" s="11">
        <v>60</v>
      </c>
      <c r="K1771" s="11">
        <v>2</v>
      </c>
      <c r="L1771" s="12">
        <v>46204</v>
      </c>
      <c r="M1771" t="s">
        <v>20</v>
      </c>
    </row>
    <row r="1772" spans="1:13" ht="75">
      <c r="A1772" s="6" t="s">
        <v>2932</v>
      </c>
      <c r="B1772" s="7" t="s">
        <v>1412</v>
      </c>
      <c r="C1772" s="7" t="s">
        <v>2797</v>
      </c>
      <c r="D1772" s="6" t="s">
        <v>18</v>
      </c>
      <c r="E1772" s="7" t="s">
        <v>2286</v>
      </c>
      <c r="F1772" s="13"/>
      <c r="G1772" s="9">
        <f>IFERROR(VLOOKUP(D1772,Listas!$A$2:$B$20,2,FALSE()),999)</f>
        <v>1</v>
      </c>
      <c r="H1772" s="9" t="str">
        <f t="shared" ca="1" si="27"/>
        <v>Sin fecha</v>
      </c>
      <c r="J1772" s="11">
        <v>60</v>
      </c>
      <c r="K1772" s="11">
        <v>2</v>
      </c>
      <c r="L1772" s="12">
        <v>46204</v>
      </c>
      <c r="M1772" t="s">
        <v>20</v>
      </c>
    </row>
    <row r="1773" spans="1:13" ht="75">
      <c r="A1773" s="6" t="s">
        <v>2933</v>
      </c>
      <c r="B1773" s="7" t="s">
        <v>1412</v>
      </c>
      <c r="C1773" s="7" t="s">
        <v>2797</v>
      </c>
      <c r="D1773" s="6" t="s">
        <v>18</v>
      </c>
      <c r="E1773" s="7" t="s">
        <v>2286</v>
      </c>
      <c r="F1773" s="13"/>
      <c r="G1773" s="9">
        <f>IFERROR(VLOOKUP(D1773,Listas!$A$2:$B$20,2,FALSE()),999)</f>
        <v>1</v>
      </c>
      <c r="H1773" s="9" t="str">
        <f t="shared" ca="1" si="27"/>
        <v>Sin fecha</v>
      </c>
      <c r="J1773" s="11">
        <v>60</v>
      </c>
      <c r="K1773" s="11">
        <v>2</v>
      </c>
      <c r="L1773" s="12">
        <v>46204</v>
      </c>
      <c r="M1773" t="s">
        <v>20</v>
      </c>
    </row>
    <row r="1774" spans="1:13" ht="75">
      <c r="A1774" s="6" t="s">
        <v>2934</v>
      </c>
      <c r="B1774" s="7" t="s">
        <v>1412</v>
      </c>
      <c r="C1774" s="7" t="s">
        <v>2797</v>
      </c>
      <c r="D1774" s="6" t="s">
        <v>18</v>
      </c>
      <c r="E1774" s="7" t="s">
        <v>2286</v>
      </c>
      <c r="F1774" s="13"/>
      <c r="G1774" s="9">
        <f>IFERROR(VLOOKUP(D1774,Listas!$A$2:$B$20,2,FALSE()),999)</f>
        <v>1</v>
      </c>
      <c r="H1774" s="9" t="str">
        <f t="shared" ca="1" si="27"/>
        <v>Sin fecha</v>
      </c>
      <c r="J1774" s="11">
        <v>60</v>
      </c>
      <c r="K1774" s="11">
        <v>2</v>
      </c>
      <c r="L1774" s="12">
        <v>46204</v>
      </c>
      <c r="M1774" t="s">
        <v>20</v>
      </c>
    </row>
    <row r="1775" spans="1:13" ht="75">
      <c r="A1775" s="6" t="s">
        <v>2935</v>
      </c>
      <c r="B1775" s="7" t="s">
        <v>1412</v>
      </c>
      <c r="C1775" s="7" t="s">
        <v>2797</v>
      </c>
      <c r="D1775" s="6" t="s">
        <v>18</v>
      </c>
      <c r="E1775" s="7" t="s">
        <v>2286</v>
      </c>
      <c r="F1775" s="13"/>
      <c r="G1775" s="9">
        <f>IFERROR(VLOOKUP(D1775,Listas!$A$2:$B$20,2,FALSE()),999)</f>
        <v>1</v>
      </c>
      <c r="H1775" s="9" t="str">
        <f t="shared" ca="1" si="27"/>
        <v>Sin fecha</v>
      </c>
      <c r="J1775" s="11">
        <v>60</v>
      </c>
      <c r="K1775" s="11">
        <v>2</v>
      </c>
      <c r="L1775" s="12">
        <v>46204</v>
      </c>
      <c r="M1775" t="s">
        <v>20</v>
      </c>
    </row>
    <row r="1776" spans="1:13" ht="45">
      <c r="A1776" s="6" t="s">
        <v>2936</v>
      </c>
      <c r="B1776" s="7" t="s">
        <v>1511</v>
      </c>
      <c r="C1776" s="7" t="s">
        <v>2937</v>
      </c>
      <c r="D1776" s="6" t="s">
        <v>1467</v>
      </c>
      <c r="E1776" s="7" t="s">
        <v>1468</v>
      </c>
      <c r="F1776" s="13"/>
      <c r="G1776" s="9">
        <f>IFERROR(VLOOKUP(D1776,Listas!$A$2:$B$20,2,FALSE()),999)</f>
        <v>2</v>
      </c>
      <c r="H1776" s="9" t="str">
        <f t="shared" ca="1" si="27"/>
        <v>Sin fecha</v>
      </c>
      <c r="J1776" s="11">
        <v>60</v>
      </c>
      <c r="K1776" s="11">
        <v>3</v>
      </c>
      <c r="L1776" s="12">
        <v>46174</v>
      </c>
      <c r="M1776" t="s">
        <v>20</v>
      </c>
    </row>
    <row r="1777" spans="1:13" ht="45">
      <c r="A1777" s="6" t="s">
        <v>2938</v>
      </c>
      <c r="B1777" s="7" t="s">
        <v>1511</v>
      </c>
      <c r="C1777" s="7" t="s">
        <v>2937</v>
      </c>
      <c r="D1777" s="6" t="s">
        <v>18</v>
      </c>
      <c r="E1777" s="7" t="s">
        <v>2507</v>
      </c>
      <c r="F1777" s="13"/>
      <c r="G1777" s="9">
        <f>IFERROR(VLOOKUP(D1777,Listas!$A$2:$B$20,2,FALSE()),999)</f>
        <v>1</v>
      </c>
      <c r="H1777" s="9" t="str">
        <f t="shared" ca="1" si="27"/>
        <v>Sin fecha</v>
      </c>
      <c r="J1777" s="11">
        <v>60</v>
      </c>
      <c r="K1777" s="11">
        <v>3</v>
      </c>
      <c r="L1777" s="12">
        <v>46174</v>
      </c>
      <c r="M1777" t="s">
        <v>20</v>
      </c>
    </row>
    <row r="1778" spans="1:13" ht="75">
      <c r="A1778" s="6" t="s">
        <v>2939</v>
      </c>
      <c r="B1778" s="7" t="s">
        <v>1412</v>
      </c>
      <c r="C1778" s="7" t="s">
        <v>2797</v>
      </c>
      <c r="D1778" s="6" t="s">
        <v>1467</v>
      </c>
      <c r="E1778" s="7" t="s">
        <v>1959</v>
      </c>
      <c r="F1778" s="13"/>
      <c r="G1778" s="9">
        <f>IFERROR(VLOOKUP(D1778,Listas!$A$2:$B$20,2,FALSE()),999)</f>
        <v>2</v>
      </c>
      <c r="H1778" s="9" t="str">
        <f t="shared" ca="1" si="27"/>
        <v>Sin fecha</v>
      </c>
      <c r="J1778" s="11">
        <v>60</v>
      </c>
      <c r="K1778" s="11">
        <v>2</v>
      </c>
      <c r="L1778" s="12">
        <v>46204</v>
      </c>
      <c r="M1778" t="s">
        <v>20</v>
      </c>
    </row>
    <row r="1779" spans="1:13" ht="75">
      <c r="A1779" s="6" t="s">
        <v>2940</v>
      </c>
      <c r="B1779" s="7" t="s">
        <v>1412</v>
      </c>
      <c r="C1779" s="7" t="s">
        <v>2797</v>
      </c>
      <c r="D1779" s="6" t="s">
        <v>1467</v>
      </c>
      <c r="E1779" s="7" t="s">
        <v>2187</v>
      </c>
      <c r="F1779" s="13"/>
      <c r="G1779" s="9">
        <f>IFERROR(VLOOKUP(D1779,Listas!$A$2:$B$20,2,FALSE()),999)</f>
        <v>2</v>
      </c>
      <c r="H1779" s="9" t="str">
        <f t="shared" ca="1" si="27"/>
        <v>Sin fecha</v>
      </c>
      <c r="J1779" s="11">
        <v>60</v>
      </c>
      <c r="K1779" s="11">
        <v>2</v>
      </c>
      <c r="L1779" s="12">
        <v>46204</v>
      </c>
      <c r="M1779" t="s">
        <v>20</v>
      </c>
    </row>
    <row r="1780" spans="1:13" ht="75">
      <c r="A1780" s="6" t="s">
        <v>2941</v>
      </c>
      <c r="B1780" s="7" t="s">
        <v>1412</v>
      </c>
      <c r="C1780" s="7" t="s">
        <v>2797</v>
      </c>
      <c r="D1780" s="6" t="s">
        <v>1467</v>
      </c>
      <c r="E1780" s="7" t="s">
        <v>2187</v>
      </c>
      <c r="F1780" s="13"/>
      <c r="G1780" s="9">
        <f>IFERROR(VLOOKUP(D1780,Listas!$A$2:$B$20,2,FALSE()),999)</f>
        <v>2</v>
      </c>
      <c r="H1780" s="9" t="str">
        <f t="shared" ca="1" si="27"/>
        <v>Sin fecha</v>
      </c>
      <c r="J1780" s="11">
        <v>60</v>
      </c>
      <c r="K1780" s="11">
        <v>2</v>
      </c>
      <c r="L1780" s="12">
        <v>46204</v>
      </c>
      <c r="M1780" t="s">
        <v>20</v>
      </c>
    </row>
    <row r="1781" spans="1:13" ht="45">
      <c r="A1781" s="6" t="s">
        <v>2942</v>
      </c>
      <c r="B1781" s="7" t="s">
        <v>1511</v>
      </c>
      <c r="C1781" s="7" t="s">
        <v>2937</v>
      </c>
      <c r="D1781" s="6" t="s">
        <v>18</v>
      </c>
      <c r="E1781" s="7" t="s">
        <v>1795</v>
      </c>
      <c r="F1781" s="13"/>
      <c r="G1781" s="9">
        <f>IFERROR(VLOOKUP(D1781,Listas!$A$2:$B$20,2,FALSE()),999)</f>
        <v>1</v>
      </c>
      <c r="H1781" s="9" t="str">
        <f t="shared" ca="1" si="27"/>
        <v>Sin fecha</v>
      </c>
      <c r="J1781" s="11">
        <v>60</v>
      </c>
      <c r="K1781" s="11">
        <v>3</v>
      </c>
      <c r="L1781" s="12">
        <v>46174</v>
      </c>
      <c r="M1781" t="s">
        <v>20</v>
      </c>
    </row>
    <row r="1782" spans="1:13" ht="45">
      <c r="A1782" s="6" t="s">
        <v>2943</v>
      </c>
      <c r="B1782" s="7" t="s">
        <v>1511</v>
      </c>
      <c r="C1782" s="7" t="s">
        <v>2937</v>
      </c>
      <c r="D1782" s="6" t="s">
        <v>18</v>
      </c>
      <c r="E1782" s="7" t="s">
        <v>1795</v>
      </c>
      <c r="F1782" s="13"/>
      <c r="G1782" s="9">
        <f>IFERROR(VLOOKUP(D1782,Listas!$A$2:$B$20,2,FALSE()),999)</f>
        <v>1</v>
      </c>
      <c r="H1782" s="9" t="str">
        <f t="shared" ca="1" si="27"/>
        <v>Sin fecha</v>
      </c>
      <c r="J1782" s="11">
        <v>60</v>
      </c>
      <c r="K1782" s="11">
        <v>3</v>
      </c>
      <c r="L1782" s="12">
        <v>46174</v>
      </c>
      <c r="M1782" t="s">
        <v>20</v>
      </c>
    </row>
    <row r="1783" spans="1:13" ht="45">
      <c r="A1783" s="6" t="s">
        <v>2944</v>
      </c>
      <c r="B1783" s="7" t="s">
        <v>1511</v>
      </c>
      <c r="C1783" s="7" t="s">
        <v>2937</v>
      </c>
      <c r="D1783" s="6" t="s">
        <v>18</v>
      </c>
      <c r="E1783" s="7" t="s">
        <v>1795</v>
      </c>
      <c r="F1783" s="13"/>
      <c r="G1783" s="9">
        <f>IFERROR(VLOOKUP(D1783,Listas!$A$2:$B$20,2,FALSE()),999)</f>
        <v>1</v>
      </c>
      <c r="H1783" s="9" t="str">
        <f t="shared" ca="1" si="27"/>
        <v>Sin fecha</v>
      </c>
      <c r="J1783" s="11">
        <v>60</v>
      </c>
      <c r="K1783" s="11">
        <v>3</v>
      </c>
      <c r="L1783" s="12">
        <v>46174</v>
      </c>
      <c r="M1783" t="s">
        <v>20</v>
      </c>
    </row>
    <row r="1784" spans="1:13" ht="45">
      <c r="A1784" s="6" t="s">
        <v>2945</v>
      </c>
      <c r="B1784" s="7" t="s">
        <v>1511</v>
      </c>
      <c r="C1784" s="7" t="s">
        <v>2937</v>
      </c>
      <c r="D1784" s="6" t="s">
        <v>18</v>
      </c>
      <c r="E1784" s="7" t="s">
        <v>1795</v>
      </c>
      <c r="F1784" s="13"/>
      <c r="G1784" s="9">
        <f>IFERROR(VLOOKUP(D1784,Listas!$A$2:$B$20,2,FALSE()),999)</f>
        <v>1</v>
      </c>
      <c r="H1784" s="9" t="str">
        <f t="shared" ca="1" si="27"/>
        <v>Sin fecha</v>
      </c>
      <c r="J1784" s="11">
        <v>60</v>
      </c>
      <c r="K1784" s="11">
        <v>3</v>
      </c>
      <c r="L1784" s="12">
        <v>46174</v>
      </c>
      <c r="M1784" t="s">
        <v>20</v>
      </c>
    </row>
    <row r="1785" spans="1:13" ht="45">
      <c r="A1785" s="6" t="s">
        <v>2946</v>
      </c>
      <c r="B1785" s="7" t="s">
        <v>1511</v>
      </c>
      <c r="C1785" s="7" t="s">
        <v>2937</v>
      </c>
      <c r="D1785" s="6" t="s">
        <v>18</v>
      </c>
      <c r="E1785" s="7" t="s">
        <v>1603</v>
      </c>
      <c r="F1785" s="13"/>
      <c r="G1785" s="9">
        <f>IFERROR(VLOOKUP(D1785,Listas!$A$2:$B$20,2,FALSE()),999)</f>
        <v>1</v>
      </c>
      <c r="H1785" s="9" t="str">
        <f t="shared" ca="1" si="27"/>
        <v>Sin fecha</v>
      </c>
      <c r="J1785" s="11">
        <v>60</v>
      </c>
      <c r="K1785" s="11">
        <v>3</v>
      </c>
      <c r="L1785" s="12">
        <v>46174</v>
      </c>
      <c r="M1785" t="s">
        <v>20</v>
      </c>
    </row>
    <row r="1786" spans="1:13" ht="75">
      <c r="A1786" s="6" t="s">
        <v>2947</v>
      </c>
      <c r="B1786" s="7" t="s">
        <v>1412</v>
      </c>
      <c r="C1786" s="7" t="s">
        <v>2797</v>
      </c>
      <c r="D1786" s="6" t="s">
        <v>18</v>
      </c>
      <c r="E1786" s="7" t="s">
        <v>1603</v>
      </c>
      <c r="F1786" s="13"/>
      <c r="G1786" s="9">
        <f>IFERROR(VLOOKUP(D1786,Listas!$A$2:$B$20,2,FALSE()),999)</f>
        <v>1</v>
      </c>
      <c r="H1786" s="9" t="str">
        <f t="shared" ca="1" si="27"/>
        <v>Sin fecha</v>
      </c>
      <c r="J1786" s="11">
        <v>60</v>
      </c>
      <c r="K1786" s="11">
        <v>2</v>
      </c>
      <c r="L1786" s="12">
        <v>46204</v>
      </c>
      <c r="M1786" t="s">
        <v>20</v>
      </c>
    </row>
    <row r="1787" spans="1:13" ht="45">
      <c r="A1787" s="6" t="s">
        <v>2948</v>
      </c>
      <c r="B1787" s="7" t="s">
        <v>1511</v>
      </c>
      <c r="C1787" s="7" t="s">
        <v>2937</v>
      </c>
      <c r="D1787" s="6" t="s">
        <v>1467</v>
      </c>
      <c r="E1787" s="7" t="s">
        <v>2949</v>
      </c>
      <c r="F1787" s="13"/>
      <c r="G1787" s="9">
        <f>IFERROR(VLOOKUP(D1787,Listas!$A$2:$B$20,2,FALSE()),999)</f>
        <v>2</v>
      </c>
      <c r="H1787" s="9" t="str">
        <f t="shared" ca="1" si="27"/>
        <v>Sin fecha</v>
      </c>
      <c r="J1787" s="11">
        <v>60</v>
      </c>
      <c r="K1787" s="11">
        <v>3</v>
      </c>
      <c r="L1787" s="12">
        <v>46174</v>
      </c>
      <c r="M1787" t="s">
        <v>20</v>
      </c>
    </row>
    <row r="1788" spans="1:13" ht="45">
      <c r="A1788" s="6" t="s">
        <v>2950</v>
      </c>
      <c r="B1788" s="7" t="s">
        <v>1511</v>
      </c>
      <c r="C1788" s="7" t="s">
        <v>2937</v>
      </c>
      <c r="D1788" s="6" t="s">
        <v>1467</v>
      </c>
      <c r="E1788" s="7" t="s">
        <v>1547</v>
      </c>
      <c r="F1788" s="13"/>
      <c r="G1788" s="9">
        <f>IFERROR(VLOOKUP(D1788,Listas!$A$2:$B$20,2,FALSE()),999)</f>
        <v>2</v>
      </c>
      <c r="H1788" s="9" t="str">
        <f t="shared" ca="1" si="27"/>
        <v>Sin fecha</v>
      </c>
      <c r="J1788" s="11">
        <v>60</v>
      </c>
      <c r="K1788" s="11">
        <v>3</v>
      </c>
      <c r="L1788" s="12">
        <v>46174</v>
      </c>
      <c r="M1788" t="s">
        <v>20</v>
      </c>
    </row>
    <row r="1789" spans="1:13" ht="45">
      <c r="A1789" s="6" t="s">
        <v>2951</v>
      </c>
      <c r="B1789" s="7" t="s">
        <v>1511</v>
      </c>
      <c r="C1789" s="7" t="s">
        <v>2937</v>
      </c>
      <c r="D1789" s="6" t="s">
        <v>1467</v>
      </c>
      <c r="E1789" s="7" t="s">
        <v>1567</v>
      </c>
      <c r="F1789" s="13"/>
      <c r="G1789" s="9">
        <f>IFERROR(VLOOKUP(D1789,Listas!$A$2:$B$20,2,FALSE()),999)</f>
        <v>2</v>
      </c>
      <c r="H1789" s="9" t="str">
        <f t="shared" ca="1" si="27"/>
        <v>Sin fecha</v>
      </c>
      <c r="J1789" s="11">
        <v>60</v>
      </c>
      <c r="K1789" s="11">
        <v>3</v>
      </c>
      <c r="L1789" s="12">
        <v>46174</v>
      </c>
      <c r="M1789" t="s">
        <v>20</v>
      </c>
    </row>
    <row r="1790" spans="1:13" ht="75">
      <c r="A1790" s="6" t="s">
        <v>2952</v>
      </c>
      <c r="B1790" s="7" t="s">
        <v>1412</v>
      </c>
      <c r="C1790" s="7" t="s">
        <v>2797</v>
      </c>
      <c r="D1790" s="6" t="s">
        <v>1467</v>
      </c>
      <c r="E1790" s="7" t="s">
        <v>1567</v>
      </c>
      <c r="F1790" s="13"/>
      <c r="G1790" s="9">
        <f>IFERROR(VLOOKUP(D1790,Listas!$A$2:$B$20,2,FALSE()),999)</f>
        <v>2</v>
      </c>
      <c r="H1790" s="9" t="str">
        <f t="shared" ca="1" si="27"/>
        <v>Sin fecha</v>
      </c>
      <c r="J1790" s="11">
        <v>60</v>
      </c>
      <c r="K1790" s="11">
        <v>2</v>
      </c>
      <c r="L1790" s="12">
        <v>46204</v>
      </c>
      <c r="M1790" t="s">
        <v>20</v>
      </c>
    </row>
    <row r="1791" spans="1:13" ht="75">
      <c r="A1791" s="6" t="s">
        <v>2953</v>
      </c>
      <c r="B1791" s="7" t="s">
        <v>1412</v>
      </c>
      <c r="C1791" s="7" t="s">
        <v>2797</v>
      </c>
      <c r="D1791" s="6" t="s">
        <v>1467</v>
      </c>
      <c r="E1791" s="7" t="s">
        <v>1583</v>
      </c>
      <c r="F1791" s="13"/>
      <c r="G1791" s="9">
        <f>IFERROR(VLOOKUP(D1791,Listas!$A$2:$B$20,2,FALSE()),999)</f>
        <v>2</v>
      </c>
      <c r="H1791" s="9" t="str">
        <f t="shared" ca="1" si="27"/>
        <v>Sin fecha</v>
      </c>
      <c r="J1791" s="11">
        <v>60</v>
      </c>
      <c r="K1791" s="11">
        <v>2</v>
      </c>
      <c r="L1791" s="12">
        <v>46204</v>
      </c>
      <c r="M1791" t="s">
        <v>20</v>
      </c>
    </row>
    <row r="1792" spans="1:13" ht="75">
      <c r="A1792" s="6" t="s">
        <v>2954</v>
      </c>
      <c r="B1792" s="7" t="s">
        <v>1412</v>
      </c>
      <c r="C1792" s="7" t="s">
        <v>2797</v>
      </c>
      <c r="D1792" s="6" t="s">
        <v>1467</v>
      </c>
      <c r="E1792" s="7" t="s">
        <v>1535</v>
      </c>
      <c r="F1792" s="13"/>
      <c r="G1792" s="9">
        <f>IFERROR(VLOOKUP(D1792,Listas!$A$2:$B$20,2,FALSE()),999)</f>
        <v>2</v>
      </c>
      <c r="H1792" s="9" t="str">
        <f t="shared" ca="1" si="27"/>
        <v>Sin fecha</v>
      </c>
      <c r="J1792" s="11">
        <v>60</v>
      </c>
      <c r="K1792" s="11">
        <v>2</v>
      </c>
      <c r="L1792" s="12">
        <v>46204</v>
      </c>
      <c r="M1792" t="s">
        <v>20</v>
      </c>
    </row>
    <row r="1793" spans="1:13" ht="75">
      <c r="A1793" s="6" t="s">
        <v>2955</v>
      </c>
      <c r="B1793" s="7" t="s">
        <v>1412</v>
      </c>
      <c r="C1793" s="7" t="s">
        <v>2797</v>
      </c>
      <c r="D1793" s="6" t="s">
        <v>1467</v>
      </c>
      <c r="E1793" s="7" t="s">
        <v>1513</v>
      </c>
      <c r="F1793" s="13"/>
      <c r="G1793" s="9">
        <f>IFERROR(VLOOKUP(D1793,Listas!$A$2:$B$20,2,FALSE()),999)</f>
        <v>2</v>
      </c>
      <c r="H1793" s="9" t="str">
        <f t="shared" ca="1" si="27"/>
        <v>Sin fecha</v>
      </c>
      <c r="J1793" s="11">
        <v>60</v>
      </c>
      <c r="K1793" s="11">
        <v>2</v>
      </c>
      <c r="L1793" s="12">
        <v>46204</v>
      </c>
      <c r="M1793" t="s">
        <v>20</v>
      </c>
    </row>
    <row r="1794" spans="1:13" ht="75">
      <c r="A1794" s="6" t="s">
        <v>2956</v>
      </c>
      <c r="B1794" s="7" t="s">
        <v>1412</v>
      </c>
      <c r="C1794" s="7" t="s">
        <v>2797</v>
      </c>
      <c r="D1794" s="6" t="s">
        <v>18</v>
      </c>
      <c r="E1794" s="7" t="s">
        <v>1525</v>
      </c>
      <c r="F1794" s="13"/>
      <c r="G1794" s="9">
        <f>IFERROR(VLOOKUP(D1794,Listas!$A$2:$B$20,2,FALSE()),999)</f>
        <v>1</v>
      </c>
      <c r="H1794" s="9" t="str">
        <f t="shared" ca="1" si="27"/>
        <v>Sin fecha</v>
      </c>
      <c r="J1794" s="11">
        <v>60</v>
      </c>
      <c r="K1794" s="11">
        <v>2</v>
      </c>
      <c r="L1794" s="12">
        <v>46204</v>
      </c>
      <c r="M1794" t="s">
        <v>20</v>
      </c>
    </row>
    <row r="1795" spans="1:13" ht="75">
      <c r="A1795" s="6" t="s">
        <v>2957</v>
      </c>
      <c r="B1795" s="7" t="s">
        <v>1412</v>
      </c>
      <c r="C1795" s="7" t="s">
        <v>2797</v>
      </c>
      <c r="D1795" s="6" t="s">
        <v>18</v>
      </c>
      <c r="E1795" s="7" t="s">
        <v>2286</v>
      </c>
      <c r="F1795" s="13"/>
      <c r="G1795" s="9">
        <f>IFERROR(VLOOKUP(D1795,Listas!$A$2:$B$20,2,FALSE()),999)</f>
        <v>1</v>
      </c>
      <c r="H1795" s="9" t="str">
        <f t="shared" ca="1" si="27"/>
        <v>Sin fecha</v>
      </c>
      <c r="J1795" s="11">
        <v>60</v>
      </c>
      <c r="K1795" s="11">
        <v>2</v>
      </c>
      <c r="L1795" s="12">
        <v>46204</v>
      </c>
      <c r="M1795" t="s">
        <v>20</v>
      </c>
    </row>
    <row r="1796" spans="1:13" ht="75">
      <c r="A1796" s="6" t="s">
        <v>2958</v>
      </c>
      <c r="B1796" s="7" t="s">
        <v>1412</v>
      </c>
      <c r="C1796" s="7" t="s">
        <v>2797</v>
      </c>
      <c r="D1796" s="6" t="s">
        <v>18</v>
      </c>
      <c r="E1796" s="7" t="s">
        <v>2286</v>
      </c>
      <c r="F1796" s="13"/>
      <c r="G1796" s="9">
        <f>IFERROR(VLOOKUP(D1796,Listas!$A$2:$B$20,2,FALSE()),999)</f>
        <v>1</v>
      </c>
      <c r="H1796" s="9" t="str">
        <f t="shared" ca="1" si="27"/>
        <v>Sin fecha</v>
      </c>
      <c r="J1796" s="11">
        <v>60</v>
      </c>
      <c r="K1796" s="11">
        <v>2</v>
      </c>
      <c r="L1796" s="12">
        <v>46204</v>
      </c>
      <c r="M1796" t="s">
        <v>20</v>
      </c>
    </row>
    <row r="1797" spans="1:13" ht="75">
      <c r="A1797" s="6" t="s">
        <v>2959</v>
      </c>
      <c r="B1797" s="7" t="s">
        <v>1412</v>
      </c>
      <c r="C1797" s="7" t="s">
        <v>2797</v>
      </c>
      <c r="D1797" s="6" t="s">
        <v>18</v>
      </c>
      <c r="E1797" s="7" t="s">
        <v>1701</v>
      </c>
      <c r="F1797" s="13"/>
      <c r="G1797" s="9">
        <f>IFERROR(VLOOKUP(D1797,Listas!$A$2:$B$20,2,FALSE()),999)</f>
        <v>1</v>
      </c>
      <c r="H1797" s="9" t="str">
        <f t="shared" ref="H1797:H1853" ca="1" si="28">IF(F1797="","Sin fecha",IF(TODAY()-F1797&gt;180,"Revisar",IF(TODAY()-F1797&gt;90,"Próximo","Vigente")))</f>
        <v>Sin fecha</v>
      </c>
      <c r="J1797" s="11">
        <v>60</v>
      </c>
      <c r="K1797" s="11">
        <v>2</v>
      </c>
      <c r="L1797" s="12">
        <v>46204</v>
      </c>
      <c r="M1797" t="s">
        <v>20</v>
      </c>
    </row>
    <row r="1798" spans="1:13" ht="75">
      <c r="A1798" s="6" t="s">
        <v>2960</v>
      </c>
      <c r="B1798" s="7" t="s">
        <v>1412</v>
      </c>
      <c r="C1798" s="7" t="s">
        <v>2797</v>
      </c>
      <c r="D1798" s="6" t="s">
        <v>1467</v>
      </c>
      <c r="E1798" s="7" t="s">
        <v>1564</v>
      </c>
      <c r="F1798" s="13"/>
      <c r="G1798" s="9">
        <f>IFERROR(VLOOKUP(D1798,Listas!$A$2:$B$20,2,FALSE()),999)</f>
        <v>2</v>
      </c>
      <c r="H1798" s="9" t="str">
        <f t="shared" ca="1" si="28"/>
        <v>Sin fecha</v>
      </c>
      <c r="J1798" s="11">
        <v>60</v>
      </c>
      <c r="K1798" s="11">
        <v>2</v>
      </c>
      <c r="L1798" s="12">
        <v>46204</v>
      </c>
      <c r="M1798" t="s">
        <v>20</v>
      </c>
    </row>
    <row r="1799" spans="1:13" ht="75">
      <c r="A1799" s="6" t="s">
        <v>2961</v>
      </c>
      <c r="B1799" s="7" t="s">
        <v>1412</v>
      </c>
      <c r="C1799" s="7" t="s">
        <v>2797</v>
      </c>
      <c r="D1799" s="6" t="s">
        <v>1467</v>
      </c>
      <c r="E1799" s="7" t="s">
        <v>1583</v>
      </c>
      <c r="F1799" s="13"/>
      <c r="G1799" s="9">
        <f>IFERROR(VLOOKUP(D1799,Listas!$A$2:$B$20,2,FALSE()),999)</f>
        <v>2</v>
      </c>
      <c r="H1799" s="9" t="str">
        <f t="shared" ca="1" si="28"/>
        <v>Sin fecha</v>
      </c>
      <c r="J1799" s="11">
        <v>60</v>
      </c>
      <c r="K1799" s="11">
        <v>2</v>
      </c>
      <c r="L1799" s="12">
        <v>46204</v>
      </c>
      <c r="M1799" t="s">
        <v>20</v>
      </c>
    </row>
    <row r="1800" spans="1:13" ht="75">
      <c r="A1800" s="6" t="s">
        <v>2962</v>
      </c>
      <c r="B1800" s="7" t="s">
        <v>1412</v>
      </c>
      <c r="C1800" s="7" t="s">
        <v>2797</v>
      </c>
      <c r="D1800" s="6" t="s">
        <v>1467</v>
      </c>
      <c r="E1800" s="7" t="s">
        <v>1586</v>
      </c>
      <c r="F1800" s="13"/>
      <c r="G1800" s="9">
        <f>IFERROR(VLOOKUP(D1800,Listas!$A$2:$B$20,2,FALSE()),999)</f>
        <v>2</v>
      </c>
      <c r="H1800" s="9" t="str">
        <f t="shared" ca="1" si="28"/>
        <v>Sin fecha</v>
      </c>
      <c r="J1800" s="11">
        <v>60</v>
      </c>
      <c r="K1800" s="11">
        <v>2</v>
      </c>
      <c r="L1800" s="12">
        <v>46204</v>
      </c>
      <c r="M1800" t="s">
        <v>20</v>
      </c>
    </row>
    <row r="1801" spans="1:13" ht="75">
      <c r="A1801" s="6" t="s">
        <v>2963</v>
      </c>
      <c r="B1801" s="7" t="s">
        <v>1412</v>
      </c>
      <c r="C1801" s="7" t="s">
        <v>2797</v>
      </c>
      <c r="D1801" s="6" t="s">
        <v>18</v>
      </c>
      <c r="E1801" s="7" t="s">
        <v>1905</v>
      </c>
      <c r="F1801" s="13"/>
      <c r="G1801" s="9">
        <f>IFERROR(VLOOKUP(D1801,Listas!$A$2:$B$20,2,FALSE()),999)</f>
        <v>1</v>
      </c>
      <c r="H1801" s="9" t="str">
        <f t="shared" ca="1" si="28"/>
        <v>Sin fecha</v>
      </c>
      <c r="J1801" s="11">
        <v>60</v>
      </c>
      <c r="K1801" s="11">
        <v>2</v>
      </c>
      <c r="L1801" s="12">
        <v>46204</v>
      </c>
      <c r="M1801" t="s">
        <v>20</v>
      </c>
    </row>
    <row r="1802" spans="1:13" ht="75">
      <c r="A1802" s="6" t="s">
        <v>2964</v>
      </c>
      <c r="B1802" s="7" t="s">
        <v>1412</v>
      </c>
      <c r="C1802" s="7" t="s">
        <v>2797</v>
      </c>
      <c r="D1802" s="6" t="s">
        <v>18</v>
      </c>
      <c r="E1802" s="7" t="s">
        <v>2621</v>
      </c>
      <c r="F1802" s="13"/>
      <c r="G1802" s="9">
        <f>IFERROR(VLOOKUP(D1802,Listas!$A$2:$B$20,2,FALSE()),999)</f>
        <v>1</v>
      </c>
      <c r="H1802" s="9" t="str">
        <f t="shared" ca="1" si="28"/>
        <v>Sin fecha</v>
      </c>
      <c r="J1802" s="11">
        <v>60</v>
      </c>
      <c r="K1802" s="11">
        <v>2</v>
      </c>
      <c r="L1802" s="12">
        <v>46204</v>
      </c>
      <c r="M1802" t="s">
        <v>20</v>
      </c>
    </row>
    <row r="1803" spans="1:13" ht="75">
      <c r="A1803" s="6" t="s">
        <v>2965</v>
      </c>
      <c r="B1803" s="7" t="s">
        <v>1412</v>
      </c>
      <c r="C1803" s="7" t="s">
        <v>2797</v>
      </c>
      <c r="D1803" s="6" t="s">
        <v>18</v>
      </c>
      <c r="E1803" s="7" t="s">
        <v>1907</v>
      </c>
      <c r="F1803" s="13"/>
      <c r="G1803" s="9">
        <f>IFERROR(VLOOKUP(D1803,Listas!$A$2:$B$20,2,FALSE()),999)</f>
        <v>1</v>
      </c>
      <c r="H1803" s="9" t="str">
        <f t="shared" ca="1" si="28"/>
        <v>Sin fecha</v>
      </c>
      <c r="J1803" s="11">
        <v>60</v>
      </c>
      <c r="K1803" s="11">
        <v>2</v>
      </c>
      <c r="L1803" s="12">
        <v>46204</v>
      </c>
      <c r="M1803" t="s">
        <v>20</v>
      </c>
    </row>
    <row r="1804" spans="1:13" ht="75">
      <c r="A1804" s="6" t="s">
        <v>2966</v>
      </c>
      <c r="B1804" s="7" t="s">
        <v>1412</v>
      </c>
      <c r="C1804" s="7" t="s">
        <v>2797</v>
      </c>
      <c r="D1804" s="6" t="s">
        <v>18</v>
      </c>
      <c r="E1804" s="7" t="s">
        <v>2967</v>
      </c>
      <c r="F1804" s="13"/>
      <c r="G1804" s="9">
        <f>IFERROR(VLOOKUP(D1804,Listas!$A$2:$B$20,2,FALSE()),999)</f>
        <v>1</v>
      </c>
      <c r="H1804" s="9" t="str">
        <f t="shared" ca="1" si="28"/>
        <v>Sin fecha</v>
      </c>
      <c r="J1804" s="11">
        <v>60</v>
      </c>
      <c r="K1804" s="11">
        <v>2</v>
      </c>
      <c r="L1804" s="12">
        <v>46204</v>
      </c>
      <c r="M1804" t="s">
        <v>20</v>
      </c>
    </row>
    <row r="1805" spans="1:13" ht="45">
      <c r="A1805" s="6" t="s">
        <v>2968</v>
      </c>
      <c r="B1805" s="7" t="s">
        <v>1511</v>
      </c>
      <c r="C1805" s="7" t="s">
        <v>2937</v>
      </c>
      <c r="D1805" s="6" t="s">
        <v>18</v>
      </c>
      <c r="E1805" s="7" t="s">
        <v>1519</v>
      </c>
      <c r="F1805" s="13"/>
      <c r="G1805" s="9">
        <f>IFERROR(VLOOKUP(D1805,Listas!$A$2:$B$20,2,FALSE()),999)</f>
        <v>1</v>
      </c>
      <c r="H1805" s="9" t="str">
        <f t="shared" ca="1" si="28"/>
        <v>Sin fecha</v>
      </c>
      <c r="J1805" s="11">
        <v>60</v>
      </c>
      <c r="K1805" s="11">
        <v>3</v>
      </c>
      <c r="L1805" s="12">
        <v>46174</v>
      </c>
      <c r="M1805" t="s">
        <v>20</v>
      </c>
    </row>
    <row r="1806" spans="1:13" ht="45">
      <c r="A1806" s="6" t="s">
        <v>2969</v>
      </c>
      <c r="B1806" s="7" t="s">
        <v>1511</v>
      </c>
      <c r="C1806" s="7" t="s">
        <v>2937</v>
      </c>
      <c r="D1806" s="6" t="s">
        <v>18</v>
      </c>
      <c r="E1806" s="7" t="s">
        <v>1519</v>
      </c>
      <c r="F1806" s="13"/>
      <c r="G1806" s="9">
        <f>IFERROR(VLOOKUP(D1806,Listas!$A$2:$B$20,2,FALSE()),999)</f>
        <v>1</v>
      </c>
      <c r="H1806" s="9" t="str">
        <f t="shared" ca="1" si="28"/>
        <v>Sin fecha</v>
      </c>
      <c r="J1806" s="11">
        <v>60</v>
      </c>
      <c r="K1806" s="11">
        <v>3</v>
      </c>
      <c r="L1806" s="12">
        <v>46174</v>
      </c>
      <c r="M1806" t="s">
        <v>20</v>
      </c>
    </row>
    <row r="1807" spans="1:13" ht="45">
      <c r="A1807" s="6" t="s">
        <v>2970</v>
      </c>
      <c r="B1807" s="7" t="s">
        <v>1511</v>
      </c>
      <c r="C1807" s="7" t="s">
        <v>2937</v>
      </c>
      <c r="D1807" s="6" t="s">
        <v>18</v>
      </c>
      <c r="E1807" s="7" t="s">
        <v>1519</v>
      </c>
      <c r="F1807" s="13"/>
      <c r="G1807" s="9">
        <f>IFERROR(VLOOKUP(D1807,Listas!$A$2:$B$20,2,FALSE()),999)</f>
        <v>1</v>
      </c>
      <c r="H1807" s="9" t="str">
        <f t="shared" ca="1" si="28"/>
        <v>Sin fecha</v>
      </c>
      <c r="J1807" s="11">
        <v>60</v>
      </c>
      <c r="K1807" s="11">
        <v>3</v>
      </c>
      <c r="L1807" s="12">
        <v>46174</v>
      </c>
      <c r="M1807" t="s">
        <v>20</v>
      </c>
    </row>
    <row r="1808" spans="1:13" ht="75">
      <c r="A1808" s="6" t="s">
        <v>2971</v>
      </c>
      <c r="B1808" s="7" t="s">
        <v>1511</v>
      </c>
      <c r="C1808" s="7" t="s">
        <v>2797</v>
      </c>
      <c r="D1808" s="6" t="s">
        <v>1467</v>
      </c>
      <c r="E1808" s="7" t="s">
        <v>1920</v>
      </c>
      <c r="F1808" s="13"/>
      <c r="G1808" s="9">
        <f>IFERROR(VLOOKUP(D1808,Listas!$A$2:$B$20,2,FALSE()),999)</f>
        <v>2</v>
      </c>
      <c r="H1808" s="9" t="str">
        <f t="shared" ca="1" si="28"/>
        <v>Sin fecha</v>
      </c>
      <c r="J1808" s="11">
        <v>60</v>
      </c>
      <c r="K1808" s="11">
        <v>2</v>
      </c>
      <c r="L1808" s="12">
        <v>46204</v>
      </c>
      <c r="M1808" t="s">
        <v>20</v>
      </c>
    </row>
    <row r="1809" spans="1:13" ht="75">
      <c r="A1809" s="6" t="s">
        <v>2972</v>
      </c>
      <c r="B1809" s="7" t="s">
        <v>1412</v>
      </c>
      <c r="C1809" s="7" t="s">
        <v>2797</v>
      </c>
      <c r="D1809" s="6" t="s">
        <v>1467</v>
      </c>
      <c r="E1809" s="7" t="s">
        <v>1513</v>
      </c>
      <c r="F1809" s="13"/>
      <c r="G1809" s="9">
        <f>IFERROR(VLOOKUP(D1809,Listas!$A$2:$B$20,2,FALSE()),999)</f>
        <v>2</v>
      </c>
      <c r="H1809" s="9" t="str">
        <f t="shared" ca="1" si="28"/>
        <v>Sin fecha</v>
      </c>
      <c r="J1809" s="11">
        <v>60</v>
      </c>
      <c r="K1809" s="11">
        <v>2</v>
      </c>
      <c r="L1809" s="12">
        <v>46204</v>
      </c>
      <c r="M1809" t="s">
        <v>20</v>
      </c>
    </row>
    <row r="1810" spans="1:13" ht="45">
      <c r="A1810" s="6" t="s">
        <v>2973</v>
      </c>
      <c r="B1810" s="7" t="s">
        <v>1511</v>
      </c>
      <c r="C1810" s="7" t="s">
        <v>2937</v>
      </c>
      <c r="D1810" s="6" t="s">
        <v>18</v>
      </c>
      <c r="E1810" s="7" t="s">
        <v>1519</v>
      </c>
      <c r="F1810" s="13"/>
      <c r="G1810" s="9">
        <f>IFERROR(VLOOKUP(D1810,Listas!$A$2:$B$20,2,FALSE()),999)</f>
        <v>1</v>
      </c>
      <c r="H1810" s="9" t="str">
        <f t="shared" ca="1" si="28"/>
        <v>Sin fecha</v>
      </c>
      <c r="J1810" s="11">
        <v>60</v>
      </c>
      <c r="K1810" s="11">
        <v>3</v>
      </c>
      <c r="L1810" s="12">
        <v>46174</v>
      </c>
      <c r="M1810" t="s">
        <v>20</v>
      </c>
    </row>
    <row r="1811" spans="1:13" ht="45">
      <c r="A1811" s="6" t="s">
        <v>2974</v>
      </c>
      <c r="B1811" s="7" t="s">
        <v>1511</v>
      </c>
      <c r="C1811" s="7" t="s">
        <v>2937</v>
      </c>
      <c r="D1811" s="6" t="s">
        <v>18</v>
      </c>
      <c r="E1811" s="7" t="s">
        <v>1703</v>
      </c>
      <c r="F1811" s="13"/>
      <c r="G1811" s="9">
        <f>IFERROR(VLOOKUP(D1811,Listas!$A$2:$B$20,2,FALSE()),999)</f>
        <v>1</v>
      </c>
      <c r="H1811" s="9" t="str">
        <f t="shared" ca="1" si="28"/>
        <v>Sin fecha</v>
      </c>
      <c r="J1811" s="11">
        <v>60</v>
      </c>
      <c r="K1811" s="11">
        <v>3</v>
      </c>
      <c r="L1811" s="12">
        <v>46174</v>
      </c>
      <c r="M1811" t="s">
        <v>20</v>
      </c>
    </row>
    <row r="1812" spans="1:13" ht="45">
      <c r="A1812" s="6" t="s">
        <v>2975</v>
      </c>
      <c r="B1812" s="7" t="s">
        <v>1511</v>
      </c>
      <c r="C1812" s="7" t="s">
        <v>2937</v>
      </c>
      <c r="D1812" s="6" t="s">
        <v>18</v>
      </c>
      <c r="E1812" s="7" t="s">
        <v>1519</v>
      </c>
      <c r="F1812" s="13"/>
      <c r="G1812" s="9">
        <f>IFERROR(VLOOKUP(D1812,Listas!$A$2:$B$20,2,FALSE()),999)</f>
        <v>1</v>
      </c>
      <c r="H1812" s="9" t="str">
        <f t="shared" ca="1" si="28"/>
        <v>Sin fecha</v>
      </c>
      <c r="J1812" s="11">
        <v>60</v>
      </c>
      <c r="K1812" s="11">
        <v>3</v>
      </c>
      <c r="L1812" s="12">
        <v>46174</v>
      </c>
      <c r="M1812" t="s">
        <v>20</v>
      </c>
    </row>
    <row r="1813" spans="1:13" ht="45">
      <c r="A1813" s="6" t="s">
        <v>2976</v>
      </c>
      <c r="B1813" s="7" t="s">
        <v>1511</v>
      </c>
      <c r="C1813" s="7" t="s">
        <v>2937</v>
      </c>
      <c r="D1813" s="6" t="s">
        <v>1467</v>
      </c>
      <c r="E1813" s="7" t="s">
        <v>2977</v>
      </c>
      <c r="F1813" s="13"/>
      <c r="G1813" s="9">
        <f>IFERROR(VLOOKUP(D1813,Listas!$A$2:$B$20,2,FALSE()),999)</f>
        <v>2</v>
      </c>
      <c r="H1813" s="9" t="str">
        <f t="shared" ca="1" si="28"/>
        <v>Sin fecha</v>
      </c>
      <c r="J1813" s="11">
        <v>60</v>
      </c>
      <c r="K1813" s="11">
        <v>3</v>
      </c>
      <c r="L1813" s="12">
        <v>46174</v>
      </c>
      <c r="M1813" t="s">
        <v>20</v>
      </c>
    </row>
    <row r="1814" spans="1:13" ht="45">
      <c r="A1814" s="6" t="s">
        <v>2978</v>
      </c>
      <c r="B1814" s="7" t="s">
        <v>1511</v>
      </c>
      <c r="C1814" s="7" t="s">
        <v>2937</v>
      </c>
      <c r="D1814" s="6" t="s">
        <v>1467</v>
      </c>
      <c r="E1814" s="7" t="s">
        <v>1567</v>
      </c>
      <c r="F1814" s="13"/>
      <c r="G1814" s="9">
        <f>IFERROR(VLOOKUP(D1814,Listas!$A$2:$B$20,2,FALSE()),999)</f>
        <v>2</v>
      </c>
      <c r="H1814" s="9" t="str">
        <f t="shared" ca="1" si="28"/>
        <v>Sin fecha</v>
      </c>
      <c r="J1814" s="11">
        <v>60</v>
      </c>
      <c r="K1814" s="11">
        <v>3</v>
      </c>
      <c r="L1814" s="12">
        <v>46174</v>
      </c>
      <c r="M1814" t="s">
        <v>20</v>
      </c>
    </row>
    <row r="1815" spans="1:13" ht="45">
      <c r="A1815" s="6" t="s">
        <v>2979</v>
      </c>
      <c r="B1815" s="7" t="s">
        <v>1511</v>
      </c>
      <c r="C1815" s="7" t="s">
        <v>2937</v>
      </c>
      <c r="D1815" s="6" t="s">
        <v>18</v>
      </c>
      <c r="E1815" s="7" t="s">
        <v>2001</v>
      </c>
      <c r="F1815" s="13"/>
      <c r="G1815" s="9">
        <f>IFERROR(VLOOKUP(D1815,Listas!$A$2:$B$20,2,FALSE()),999)</f>
        <v>1</v>
      </c>
      <c r="H1815" s="9" t="str">
        <f t="shared" ca="1" si="28"/>
        <v>Sin fecha</v>
      </c>
      <c r="J1815" s="11">
        <v>60</v>
      </c>
      <c r="K1815" s="11">
        <v>3</v>
      </c>
      <c r="L1815" s="12">
        <v>46174</v>
      </c>
      <c r="M1815" t="s">
        <v>20</v>
      </c>
    </row>
    <row r="1816" spans="1:13" ht="45">
      <c r="A1816" s="6" t="s">
        <v>2980</v>
      </c>
      <c r="B1816" s="7" t="s">
        <v>1511</v>
      </c>
      <c r="C1816" s="7" t="s">
        <v>2937</v>
      </c>
      <c r="D1816" s="6" t="s">
        <v>18</v>
      </c>
      <c r="E1816" s="7" t="s">
        <v>2286</v>
      </c>
      <c r="F1816" s="13"/>
      <c r="G1816" s="9">
        <f>IFERROR(VLOOKUP(D1816,Listas!$A$2:$B$20,2,FALSE()),999)</f>
        <v>1</v>
      </c>
      <c r="H1816" s="9" t="str">
        <f t="shared" ca="1" si="28"/>
        <v>Sin fecha</v>
      </c>
      <c r="J1816" s="11">
        <v>60</v>
      </c>
      <c r="K1816" s="11">
        <v>3</v>
      </c>
      <c r="L1816" s="12">
        <v>46174</v>
      </c>
      <c r="M1816" t="s">
        <v>20</v>
      </c>
    </row>
    <row r="1817" spans="1:13" ht="45">
      <c r="A1817" s="6" t="s">
        <v>2981</v>
      </c>
      <c r="B1817" s="7" t="s">
        <v>1511</v>
      </c>
      <c r="C1817" s="7" t="s">
        <v>2937</v>
      </c>
      <c r="D1817" s="6" t="s">
        <v>18</v>
      </c>
      <c r="E1817" s="7" t="s">
        <v>2286</v>
      </c>
      <c r="F1817" s="13"/>
      <c r="G1817" s="9">
        <f>IFERROR(VLOOKUP(D1817,Listas!$A$2:$B$20,2,FALSE()),999)</f>
        <v>1</v>
      </c>
      <c r="H1817" s="9" t="str">
        <f t="shared" ca="1" si="28"/>
        <v>Sin fecha</v>
      </c>
      <c r="J1817" s="11">
        <v>60</v>
      </c>
      <c r="K1817" s="11">
        <v>3</v>
      </c>
      <c r="L1817" s="12">
        <v>46174</v>
      </c>
      <c r="M1817" t="s">
        <v>20</v>
      </c>
    </row>
    <row r="1818" spans="1:13" ht="45">
      <c r="A1818" s="6" t="s">
        <v>2982</v>
      </c>
      <c r="B1818" s="7" t="s">
        <v>1511</v>
      </c>
      <c r="C1818" s="7" t="s">
        <v>2937</v>
      </c>
      <c r="D1818" s="6" t="s">
        <v>18</v>
      </c>
      <c r="E1818" s="7" t="s">
        <v>2286</v>
      </c>
      <c r="F1818" s="13"/>
      <c r="G1818" s="9">
        <f>IFERROR(VLOOKUP(D1818,Listas!$A$2:$B$20,2,FALSE()),999)</f>
        <v>1</v>
      </c>
      <c r="H1818" s="9" t="str">
        <f t="shared" ca="1" si="28"/>
        <v>Sin fecha</v>
      </c>
      <c r="J1818" s="11">
        <v>60</v>
      </c>
      <c r="K1818" s="11">
        <v>3</v>
      </c>
      <c r="L1818" s="12">
        <v>46174</v>
      </c>
      <c r="M1818" t="s">
        <v>20</v>
      </c>
    </row>
    <row r="1819" spans="1:13" ht="45">
      <c r="A1819" s="6" t="s">
        <v>2983</v>
      </c>
      <c r="B1819" s="7" t="s">
        <v>1511</v>
      </c>
      <c r="C1819" s="7" t="s">
        <v>2937</v>
      </c>
      <c r="D1819" s="6" t="s">
        <v>18</v>
      </c>
      <c r="E1819" s="7" t="s">
        <v>2286</v>
      </c>
      <c r="F1819" s="13"/>
      <c r="G1819" s="9">
        <f>IFERROR(VLOOKUP(D1819,Listas!$A$2:$B$20,2,FALSE()),999)</f>
        <v>1</v>
      </c>
      <c r="H1819" s="9" t="str">
        <f t="shared" ca="1" si="28"/>
        <v>Sin fecha</v>
      </c>
      <c r="J1819" s="11">
        <v>60</v>
      </c>
      <c r="K1819" s="11">
        <v>3</v>
      </c>
      <c r="L1819" s="12">
        <v>46174</v>
      </c>
      <c r="M1819" t="s">
        <v>20</v>
      </c>
    </row>
    <row r="1820" spans="1:13" ht="45">
      <c r="A1820" s="6" t="s">
        <v>2984</v>
      </c>
      <c r="B1820" s="7" t="s">
        <v>1511</v>
      </c>
      <c r="C1820" s="7" t="s">
        <v>2937</v>
      </c>
      <c r="D1820" s="6" t="s">
        <v>18</v>
      </c>
      <c r="E1820" s="7" t="s">
        <v>2286</v>
      </c>
      <c r="F1820" s="13"/>
      <c r="G1820" s="9">
        <f>IFERROR(VLOOKUP(D1820,Listas!$A$2:$B$20,2,FALSE()),999)</f>
        <v>1</v>
      </c>
      <c r="H1820" s="9" t="str">
        <f t="shared" ca="1" si="28"/>
        <v>Sin fecha</v>
      </c>
      <c r="J1820" s="11">
        <v>60</v>
      </c>
      <c r="K1820" s="11">
        <v>3</v>
      </c>
      <c r="L1820" s="12">
        <v>46174</v>
      </c>
      <c r="M1820" t="s">
        <v>20</v>
      </c>
    </row>
    <row r="1821" spans="1:13" ht="45">
      <c r="A1821" s="6" t="s">
        <v>2985</v>
      </c>
      <c r="B1821" s="7" t="s">
        <v>1511</v>
      </c>
      <c r="C1821" s="7" t="s">
        <v>2937</v>
      </c>
      <c r="D1821" s="6" t="s">
        <v>18</v>
      </c>
      <c r="E1821" s="7" t="s">
        <v>2286</v>
      </c>
      <c r="F1821" s="13"/>
      <c r="G1821" s="9">
        <f>IFERROR(VLOOKUP(D1821,Listas!$A$2:$B$20,2,FALSE()),999)</f>
        <v>1</v>
      </c>
      <c r="H1821" s="9" t="str">
        <f t="shared" ca="1" si="28"/>
        <v>Sin fecha</v>
      </c>
      <c r="J1821" s="11">
        <v>60</v>
      </c>
      <c r="K1821" s="11">
        <v>3</v>
      </c>
      <c r="L1821" s="12">
        <v>46174</v>
      </c>
      <c r="M1821" t="s">
        <v>20</v>
      </c>
    </row>
    <row r="1822" spans="1:13" ht="45">
      <c r="A1822" s="6" t="s">
        <v>2986</v>
      </c>
      <c r="B1822" s="7" t="s">
        <v>1511</v>
      </c>
      <c r="C1822" s="7" t="s">
        <v>2937</v>
      </c>
      <c r="D1822" s="6" t="s">
        <v>18</v>
      </c>
      <c r="E1822" s="7" t="s">
        <v>2286</v>
      </c>
      <c r="F1822" s="13"/>
      <c r="G1822" s="9">
        <f>IFERROR(VLOOKUP(D1822,Listas!$A$2:$B$20,2,FALSE()),999)</f>
        <v>1</v>
      </c>
      <c r="H1822" s="9" t="str">
        <f t="shared" ca="1" si="28"/>
        <v>Sin fecha</v>
      </c>
      <c r="J1822" s="11">
        <v>60</v>
      </c>
      <c r="K1822" s="11">
        <v>3</v>
      </c>
      <c r="L1822" s="12">
        <v>46174</v>
      </c>
      <c r="M1822" t="s">
        <v>20</v>
      </c>
    </row>
    <row r="1823" spans="1:13" ht="45">
      <c r="A1823" s="6" t="s">
        <v>2987</v>
      </c>
      <c r="B1823" s="7" t="s">
        <v>1511</v>
      </c>
      <c r="C1823" s="7" t="s">
        <v>2937</v>
      </c>
      <c r="D1823" s="6" t="s">
        <v>18</v>
      </c>
      <c r="E1823" s="7" t="s">
        <v>2286</v>
      </c>
      <c r="F1823" s="13"/>
      <c r="G1823" s="9">
        <f>IFERROR(VLOOKUP(D1823,Listas!$A$2:$B$20,2,FALSE()),999)</f>
        <v>1</v>
      </c>
      <c r="H1823" s="9" t="str">
        <f t="shared" ca="1" si="28"/>
        <v>Sin fecha</v>
      </c>
      <c r="J1823" s="11">
        <v>60</v>
      </c>
      <c r="K1823" s="11">
        <v>3</v>
      </c>
      <c r="L1823" s="12">
        <v>46174</v>
      </c>
      <c r="M1823" t="s">
        <v>20</v>
      </c>
    </row>
    <row r="1824" spans="1:13" ht="45">
      <c r="A1824" s="6" t="s">
        <v>2988</v>
      </c>
      <c r="B1824" s="7" t="s">
        <v>1511</v>
      </c>
      <c r="C1824" s="7" t="s">
        <v>2937</v>
      </c>
      <c r="D1824" s="6" t="s">
        <v>18</v>
      </c>
      <c r="E1824" s="7" t="s">
        <v>2286</v>
      </c>
      <c r="F1824" s="13"/>
      <c r="G1824" s="9">
        <f>IFERROR(VLOOKUP(D1824,Listas!$A$2:$B$20,2,FALSE()),999)</f>
        <v>1</v>
      </c>
      <c r="H1824" s="9" t="str">
        <f t="shared" ca="1" si="28"/>
        <v>Sin fecha</v>
      </c>
      <c r="J1824" s="11">
        <v>60</v>
      </c>
      <c r="K1824" s="11">
        <v>3</v>
      </c>
      <c r="L1824" s="12">
        <v>46174</v>
      </c>
      <c r="M1824" t="s">
        <v>20</v>
      </c>
    </row>
    <row r="1825" spans="1:13" ht="45">
      <c r="A1825" s="6" t="s">
        <v>2989</v>
      </c>
      <c r="B1825" s="7" t="s">
        <v>1511</v>
      </c>
      <c r="C1825" s="7" t="s">
        <v>2937</v>
      </c>
      <c r="D1825" s="6" t="s">
        <v>18</v>
      </c>
      <c r="E1825" s="7" t="s">
        <v>2286</v>
      </c>
      <c r="F1825" s="13"/>
      <c r="G1825" s="9">
        <f>IFERROR(VLOOKUP(D1825,Listas!$A$2:$B$20,2,FALSE()),999)</f>
        <v>1</v>
      </c>
      <c r="H1825" s="9" t="str">
        <f t="shared" ca="1" si="28"/>
        <v>Sin fecha</v>
      </c>
      <c r="J1825" s="11">
        <v>60</v>
      </c>
      <c r="K1825" s="11">
        <v>3</v>
      </c>
      <c r="L1825" s="12">
        <v>46174</v>
      </c>
      <c r="M1825" t="s">
        <v>20</v>
      </c>
    </row>
    <row r="1826" spans="1:13" ht="45">
      <c r="A1826" s="6" t="s">
        <v>2990</v>
      </c>
      <c r="B1826" s="7" t="s">
        <v>1511</v>
      </c>
      <c r="C1826" s="7" t="s">
        <v>2937</v>
      </c>
      <c r="D1826" s="6" t="s">
        <v>18</v>
      </c>
      <c r="E1826" s="7" t="s">
        <v>2286</v>
      </c>
      <c r="F1826" s="13"/>
      <c r="G1826" s="9">
        <f>IFERROR(VLOOKUP(D1826,Listas!$A$2:$B$20,2,FALSE()),999)</f>
        <v>1</v>
      </c>
      <c r="H1826" s="9" t="str">
        <f t="shared" ca="1" si="28"/>
        <v>Sin fecha</v>
      </c>
      <c r="J1826" s="11">
        <v>60</v>
      </c>
      <c r="K1826" s="11">
        <v>3</v>
      </c>
      <c r="L1826" s="12">
        <v>46174</v>
      </c>
      <c r="M1826" t="s">
        <v>20</v>
      </c>
    </row>
    <row r="1827" spans="1:13" ht="45">
      <c r="A1827" s="6" t="s">
        <v>2991</v>
      </c>
      <c r="B1827" s="7" t="s">
        <v>1511</v>
      </c>
      <c r="C1827" s="7" t="s">
        <v>2937</v>
      </c>
      <c r="D1827" s="6" t="s">
        <v>18</v>
      </c>
      <c r="E1827" s="7" t="s">
        <v>2286</v>
      </c>
      <c r="F1827" s="13"/>
      <c r="G1827" s="9">
        <f>IFERROR(VLOOKUP(D1827,Listas!$A$2:$B$20,2,FALSE()),999)</f>
        <v>1</v>
      </c>
      <c r="H1827" s="9" t="str">
        <f t="shared" ca="1" si="28"/>
        <v>Sin fecha</v>
      </c>
      <c r="J1827" s="11">
        <v>60</v>
      </c>
      <c r="K1827" s="11">
        <v>3</v>
      </c>
      <c r="L1827" s="12">
        <v>46174</v>
      </c>
      <c r="M1827" t="s">
        <v>20</v>
      </c>
    </row>
    <row r="1828" spans="1:13" ht="45">
      <c r="A1828" s="6" t="s">
        <v>2992</v>
      </c>
      <c r="B1828" s="7" t="s">
        <v>1511</v>
      </c>
      <c r="C1828" s="7" t="s">
        <v>2937</v>
      </c>
      <c r="D1828" s="6" t="s">
        <v>18</v>
      </c>
      <c r="E1828" s="7" t="s">
        <v>2286</v>
      </c>
      <c r="F1828" s="13"/>
      <c r="G1828" s="9">
        <f>IFERROR(VLOOKUP(D1828,Listas!$A$2:$B$20,2,FALSE()),999)</f>
        <v>1</v>
      </c>
      <c r="H1828" s="9" t="str">
        <f t="shared" ca="1" si="28"/>
        <v>Sin fecha</v>
      </c>
      <c r="J1828" s="11">
        <v>60</v>
      </c>
      <c r="K1828" s="11">
        <v>3</v>
      </c>
      <c r="L1828" s="12">
        <v>46174</v>
      </c>
      <c r="M1828" t="s">
        <v>20</v>
      </c>
    </row>
    <row r="1829" spans="1:13" ht="45">
      <c r="A1829" s="6" t="s">
        <v>2993</v>
      </c>
      <c r="B1829" s="7" t="s">
        <v>1511</v>
      </c>
      <c r="C1829" s="7" t="s">
        <v>2937</v>
      </c>
      <c r="D1829" s="6" t="s">
        <v>18</v>
      </c>
      <c r="E1829" s="7" t="s">
        <v>2286</v>
      </c>
      <c r="F1829" s="13"/>
      <c r="G1829" s="9">
        <f>IFERROR(VLOOKUP(D1829,Listas!$A$2:$B$20,2,FALSE()),999)</f>
        <v>1</v>
      </c>
      <c r="H1829" s="9" t="str">
        <f t="shared" ca="1" si="28"/>
        <v>Sin fecha</v>
      </c>
      <c r="J1829" s="11">
        <v>60</v>
      </c>
      <c r="K1829" s="11">
        <v>3</v>
      </c>
      <c r="L1829" s="12">
        <v>46174</v>
      </c>
      <c r="M1829" t="s">
        <v>20</v>
      </c>
    </row>
    <row r="1830" spans="1:13" ht="45">
      <c r="A1830" s="6" t="s">
        <v>2994</v>
      </c>
      <c r="B1830" s="7" t="s">
        <v>1511</v>
      </c>
      <c r="C1830" s="7" t="s">
        <v>2937</v>
      </c>
      <c r="D1830" s="6" t="s">
        <v>18</v>
      </c>
      <c r="E1830" s="7" t="s">
        <v>2286</v>
      </c>
      <c r="F1830" s="13"/>
      <c r="G1830" s="9">
        <f>IFERROR(VLOOKUP(D1830,Listas!$A$2:$B$20,2,FALSE()),999)</f>
        <v>1</v>
      </c>
      <c r="H1830" s="9" t="str">
        <f t="shared" ca="1" si="28"/>
        <v>Sin fecha</v>
      </c>
      <c r="J1830" s="11">
        <v>60</v>
      </c>
      <c r="K1830" s="11">
        <v>3</v>
      </c>
      <c r="L1830" s="12">
        <v>46174</v>
      </c>
      <c r="M1830" t="s">
        <v>20</v>
      </c>
    </row>
    <row r="1831" spans="1:13" ht="45">
      <c r="A1831" s="6" t="s">
        <v>2995</v>
      </c>
      <c r="B1831" s="7" t="s">
        <v>1511</v>
      </c>
      <c r="C1831" s="7" t="s">
        <v>2937</v>
      </c>
      <c r="D1831" s="6" t="s">
        <v>18</v>
      </c>
      <c r="E1831" s="7" t="s">
        <v>2286</v>
      </c>
      <c r="F1831" s="13"/>
      <c r="G1831" s="9">
        <f>IFERROR(VLOOKUP(D1831,Listas!$A$2:$B$20,2,FALSE()),999)</f>
        <v>1</v>
      </c>
      <c r="H1831" s="9" t="str">
        <f t="shared" ca="1" si="28"/>
        <v>Sin fecha</v>
      </c>
      <c r="J1831" s="11">
        <v>60</v>
      </c>
      <c r="K1831" s="11">
        <v>3</v>
      </c>
      <c r="L1831" s="12">
        <v>46174</v>
      </c>
      <c r="M1831" t="s">
        <v>20</v>
      </c>
    </row>
    <row r="1832" spans="1:13" ht="45">
      <c r="A1832" s="6" t="s">
        <v>2996</v>
      </c>
      <c r="B1832" s="7" t="s">
        <v>1511</v>
      </c>
      <c r="C1832" s="7" t="s">
        <v>2937</v>
      </c>
      <c r="D1832" s="6" t="s">
        <v>18</v>
      </c>
      <c r="E1832" s="7" t="s">
        <v>2286</v>
      </c>
      <c r="F1832" s="13"/>
      <c r="G1832" s="9">
        <f>IFERROR(VLOOKUP(D1832,Listas!$A$2:$B$20,2,FALSE()),999)</f>
        <v>1</v>
      </c>
      <c r="H1832" s="9" t="str">
        <f t="shared" ca="1" si="28"/>
        <v>Sin fecha</v>
      </c>
      <c r="J1832" s="11">
        <v>60</v>
      </c>
      <c r="K1832" s="11">
        <v>3</v>
      </c>
      <c r="L1832" s="12">
        <v>46174</v>
      </c>
      <c r="M1832" t="s">
        <v>20</v>
      </c>
    </row>
    <row r="1833" spans="1:13" ht="45">
      <c r="A1833" s="6" t="s">
        <v>2997</v>
      </c>
      <c r="B1833" s="7" t="s">
        <v>1511</v>
      </c>
      <c r="C1833" s="7" t="s">
        <v>2937</v>
      </c>
      <c r="D1833" s="6" t="s">
        <v>18</v>
      </c>
      <c r="E1833" s="7" t="s">
        <v>1519</v>
      </c>
      <c r="F1833" s="13"/>
      <c r="G1833" s="9">
        <f>IFERROR(VLOOKUP(D1833,Listas!$A$2:$B$20,2,FALSE()),999)</f>
        <v>1</v>
      </c>
      <c r="H1833" s="9" t="str">
        <f t="shared" ca="1" si="28"/>
        <v>Sin fecha</v>
      </c>
      <c r="J1833" s="11">
        <v>60</v>
      </c>
      <c r="K1833" s="11">
        <v>3</v>
      </c>
      <c r="L1833" s="12">
        <v>46174</v>
      </c>
      <c r="M1833" t="s">
        <v>20</v>
      </c>
    </row>
    <row r="1834" spans="1:13" ht="45">
      <c r="A1834" s="6" t="s">
        <v>2998</v>
      </c>
      <c r="B1834" s="7" t="s">
        <v>1511</v>
      </c>
      <c r="C1834" s="7" t="s">
        <v>2937</v>
      </c>
      <c r="D1834" s="6" t="s">
        <v>18</v>
      </c>
      <c r="E1834" s="7" t="s">
        <v>2999</v>
      </c>
      <c r="F1834" s="13"/>
      <c r="G1834" s="9">
        <f>IFERROR(VLOOKUP(D1834,Listas!$A$2:$B$20,2,FALSE()),999)</f>
        <v>1</v>
      </c>
      <c r="H1834" s="9" t="str">
        <f t="shared" ca="1" si="28"/>
        <v>Sin fecha</v>
      </c>
      <c r="J1834" s="11">
        <v>60</v>
      </c>
      <c r="K1834" s="11">
        <v>3</v>
      </c>
      <c r="L1834" s="12">
        <v>46174</v>
      </c>
      <c r="M1834" t="s">
        <v>20</v>
      </c>
    </row>
    <row r="1835" spans="1:13" ht="45">
      <c r="A1835" s="6" t="s">
        <v>3000</v>
      </c>
      <c r="B1835" s="7" t="s">
        <v>1511</v>
      </c>
      <c r="C1835" s="7" t="s">
        <v>2937</v>
      </c>
      <c r="D1835" s="6" t="s">
        <v>18</v>
      </c>
      <c r="E1835" s="7" t="s">
        <v>1556</v>
      </c>
      <c r="F1835" s="13"/>
      <c r="G1835" s="9">
        <f>IFERROR(VLOOKUP(D1835,Listas!$A$2:$B$20,2,FALSE()),999)</f>
        <v>1</v>
      </c>
      <c r="H1835" s="9" t="str">
        <f t="shared" ca="1" si="28"/>
        <v>Sin fecha</v>
      </c>
      <c r="J1835" s="11">
        <v>60</v>
      </c>
      <c r="K1835" s="11">
        <v>3</v>
      </c>
      <c r="L1835" s="12">
        <v>46174</v>
      </c>
      <c r="M1835" t="s">
        <v>20</v>
      </c>
    </row>
    <row r="1836" spans="1:13" ht="45">
      <c r="A1836" s="6" t="s">
        <v>3001</v>
      </c>
      <c r="B1836" s="7" t="s">
        <v>1511</v>
      </c>
      <c r="C1836" s="7" t="s">
        <v>2937</v>
      </c>
      <c r="D1836" s="6" t="s">
        <v>18</v>
      </c>
      <c r="E1836" s="7" t="s">
        <v>1556</v>
      </c>
      <c r="F1836" s="13"/>
      <c r="G1836" s="9">
        <f>IFERROR(VLOOKUP(D1836,Listas!$A$2:$B$20,2,FALSE()),999)</f>
        <v>1</v>
      </c>
      <c r="H1836" s="9" t="str">
        <f t="shared" ca="1" si="28"/>
        <v>Sin fecha</v>
      </c>
      <c r="J1836" s="11">
        <v>60</v>
      </c>
      <c r="K1836" s="11">
        <v>3</v>
      </c>
      <c r="L1836" s="12">
        <v>46174</v>
      </c>
      <c r="M1836" t="s">
        <v>20</v>
      </c>
    </row>
    <row r="1837" spans="1:13" ht="45">
      <c r="A1837" s="6" t="s">
        <v>3002</v>
      </c>
      <c r="B1837" s="7" t="s">
        <v>1511</v>
      </c>
      <c r="C1837" s="7" t="s">
        <v>2937</v>
      </c>
      <c r="D1837" s="6" t="s">
        <v>18</v>
      </c>
      <c r="E1837" s="7" t="s">
        <v>1521</v>
      </c>
      <c r="F1837" s="13"/>
      <c r="G1837" s="9">
        <f>IFERROR(VLOOKUP(D1837,Listas!$A$2:$B$20,2,FALSE()),999)</f>
        <v>1</v>
      </c>
      <c r="H1837" s="9" t="str">
        <f t="shared" ca="1" si="28"/>
        <v>Sin fecha</v>
      </c>
      <c r="J1837" s="11">
        <v>60</v>
      </c>
      <c r="K1837" s="11">
        <v>3</v>
      </c>
      <c r="L1837" s="12">
        <v>46174</v>
      </c>
      <c r="M1837" t="s">
        <v>20</v>
      </c>
    </row>
    <row r="1838" spans="1:13" ht="45">
      <c r="A1838" s="6" t="s">
        <v>3003</v>
      </c>
      <c r="B1838" s="7" t="s">
        <v>1511</v>
      </c>
      <c r="C1838" s="7" t="s">
        <v>2937</v>
      </c>
      <c r="D1838" s="6" t="s">
        <v>18</v>
      </c>
      <c r="E1838" s="7" t="s">
        <v>1504</v>
      </c>
      <c r="F1838" s="13"/>
      <c r="G1838" s="9">
        <f>IFERROR(VLOOKUP(D1838,Listas!$A$2:$B$20,2,FALSE()),999)</f>
        <v>1</v>
      </c>
      <c r="H1838" s="9" t="str">
        <f t="shared" ca="1" si="28"/>
        <v>Sin fecha</v>
      </c>
      <c r="J1838" s="11">
        <v>60</v>
      </c>
      <c r="K1838" s="11">
        <v>3</v>
      </c>
      <c r="L1838" s="12">
        <v>46174</v>
      </c>
      <c r="M1838" t="s">
        <v>20</v>
      </c>
    </row>
    <row r="1839" spans="1:13" ht="75">
      <c r="A1839" s="6" t="s">
        <v>3004</v>
      </c>
      <c r="B1839" s="7" t="s">
        <v>1511</v>
      </c>
      <c r="C1839" s="7" t="s">
        <v>2797</v>
      </c>
      <c r="D1839" s="6" t="s">
        <v>18</v>
      </c>
      <c r="E1839" s="7" t="s">
        <v>2001</v>
      </c>
      <c r="F1839" s="13"/>
      <c r="G1839" s="9">
        <f>IFERROR(VLOOKUP(D1839,Listas!$A$2:$B$20,2,FALSE()),999)</f>
        <v>1</v>
      </c>
      <c r="H1839" s="9" t="str">
        <f t="shared" ca="1" si="28"/>
        <v>Sin fecha</v>
      </c>
      <c r="J1839" s="11">
        <v>60</v>
      </c>
      <c r="K1839" s="11">
        <v>2</v>
      </c>
      <c r="L1839" s="12">
        <v>46204</v>
      </c>
      <c r="M1839" t="s">
        <v>20</v>
      </c>
    </row>
    <row r="1840" spans="1:13" ht="45">
      <c r="A1840" s="6" t="s">
        <v>3005</v>
      </c>
      <c r="B1840" s="7" t="s">
        <v>1511</v>
      </c>
      <c r="C1840" s="7" t="s">
        <v>2937</v>
      </c>
      <c r="D1840" s="6" t="s">
        <v>18</v>
      </c>
      <c r="E1840" s="7" t="s">
        <v>3006</v>
      </c>
      <c r="F1840" s="13"/>
      <c r="G1840" s="9">
        <f>IFERROR(VLOOKUP(D1840,Listas!$A$2:$B$20,2,FALSE()),999)</f>
        <v>1</v>
      </c>
      <c r="H1840" s="9" t="str">
        <f t="shared" ca="1" si="28"/>
        <v>Sin fecha</v>
      </c>
      <c r="J1840" s="11">
        <v>60</v>
      </c>
      <c r="K1840" s="11">
        <v>3</v>
      </c>
      <c r="L1840" s="12">
        <v>46174</v>
      </c>
      <c r="M1840" t="s">
        <v>20</v>
      </c>
    </row>
    <row r="1841" spans="1:13" ht="45">
      <c r="A1841" s="6" t="s">
        <v>3007</v>
      </c>
      <c r="B1841" s="7" t="s">
        <v>1511</v>
      </c>
      <c r="C1841" s="7" t="s">
        <v>2937</v>
      </c>
      <c r="D1841" s="6" t="s">
        <v>18</v>
      </c>
      <c r="E1841" s="7" t="s">
        <v>3008</v>
      </c>
      <c r="F1841" s="13"/>
      <c r="G1841" s="9">
        <f>IFERROR(VLOOKUP(D1841,Listas!$A$2:$B$20,2,FALSE()),999)</f>
        <v>1</v>
      </c>
      <c r="H1841" s="9" t="str">
        <f t="shared" ca="1" si="28"/>
        <v>Sin fecha</v>
      </c>
      <c r="J1841" s="11">
        <v>60</v>
      </c>
      <c r="K1841" s="11">
        <v>3</v>
      </c>
      <c r="L1841" s="12">
        <v>46174</v>
      </c>
      <c r="M1841" t="s">
        <v>20</v>
      </c>
    </row>
    <row r="1842" spans="1:13" ht="45">
      <c r="A1842" s="6" t="s">
        <v>3009</v>
      </c>
      <c r="B1842" s="7" t="s">
        <v>1511</v>
      </c>
      <c r="C1842" s="7" t="s">
        <v>2937</v>
      </c>
      <c r="D1842" s="6" t="s">
        <v>18</v>
      </c>
      <c r="E1842" s="7" t="s">
        <v>3010</v>
      </c>
      <c r="F1842" s="13"/>
      <c r="G1842" s="9">
        <f>IFERROR(VLOOKUP(D1842,Listas!$A$2:$B$20,2,FALSE()),999)</f>
        <v>1</v>
      </c>
      <c r="H1842" s="9" t="str">
        <f t="shared" ca="1" si="28"/>
        <v>Sin fecha</v>
      </c>
      <c r="J1842" s="11">
        <v>60</v>
      </c>
      <c r="K1842" s="11">
        <v>3</v>
      </c>
      <c r="L1842" s="12">
        <v>46174</v>
      </c>
      <c r="M1842" t="s">
        <v>20</v>
      </c>
    </row>
    <row r="1843" spans="1:13" ht="45">
      <c r="A1843" s="6" t="s">
        <v>3011</v>
      </c>
      <c r="B1843" s="7" t="s">
        <v>1511</v>
      </c>
      <c r="C1843" s="7" t="s">
        <v>2937</v>
      </c>
      <c r="D1843" s="6" t="s">
        <v>18</v>
      </c>
      <c r="E1843" s="7" t="s">
        <v>1525</v>
      </c>
      <c r="F1843" s="13"/>
      <c r="G1843" s="9">
        <f>IFERROR(VLOOKUP(D1843,Listas!$A$2:$B$20,2,FALSE()),999)</f>
        <v>1</v>
      </c>
      <c r="H1843" s="9" t="str">
        <f t="shared" ca="1" si="28"/>
        <v>Sin fecha</v>
      </c>
      <c r="J1843" s="11">
        <v>60</v>
      </c>
      <c r="K1843" s="11">
        <v>3</v>
      </c>
      <c r="L1843" s="12">
        <v>46174</v>
      </c>
      <c r="M1843" t="s">
        <v>20</v>
      </c>
    </row>
    <row r="1844" spans="1:13" ht="45">
      <c r="A1844" s="6" t="s">
        <v>3012</v>
      </c>
      <c r="B1844" s="7" t="s">
        <v>1511</v>
      </c>
      <c r="C1844" s="7" t="s">
        <v>2937</v>
      </c>
      <c r="D1844" s="6" t="s">
        <v>18</v>
      </c>
      <c r="E1844" s="7" t="s">
        <v>1519</v>
      </c>
      <c r="F1844" s="13"/>
      <c r="G1844" s="9">
        <f>IFERROR(VLOOKUP(D1844,Listas!$A$2:$B$20,2,FALSE()),999)</f>
        <v>1</v>
      </c>
      <c r="H1844" s="9" t="str">
        <f t="shared" ca="1" si="28"/>
        <v>Sin fecha</v>
      </c>
      <c r="J1844" s="11">
        <v>60</v>
      </c>
      <c r="K1844" s="11">
        <v>3</v>
      </c>
      <c r="L1844" s="12">
        <v>46174</v>
      </c>
      <c r="M1844" t="s">
        <v>20</v>
      </c>
    </row>
    <row r="1845" spans="1:13" ht="45">
      <c r="A1845" s="6" t="s">
        <v>3013</v>
      </c>
      <c r="B1845" s="7" t="s">
        <v>1511</v>
      </c>
      <c r="C1845" s="7" t="s">
        <v>2937</v>
      </c>
      <c r="D1845" s="6" t="s">
        <v>18</v>
      </c>
      <c r="E1845" s="7" t="s">
        <v>1519</v>
      </c>
      <c r="F1845" s="13"/>
      <c r="G1845" s="9">
        <f>IFERROR(VLOOKUP(D1845,Listas!$A$2:$B$20,2,FALSE()),999)</f>
        <v>1</v>
      </c>
      <c r="H1845" s="9" t="str">
        <f t="shared" ca="1" si="28"/>
        <v>Sin fecha</v>
      </c>
      <c r="J1845" s="11">
        <v>60</v>
      </c>
      <c r="K1845" s="11">
        <v>3</v>
      </c>
      <c r="L1845" s="12">
        <v>46174</v>
      </c>
      <c r="M1845" t="s">
        <v>20</v>
      </c>
    </row>
    <row r="1846" spans="1:13" ht="45">
      <c r="A1846" s="6" t="s">
        <v>3014</v>
      </c>
      <c r="B1846" s="7" t="s">
        <v>1511</v>
      </c>
      <c r="C1846" s="7" t="s">
        <v>2937</v>
      </c>
      <c r="D1846" s="6" t="s">
        <v>18</v>
      </c>
      <c r="E1846" s="7" t="s">
        <v>1513</v>
      </c>
      <c r="F1846" s="13"/>
      <c r="G1846" s="9">
        <f>IFERROR(VLOOKUP(D1846,Listas!$A$2:$B$20,2,FALSE()),999)</f>
        <v>1</v>
      </c>
      <c r="H1846" s="9" t="str">
        <f t="shared" ca="1" si="28"/>
        <v>Sin fecha</v>
      </c>
      <c r="J1846" s="11">
        <v>60</v>
      </c>
      <c r="K1846" s="11">
        <v>3</v>
      </c>
      <c r="L1846" s="12">
        <v>46174</v>
      </c>
      <c r="M1846" t="s">
        <v>20</v>
      </c>
    </row>
    <row r="1847" spans="1:13" ht="45">
      <c r="A1847" s="6" t="s">
        <v>3015</v>
      </c>
      <c r="B1847" s="7" t="s">
        <v>1511</v>
      </c>
      <c r="C1847" s="7" t="s">
        <v>2937</v>
      </c>
      <c r="D1847" s="6" t="s">
        <v>18</v>
      </c>
      <c r="E1847" s="7" t="s">
        <v>3016</v>
      </c>
      <c r="F1847" s="13"/>
      <c r="G1847" s="9">
        <f>IFERROR(VLOOKUP(D1847,Listas!$A$2:$B$20,2,FALSE()),999)</f>
        <v>1</v>
      </c>
      <c r="H1847" s="9" t="str">
        <f t="shared" ca="1" si="28"/>
        <v>Sin fecha</v>
      </c>
      <c r="J1847" s="11">
        <v>60</v>
      </c>
      <c r="K1847" s="11">
        <v>3</v>
      </c>
      <c r="L1847" s="12">
        <v>46174</v>
      </c>
      <c r="M1847" t="s">
        <v>20</v>
      </c>
    </row>
    <row r="1848" spans="1:13" ht="45">
      <c r="A1848" s="6" t="s">
        <v>3017</v>
      </c>
      <c r="B1848" s="7" t="s">
        <v>1511</v>
      </c>
      <c r="C1848" s="7" t="s">
        <v>2937</v>
      </c>
      <c r="D1848" s="6" t="s">
        <v>18</v>
      </c>
      <c r="E1848" s="7" t="s">
        <v>2067</v>
      </c>
      <c r="F1848" s="13"/>
      <c r="G1848" s="9">
        <f>IFERROR(VLOOKUP(D1848,Listas!$A$2:$B$20,2,FALSE()),999)</f>
        <v>1</v>
      </c>
      <c r="H1848" s="9" t="str">
        <f t="shared" ca="1" si="28"/>
        <v>Sin fecha</v>
      </c>
      <c r="J1848" s="11">
        <v>60</v>
      </c>
      <c r="K1848" s="11">
        <v>3</v>
      </c>
      <c r="L1848" s="12">
        <v>46174</v>
      </c>
      <c r="M1848" t="s">
        <v>20</v>
      </c>
    </row>
    <row r="1849" spans="1:13" ht="45">
      <c r="A1849" s="6" t="s">
        <v>3018</v>
      </c>
      <c r="B1849" s="7" t="s">
        <v>1511</v>
      </c>
      <c r="C1849" s="7" t="s">
        <v>2937</v>
      </c>
      <c r="D1849" s="6" t="s">
        <v>18</v>
      </c>
      <c r="E1849" s="7" t="s">
        <v>1808</v>
      </c>
      <c r="F1849" s="13"/>
      <c r="G1849" s="9">
        <f>IFERROR(VLOOKUP(D1849,Listas!$A$2:$B$20,2,FALSE()),999)</f>
        <v>1</v>
      </c>
      <c r="H1849" s="9" t="str">
        <f t="shared" ca="1" si="28"/>
        <v>Sin fecha</v>
      </c>
      <c r="J1849" s="11">
        <v>60</v>
      </c>
      <c r="K1849" s="11">
        <v>3</v>
      </c>
      <c r="L1849" s="12">
        <v>46174</v>
      </c>
      <c r="M1849" t="s">
        <v>20</v>
      </c>
    </row>
    <row r="1850" spans="1:13" ht="75">
      <c r="A1850" s="6" t="s">
        <v>3019</v>
      </c>
      <c r="B1850" s="7" t="s">
        <v>1412</v>
      </c>
      <c r="C1850" s="7" t="s">
        <v>2797</v>
      </c>
      <c r="D1850" s="6" t="s">
        <v>18</v>
      </c>
      <c r="E1850" s="7" t="s">
        <v>1519</v>
      </c>
      <c r="F1850" s="13"/>
      <c r="G1850" s="9">
        <f>IFERROR(VLOOKUP(D1850,Listas!$A$2:$B$20,2,FALSE()),999)</f>
        <v>1</v>
      </c>
      <c r="H1850" s="9" t="str">
        <f t="shared" ca="1" si="28"/>
        <v>Sin fecha</v>
      </c>
      <c r="J1850" s="11">
        <v>60</v>
      </c>
      <c r="K1850" s="11">
        <v>2</v>
      </c>
      <c r="L1850" s="12">
        <v>46204</v>
      </c>
      <c r="M1850" t="s">
        <v>20</v>
      </c>
    </row>
    <row r="1851" spans="1:13" ht="45">
      <c r="A1851" s="6" t="s">
        <v>3020</v>
      </c>
      <c r="B1851" s="7" t="s">
        <v>1511</v>
      </c>
      <c r="C1851" s="7" t="s">
        <v>2937</v>
      </c>
      <c r="D1851" s="6" t="s">
        <v>18</v>
      </c>
      <c r="E1851" s="7" t="s">
        <v>1519</v>
      </c>
      <c r="F1851" s="13"/>
      <c r="G1851" s="9">
        <f>IFERROR(VLOOKUP(D1851,Listas!$A$2:$B$20,2,FALSE()),999)</f>
        <v>1</v>
      </c>
      <c r="H1851" s="9" t="str">
        <f t="shared" ca="1" si="28"/>
        <v>Sin fecha</v>
      </c>
      <c r="J1851" s="11">
        <v>60</v>
      </c>
      <c r="K1851" s="11">
        <v>3</v>
      </c>
      <c r="L1851" s="12">
        <v>46174</v>
      </c>
      <c r="M1851" t="s">
        <v>20</v>
      </c>
    </row>
    <row r="1852" spans="1:13" ht="45">
      <c r="A1852" s="6" t="s">
        <v>3021</v>
      </c>
      <c r="B1852" s="7" t="s">
        <v>1511</v>
      </c>
      <c r="C1852" s="7" t="s">
        <v>2937</v>
      </c>
      <c r="D1852" s="6" t="s">
        <v>18</v>
      </c>
      <c r="E1852" s="7" t="s">
        <v>1479</v>
      </c>
      <c r="F1852" s="13"/>
      <c r="G1852" s="9">
        <f>IFERROR(VLOOKUP(D1852,Listas!$A$2:$B$20,2,FALSE()),999)</f>
        <v>1</v>
      </c>
      <c r="H1852" s="9" t="str">
        <f t="shared" ca="1" si="28"/>
        <v>Sin fecha</v>
      </c>
      <c r="J1852" s="11">
        <v>60</v>
      </c>
      <c r="K1852" s="11">
        <v>3</v>
      </c>
      <c r="L1852" s="12">
        <v>46174</v>
      </c>
      <c r="M1852" t="s">
        <v>20</v>
      </c>
    </row>
    <row r="1853" spans="1:13" ht="45">
      <c r="A1853" s="6" t="s">
        <v>3022</v>
      </c>
      <c r="B1853" s="7" t="s">
        <v>1511</v>
      </c>
      <c r="C1853" s="7" t="s">
        <v>2937</v>
      </c>
      <c r="D1853" s="6" t="s">
        <v>18</v>
      </c>
      <c r="E1853" s="7" t="s">
        <v>1603</v>
      </c>
      <c r="F1853" s="13"/>
      <c r="G1853" s="9">
        <f>IFERROR(VLOOKUP(D1853,Listas!$A$2:$B$20,2,FALSE()),999)</f>
        <v>1</v>
      </c>
      <c r="H1853" s="9" t="str">
        <f t="shared" ca="1" si="28"/>
        <v>Sin fecha</v>
      </c>
      <c r="J1853" s="11">
        <v>60</v>
      </c>
      <c r="K1853" s="11">
        <v>3</v>
      </c>
      <c r="L1853" s="12">
        <v>46174</v>
      </c>
      <c r="M1853" t="s">
        <v>20</v>
      </c>
    </row>
  </sheetData>
  <autoFilter ref="A4:M1853" xr:uid="{00000000-0009-0000-0000-000000000000}"/>
  <mergeCells count="2">
    <mergeCell ref="A1:M1"/>
    <mergeCell ref="A3:M3"/>
  </mergeCells>
  <conditionalFormatting sqref="H5:H104">
    <cfRule type="expression" dxfId="2" priority="2">
      <formula>$H5="Revisar"</formula>
    </cfRule>
    <cfRule type="expression" dxfId="1" priority="3">
      <formula>$H5="Próximo"</formula>
    </cfRule>
    <cfRule type="expression" dxfId="0" priority="4">
      <formula>$H5="Vigente"</formula>
    </cfRule>
  </conditionalFormatting>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showGridLines="0" zoomScaleNormal="100" workbookViewId="0">
      <selection activeCell="D17" sqref="D17"/>
    </sheetView>
  </sheetViews>
  <sheetFormatPr baseColWidth="10" defaultColWidth="8.7109375" defaultRowHeight="15"/>
  <cols>
    <col min="1" max="2" width="28" customWidth="1"/>
    <col min="4" max="4" width="45" customWidth="1"/>
  </cols>
  <sheetData>
    <row r="1" spans="1:4">
      <c r="A1" s="14" t="s">
        <v>5</v>
      </c>
      <c r="B1" s="14" t="s">
        <v>3023</v>
      </c>
      <c r="D1" s="14" t="s">
        <v>6</v>
      </c>
    </row>
    <row r="2" spans="1:4">
      <c r="A2" s="15" t="s">
        <v>18</v>
      </c>
      <c r="B2" s="15">
        <v>1</v>
      </c>
      <c r="D2" s="15" t="s">
        <v>19</v>
      </c>
    </row>
    <row r="3" spans="1:4">
      <c r="A3" s="15" t="s">
        <v>1467</v>
      </c>
      <c r="B3" s="15">
        <v>2</v>
      </c>
      <c r="D3" s="15" t="s">
        <v>40</v>
      </c>
    </row>
    <row r="4" spans="1:4">
      <c r="A4" s="15" t="s">
        <v>3024</v>
      </c>
      <c r="B4" s="15">
        <v>3</v>
      </c>
      <c r="D4" s="15" t="s">
        <v>111</v>
      </c>
    </row>
    <row r="5" spans="1:4">
      <c r="A5" s="15" t="s">
        <v>3025</v>
      </c>
      <c r="B5" s="15">
        <v>4</v>
      </c>
      <c r="D5" s="15" t="s">
        <v>115</v>
      </c>
    </row>
    <row r="6" spans="1:4">
      <c r="A6" s="15" t="s">
        <v>3026</v>
      </c>
      <c r="B6" s="15">
        <v>5</v>
      </c>
      <c r="D6" s="15" t="s">
        <v>171</v>
      </c>
    </row>
    <row r="7" spans="1:4">
      <c r="A7" s="15" t="s">
        <v>3027</v>
      </c>
      <c r="B7" s="15">
        <v>6</v>
      </c>
      <c r="D7" s="15" t="s">
        <v>206</v>
      </c>
    </row>
    <row r="8" spans="1:4">
      <c r="A8" s="15" t="s">
        <v>3028</v>
      </c>
      <c r="B8" s="15">
        <v>7</v>
      </c>
      <c r="D8" s="15" t="s">
        <v>224</v>
      </c>
    </row>
    <row r="9" spans="1:4">
      <c r="A9" s="15" t="s">
        <v>3029</v>
      </c>
      <c r="B9" s="15">
        <v>8</v>
      </c>
      <c r="D9" s="15" t="s">
        <v>501</v>
      </c>
    </row>
    <row r="10" spans="1:4">
      <c r="D10" s="15" t="s">
        <v>557</v>
      </c>
    </row>
    <row r="11" spans="1:4">
      <c r="D11" s="15" t="s">
        <v>559</v>
      </c>
    </row>
    <row r="12" spans="1:4">
      <c r="D12" t="s">
        <v>570</v>
      </c>
    </row>
    <row r="13" spans="1:4">
      <c r="D13" t="s">
        <v>590</v>
      </c>
    </row>
    <row r="14" spans="1:4">
      <c r="D14" t="s">
        <v>632</v>
      </c>
    </row>
    <row r="15" spans="1:4">
      <c r="D15" t="s">
        <v>754</v>
      </c>
    </row>
    <row r="16" spans="1:4">
      <c r="D16" t="s">
        <v>757</v>
      </c>
    </row>
    <row r="17" spans="4:4">
      <c r="D17" t="s">
        <v>847</v>
      </c>
    </row>
    <row r="18" spans="4:4">
      <c r="D18" t="s">
        <v>879</v>
      </c>
    </row>
    <row r="19" spans="4:4">
      <c r="D19" t="s">
        <v>906</v>
      </c>
    </row>
    <row r="20" spans="4:4">
      <c r="D20" t="s">
        <v>982</v>
      </c>
    </row>
    <row r="21" spans="4:4">
      <c r="D21" t="s">
        <v>989</v>
      </c>
    </row>
    <row r="22" spans="4:4">
      <c r="D22" t="s">
        <v>1025</v>
      </c>
    </row>
    <row r="23" spans="4:4">
      <c r="D23" t="s">
        <v>1158</v>
      </c>
    </row>
    <row r="24" spans="4:4">
      <c r="D24" t="s">
        <v>1260</v>
      </c>
    </row>
    <row r="25" spans="4:4">
      <c r="D25" t="s">
        <v>1350</v>
      </c>
    </row>
    <row r="26" spans="4:4">
      <c r="D26" t="s">
        <v>1380</v>
      </c>
    </row>
    <row r="27" spans="4:4">
      <c r="D27" t="s">
        <v>1405</v>
      </c>
    </row>
    <row r="28" spans="4:4">
      <c r="D28" t="s">
        <v>1459</v>
      </c>
    </row>
    <row r="29" spans="4:4">
      <c r="D29" t="s">
        <v>1461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Matriz_Activos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Mariana Millan</cp:lastModifiedBy>
  <cp:revision>0</cp:revision>
  <dcterms:created xsi:type="dcterms:W3CDTF">2026-08-06T19:27:23Z</dcterms:created>
  <dcterms:modified xsi:type="dcterms:W3CDTF">2026-09-30T13:58:24Z</dcterms:modified>
  <dc:language>en-US</dc:language>
</cp:coreProperties>
</file>